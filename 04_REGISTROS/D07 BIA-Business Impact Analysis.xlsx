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optimpeople.sharepoint.com/sites/ENS/Documentos compartidos/ENS OptimTech/WIP/"/>
    </mc:Choice>
  </mc:AlternateContent>
  <xr:revisionPtr revIDLastSave="60" documentId="14_{F2ED0F7E-8172-4F38-BA89-4C6E85691DF2}" xr6:coauthVersionLast="47" xr6:coauthVersionMax="47" xr10:uidLastSave="{D6561F1A-8690-4D9E-BFA5-2DCAD94E9243}"/>
  <bookViews>
    <workbookView xWindow="-108" yWindow="-108" windowWidth="23256" windowHeight="13896" firstSheet="3" activeTab="1" xr2:uid="{6F6F0687-F194-492D-AFBC-9AE53C7BAD79}"/>
  </bookViews>
  <sheets>
    <sheet name="Cabecera" sheetId="4" r:id="rId1"/>
    <sheet name="BIA &amp; RISK" sheetId="1" r:id="rId2"/>
    <sheet name="RISK CRITERIA" sheetId="3" r:id="rId3"/>
    <sheet name="BIA IMPACT CRITERIA" sheetId="2" r:id="rId4"/>
  </sheets>
  <externalReferences>
    <externalReference r:id="rId5"/>
    <externalReference r:id="rId6"/>
  </externalReferences>
  <definedNames>
    <definedName name="acdasd">#REF!</definedName>
    <definedName name="Actius">#REF!</definedName>
    <definedName name="actius2">#REF!</definedName>
    <definedName name="asd">#REF!</definedName>
    <definedName name="Impacte_Vulnerabilitat">'[1]Master Data Rangs Nom'!$H$2:$H$6</definedName>
    <definedName name="mnb">#REF!</definedName>
    <definedName name="nb">#REF!</definedName>
    <definedName name="nmb">#REF!</definedName>
    <definedName name="Probabilitat">'[1]Master Data Rangs Nom'!$G$2:$G$5</definedName>
    <definedName name="Tipus_Vulnerabilitat">#REF!</definedName>
    <definedName name="tipus2">#REF!</definedName>
    <definedName name="Vulnerabilitats">#REF!</definedName>
    <definedName name="vulnerabilitats2">#REF!</definedName>
    <definedName name="XXX">'[2]Master Data Rangs Nom'!$H$2:$H$6</definedName>
    <definedName name="YYY">'[2]Master Data Rangs Nom'!$G$2:$G$5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tc={708A8D51-4166-4700-930A-C2902A87D2EC}</author>
    <author>tc={3582FBAD-C617-4EC6-8944-B61928E5D707}</author>
    <author>tc={374AEEE4-AE40-4260-A949-6F12A7B82816}</author>
    <author>tc={165C69D5-01DA-4211-A48D-02B83FCF7371}</author>
  </authors>
  <commentList>
    <comment ref="D3" authorId="0" shapeId="0" xr:uid="{708A8D51-4166-4700-930A-C2902A87D2EC}">
      <text>
        <t>[Comentari en fils]
La vostra versió de l'Excel us permet llegir aquest comentari en fils. No obstant això, les edicions que s'hi apliquin se suprimiran si el fitxer s'obre en una versió més recent de l'Excel. Més informació: https://go.microsoft.com/fwlink/?linkid=870924.
Comentari:
    Objetivo Mínimo de Continuidad del Negoci. Nivel mínimo de servicio al que tengo que llegar para reanudar mínimamente el servicio, aunque sea en precario y sin toda la capacidad disponible.</t>
      </text>
    </comment>
    <comment ref="M3" authorId="1" shapeId="0" xr:uid="{3582FBAD-C617-4EC6-8944-B61928E5D707}">
      <text>
        <t>[Comentari en fils]
La vostra versió de l'Excel us permet llegir aquest comentari en fils. No obstant això, les edicions que s'hi apliquin se suprimiran si el fitxer s'obre en una versió més recent de l'Excel. Més informació: https://go.microsoft.com/fwlink/?linkid=870924.
Comentari:
    Objetivo de tiempo de recuperación a partir del cual el impacto es alto</t>
      </text>
    </comment>
    <comment ref="N3" authorId="2" shapeId="0" xr:uid="{374AEEE4-AE40-4260-A949-6F12A7B82816}">
      <text>
        <t>[Comentari en fils]
La vostra versió de l'Excel us permet llegir aquest comentari en fils. No obstant això, les edicions que s'hi apliquin se suprimiran si el fitxer s'obre en una versió més recent de l'Excel. Més informació: https://go.microsoft.com/fwlink/?linkid=870924.
Comentari:
    Tiempo objetivo de recuperación a partir del cual el impacto es crítico</t>
      </text>
    </comment>
    <comment ref="V3" authorId="3" shapeId="0" xr:uid="{165C69D5-01DA-4211-A48D-02B83FCF7371}">
      <text>
        <t>[Comentari en fils]
La vostra versió de l'Excel us permet llegir aquest comentari en fils. No obstant això, les edicions que s'hi apliquin se suprimiran si el fitxer s'obre en una versió més recent de l'Excel. Més informació: https://go.microsoft.com/fwlink/?linkid=870924.
Comentari:
    Punto de recuperación de los datos. Antiguedad máxima de los datos a partir de la cual el impacto sería alto</t>
      </text>
    </comment>
  </commentList>
</comments>
</file>

<file path=xl/sharedStrings.xml><?xml version="1.0" encoding="utf-8"?>
<sst xmlns="http://schemas.openxmlformats.org/spreadsheetml/2006/main" count="316" uniqueCount="118">
  <si>
    <t>Documento:</t>
  </si>
  <si>
    <t>D07 BIA-Business Impact Analysis</t>
  </si>
  <si>
    <t>Fecha</t>
  </si>
  <si>
    <t>Aprobado por:</t>
  </si>
  <si>
    <t>Jordi Roca</t>
  </si>
  <si>
    <t>Revisión:</t>
  </si>
  <si>
    <t>Clasificación</t>
  </si>
  <si>
    <t>CONFIDENCIAL/USO INTERNO</t>
  </si>
  <si>
    <t>Objetivo</t>
  </si>
  <si>
    <t>Análisis del impacto en el negocio de la interrupción de los servicios a causa de un suceso disruptivo.
Contempla:
- Determinación del RTO, MTPD y RPO de los servicios para evaluar la prioridad de recuperación
- Análisis de riesgos de disrupción para determinar los escenarios más urgentes</t>
  </si>
  <si>
    <t>Historial de cambios</t>
  </si>
  <si>
    <t>Motivo</t>
  </si>
  <si>
    <t>Versión inicial</t>
  </si>
  <si>
    <t>BUSINESS IMPACT ANALYSIS</t>
  </si>
  <si>
    <t>MAPA DE RIESGOS DE DISRUPCIÓN</t>
  </si>
  <si>
    <t>ACTIVIDAD</t>
  </si>
  <si>
    <t>TIEMPO DE RECUPERACIÓN - RECOVERY TIME (RT)
Calculado a partir de la duración del periodo de disrupción (PD)</t>
  </si>
  <si>
    <t>PUNTO DE RECUPERACIÓN DE LOS DATOS - RECOVERY POINT (RP)
Calculado a partir del periodo de pérdida de datos (PD)</t>
  </si>
  <si>
    <t>RIESGOS</t>
  </si>
  <si>
    <t>INDISPONIBILIDAD ACCESO OFICINAS
(inundación, fuego, caida suministro eléctrico, pandemia, cortes viarios, ...)</t>
  </si>
  <si>
    <t>INDISPONIBILIDAD SERVICIOS  IaaS
(Gloogle Cloud, Microsoft Azure, ...)</t>
  </si>
  <si>
    <t>INDISPONIBILIDAD SERVICIOS SaaS
(Github, Atlassian, Microsoft, ...)</t>
  </si>
  <si>
    <t>INTRUSIÓN
(robo, sabotaje, …)</t>
  </si>
  <si>
    <t>INDISPONIBILIDAD DE PERSONAS
(Intoxicación/Pandemia)</t>
  </si>
  <si>
    <t>SERVICIO</t>
  </si>
  <si>
    <t>DESCRIPCIÓN</t>
  </si>
  <si>
    <t>RECURSOS NECESARIOS</t>
  </si>
  <si>
    <t>OBJETIVO MÍNIMO DE RECUPERACIÓN</t>
  </si>
  <si>
    <t>PD &lt; 1h</t>
  </si>
  <si>
    <t>1h &lt; PD &lt; 4h</t>
  </si>
  <si>
    <t>4h &lt; PD &lt; 24h</t>
  </si>
  <si>
    <t>24h &lt; PD &lt; 48h</t>
  </si>
  <si>
    <t>48h &lt; PD &lt; 1s</t>
  </si>
  <si>
    <t>1s &lt; PD &lt; 2s</t>
  </si>
  <si>
    <t>2s &lt; PD &lt; 1m</t>
  </si>
  <si>
    <t>PD &gt; 1m</t>
  </si>
  <si>
    <t>RTO</t>
  </si>
  <si>
    <t>MTPD</t>
  </si>
  <si>
    <t xml:space="preserve"> PD &lt; 4h</t>
  </si>
  <si>
    <t>RPO</t>
  </si>
  <si>
    <t>PROBABILIDAD</t>
  </si>
  <si>
    <t>BAJA</t>
  </si>
  <si>
    <t>MEDIA</t>
  </si>
  <si>
    <t>P: ALTA</t>
  </si>
  <si>
    <t>12h &lt; IT &lt; 24h</t>
  </si>
  <si>
    <t>24 h &lt; IT &lt; 48h</t>
  </si>
  <si>
    <t>48 h &lt; IT &lt; 1 w</t>
  </si>
  <si>
    <t>1w &lt; IT&lt; 2w</t>
  </si>
  <si>
    <t>2w &lt; IT&lt; 1m</t>
  </si>
  <si>
    <t>&gt; 1m</t>
  </si>
  <si>
    <t>PRIORIDAD</t>
  </si>
  <si>
    <t>Impacto</t>
  </si>
  <si>
    <t>Riesgo</t>
  </si>
  <si>
    <t>Urgencia</t>
  </si>
  <si>
    <t>SP-1  Consultoría estratégica para el sector público</t>
  </si>
  <si>
    <t>Análisis de procedimientos de gestión, estudios específicos, planes de acción, planes estratégicos, etc, vinculados con el despliegue de la IA en las organizaciones públicas.</t>
  </si>
  <si>
    <t>HW-1 Equipos de trabajo</t>
  </si>
  <si>
    <t>Atención al cliente en un plazo máximo de 48 horas des de su sol·licitud. Respuesta del estado del proyecto. Mantenimiento de la información de seguimiento acordada</t>
  </si>
  <si>
    <t>BAJO</t>
  </si>
  <si>
    <t>MEDIO</t>
  </si>
  <si>
    <t>ALTO</t>
  </si>
  <si>
    <t>CRÍTICO</t>
  </si>
  <si>
    <t>1 s</t>
  </si>
  <si>
    <t>2s</t>
  </si>
  <si>
    <t>SP-2 Desarrollo de soluciones IA</t>
  </si>
  <si>
    <t>Servicios de desarrollo de aplicaciones ad-hoc basadas en LLM y otras tecnologias de Inteligencia Artificial, principalmente para la mejora de procesos en el sector público</t>
  </si>
  <si>
    <t>Atención a los requerimientos y respuestas a los cambios y variaciones durante la definición del proyecto</t>
  </si>
  <si>
    <t>48 h</t>
  </si>
  <si>
    <t>SP-3 Explotación de plataformas tecnológicas de soluciones IA</t>
  </si>
  <si>
    <t xml:space="preserve">Servicios de desarrollo de plataforma SaaS, con agregación de diferentes funcionalidades, y comercialización y explotación de las mismas. </t>
  </si>
  <si>
    <t>Estado de respuesta de la infraestructura que da servicio a todas las soluciones</t>
  </si>
  <si>
    <t>24h</t>
  </si>
  <si>
    <t>4d</t>
  </si>
  <si>
    <t>ALTA</t>
  </si>
  <si>
    <t>CRÍTICA</t>
  </si>
  <si>
    <t>SP-4 Soporte y mantenimiento de las soluciones IA</t>
  </si>
  <si>
    <t>Soporte a las consultas e incidentes de los clientes y mantenimiento de la instalación.</t>
  </si>
  <si>
    <t>Atención y respuesta frente a bugs y requerimientos de última hora o cambios necesarios</t>
  </si>
  <si>
    <t>SP-6 Servicios internos de gestión comercial, administración y de soporte</t>
  </si>
  <si>
    <t>"Servicios de soporte a la gestión de los servicios de la empresa, que incluye los procesos comercial, contratación, facturación, cobros, etc. Si bien directamente no están dentro del alcance, en algunos casos pueden ser de apoyo, por ejemplo, por el hecho de que los contratos determinan las condiciones del servicio."</t>
  </si>
  <si>
    <t>.</t>
  </si>
  <si>
    <t>1s</t>
  </si>
  <si>
    <t>1m</t>
  </si>
  <si>
    <t>SP-7 Gestión de infraestructura de plataformas tecnológicas</t>
  </si>
  <si>
    <t>Gestión de la infraestructura de la plataforma tecnológica de soluciones IA</t>
  </si>
  <si>
    <t>1d</t>
  </si>
  <si>
    <t>SP-8 Servicios informática interna</t>
  </si>
  <si>
    <t>Servicios de informática a usuarios internos (correo electrónico, equipos de trabajo, ofimática, ...)</t>
  </si>
  <si>
    <t>Prioridad de recuperación más alta ya que tiene el RTO más bajo. De lo contrario, se producirían graves daños al negocio. 
No hay soluciones alternativas adecuadas.</t>
  </si>
  <si>
    <t>Prioridad de recuperación media. Estas actividades deben recuperarse lo antes posible después de que se restablezcan las de alta prioridad. No hay daño a corto plazo para el negocio, pero el impacto podría ser mayor si la interrupción de las actividades dura más de lo esperado. 
Pueden existir soluciones temporales a corto plazo.</t>
  </si>
  <si>
    <t>Prioridad de recuperación más baja. Estas actividades se pueden recuperar después de restaurar todas las demás con mayor prioridad. 
Su indisponibilidad tiene poco impacto en la continuidad del negocio porque tienen poco valor añadido o existen algunas soluciones alternativas a largo plazo.</t>
  </si>
  <si>
    <t>CÁLCULO DEL RIESGO</t>
  </si>
  <si>
    <t>Impacto de la disrupción en los servicios</t>
  </si>
  <si>
    <t>Probabilidad del suceso</t>
  </si>
  <si>
    <t>Existe una alta probabilidad de que este suceso pueda causar una disrupción de las actividades, ya que la empresa no puede garantizar la disponibilidad de las actividades en estas condiciones</t>
  </si>
  <si>
    <t>Este suceso puede causar un grado degradación de la actividad relevante, puesto que la organización no está totalmente preparada para la disponibilidad de sus actividades en caso de que se produzca.</t>
  </si>
  <si>
    <t>Existe una baja probabilidad de que si se produzca pueda causar la interrupción de las actividades porque la organización está bien preparada para responder a este tipo de eventos.</t>
  </si>
  <si>
    <t>Es muy probable que experimentemos sucesos de esta naturaleza tarde o temprano. De hecho, probablemente han pasado recientemente.</t>
  </si>
  <si>
    <t>Es perfectamente posible que experimentemos algún suceso de esta naturaleza</t>
  </si>
  <si>
    <t>Los incidentes de esta naturaleza son raros, pero existe una posibilidad real de que podamos experimentarlos en algún momento futuro.</t>
  </si>
  <si>
    <t>CÁLCULO DE URGÉNCIA</t>
  </si>
  <si>
    <t>RIESGO</t>
  </si>
  <si>
    <t>BAIX</t>
  </si>
  <si>
    <t>És probable que experimentem incidents d’aquesta naturalesa tard o d’hora. De fet, probablement han passat recentment.</t>
  </si>
  <si>
    <t>IMPACTO DEL PERIODO DE DISRUPCIÓN</t>
  </si>
  <si>
    <t>Daño al negocio muy alto. La continuidad de las operaciones de la empresa puede verse gravemente comprometida, si es que no se produce un fallo operativo completo.
Interrupción del proceso mayor
Podría implicar pérdida de clientes críticos o penalizaciones severas.</t>
  </si>
  <si>
    <t>Pérdida severa de la capacidad operativa, altamente dañino y extremadamente costoso pero sobrevivible.
No se pueden mantener posibles soluciones alternativas o replanificación de operaciones.
Severa insatisfacción de clientes críticos. Puede implicar el pago de penalizaciones relevantes.
La reputación de la empresa queda seriamente dañada.</t>
  </si>
  <si>
    <t>Impacto operativo notable pero limitado, algunos costos.
Hay soluciones temporales disponibles.
La replanificación de las operaciones es posible
Puede afectar al servicio al cliente pero se puede gestionar
Hay un impacto limitado en la reputación de la empresa, pero se puede gestionar.</t>
  </si>
  <si>
    <t>Mínimo o ningún impacto operativo, costos insignificantes.
Soluciones alternativas disponibles.
Ajustes menores al plan de operaciones.
Los clientes no notan casi ningún impacto
La reputación de la empresa no se ve afectada.</t>
  </si>
  <si>
    <t>IMPACTO DE LA PÉRDIDA DE DATOS</t>
  </si>
  <si>
    <t>CRITICO</t>
  </si>
  <si>
    <t>La mayoría de los datos críticos no se pueden recuperar.
Incluso la reelaboración puede ser muy costosa o prácticamente imposible.
Daño comercial muy alto. La continuidad de las operaciones de la empresa puede verse gravemente comprometida, si es que no se produce un fallo operativo completo.
Podría implicar pérdida de clientes críticos o penalizaciones severas.</t>
  </si>
  <si>
    <t>Importante pérdida de datos que difícilmente se pueden recuperar.
Se requiere una reelaboración costosa para recuperar (si es posible) la información perdida
Puede ser necesario invocar a terceros para recuperar la información.
Pérdida severa de la capacidad operativa, altamente dañino y extremadamente costoso.
Severa insatisfacción de clientes críticos o puede implicar el pago de penalizaciones relevantes.</t>
  </si>
  <si>
    <t>Gran cantidad de pérdida de datos. Se puede recuperar en su mayor parte pero con un esfuerzo o coste asumible.
Puede producir un impacto operativo notable pero limitado, algunos costes.
Puede afectar al servicio al cliente pero se puede gestionar</t>
  </si>
  <si>
    <t>Pérdida mínima de datos con un impacto operativo insignificante.
Los datos se pueden recuperar fácilmente.</t>
  </si>
  <si>
    <t>&gt;1m</t>
  </si>
  <si>
    <t>48h</t>
  </si>
  <si>
    <t>2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</si>
</sst>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sz val="11"/>
      <color rgb="FFFF0000"/>
      <name val="Calibri"/>
      <family val="2"/>
      <scheme val="minor"/>
    </font>
    <font>
      <b/>
      <sz val="16"/>
      <color theme="1"/>
      <name val="Calibri"/>
      <family val="2"/>
      <scheme val="minor"/>
    </font>
    <font>
      <b/>
      <sz val="18"/>
      <color theme="1"/>
      <name val="Calibri"/>
      <family val="2"/>
      <scheme val="minor"/>
    </font>
    <font>
      <b/>
      <sz val="11"/>
      <color theme="5"/>
      <name val="Calibri"/>
      <family val="2"/>
      <scheme val="minor"/>
    </font>
    <font>
      <sz val="11"/>
      <name val="Calibri"/>
      <family val="2"/>
      <scheme val="minor"/>
    </font>
    <font>
      <sz val="11"/>
      <color theme="1"/>
      <name val="Arial"/>
    </font>
    <font>
      <sz val="11"/>
      <name val="Arial"/>
      <family val="2"/>
    </font>
    <font>
      <sz val="11"/>
      <color theme="9"/>
      <name val="Calibri"/>
      <family val="2"/>
      <scheme val="minor"/>
    </font>
    <font>
      <sz val="11"/>
      <color theme="5"/>
      <name val="Calibri"/>
      <family val="2"/>
      <scheme val="minor"/>
    </font>
    <font>
      <b/>
      <sz val="11"/>
      <color theme="9"/>
      <name val="Calibri"/>
      <family val="2"/>
      <scheme val="minor"/>
    </font>
    <font>
      <b/>
      <sz val="11"/>
      <color rgb="FFC00000"/>
      <name val="Calibri"/>
      <family val="2"/>
      <scheme val="minor"/>
    </font>
    <font>
      <b/>
      <sz val="11"/>
      <name val="Calibri"/>
      <family val="2"/>
      <scheme val="minor"/>
    </font>
    <font>
      <b/>
      <sz val="11"/>
      <color rgb="FFFF3300"/>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0"/>
      <name val="Calibri"/>
      <family val="2"/>
      <scheme val="minor"/>
    </font>
    <font>
      <b/>
      <sz val="10"/>
      <name val="Calibri"/>
      <family val="2"/>
      <scheme val="minor"/>
    </font>
    <font>
      <sz val="11"/>
      <color theme="1"/>
      <name val="Calibri"/>
      <family val="2"/>
    </font>
    <font>
      <sz val="11"/>
      <color rgb="FF000000"/>
      <name val="Calibri"/>
      <family val="2"/>
    </font>
    <font>
      <b/>
      <sz val="11"/>
      <color rgb="FF000000"/>
      <name val="Calibri"/>
      <family val="2"/>
    </font>
    <font>
      <b/>
      <sz val="11"/>
      <color rgb="FFFF0000"/>
      <name val="Calibri"/>
      <family val="2"/>
    </font>
    <font>
      <b/>
      <sz val="14"/>
      <color rgb="FFFFFFFF"/>
      <name val="Calibri"/>
      <family val="2"/>
    </font>
    <font>
      <sz val="14"/>
      <name val="Arial"/>
      <family val="2"/>
    </font>
    <font>
      <sz val="10"/>
      <color rgb="FF000000"/>
      <name val="Calibri"/>
      <family val="2"/>
    </font>
  </fonts>
  <fills count="2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C66"/>
        <bgColor indexed="64"/>
      </patternFill>
    </fill>
    <fill>
      <patternFill patternType="solid">
        <fgColor rgb="FFFF66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2EFDA"/>
        <bgColor indexed="64"/>
      </patternFill>
    </fill>
    <fill>
      <patternFill patternType="solid">
        <fgColor theme="4" tint="0.79998168889431442"/>
        <bgColor indexed="64"/>
      </patternFill>
    </fill>
    <fill>
      <patternFill patternType="solid">
        <fgColor rgb="FFFFE1FF"/>
        <bgColor indexed="64"/>
      </patternFill>
    </fill>
    <fill>
      <patternFill patternType="solid">
        <fgColor theme="7" tint="0.59999389629810485"/>
        <bgColor indexed="64"/>
      </patternFill>
    </fill>
    <fill>
      <patternFill patternType="solid">
        <fgColor rgb="FFFF9B9B"/>
        <bgColor indexed="64"/>
      </patternFill>
    </fill>
    <fill>
      <patternFill patternType="solid">
        <fgColor rgb="FFFF00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5"/>
        <bgColor indexed="64"/>
      </patternFill>
    </fill>
    <fill>
      <patternFill patternType="solid">
        <fgColor theme="7" tint="0.39997558519241921"/>
        <bgColor indexed="64"/>
      </patternFill>
    </fill>
    <fill>
      <patternFill patternType="solid">
        <fgColor theme="0" tint="-0.34998626667073579"/>
        <bgColor indexed="64"/>
      </patternFill>
    </fill>
    <fill>
      <patternFill patternType="solid">
        <fgColor theme="0" tint="-0.14999847407452621"/>
        <bgColor rgb="FFF9CB9C"/>
      </patternFill>
    </fill>
    <fill>
      <patternFill patternType="solid">
        <fgColor theme="1" tint="0.34998626667073579"/>
        <bgColor rgb="FFE69138"/>
      </patternFill>
    </fill>
    <fill>
      <patternFill patternType="solid">
        <fgColor theme="1" tint="0.34998626667073579"/>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theme="0" tint="-0.499984740745262"/>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theme="0" tint="-0.499984740745262"/>
      </left>
      <right style="medium">
        <color indexed="64"/>
      </right>
      <top/>
      <bottom style="thin">
        <color theme="0" tint="-0.499984740745262"/>
      </bottom>
      <diagonal/>
    </border>
    <border>
      <left style="medium">
        <color indexed="64"/>
      </left>
      <right style="thin">
        <color theme="0" tint="-0.499984740745262"/>
      </right>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thin">
        <color theme="8" tint="-0.499984740745262"/>
      </left>
      <right style="thin">
        <color theme="8" tint="-0.499984740745262"/>
      </right>
      <top style="thin">
        <color theme="8" tint="-0.499984740745262"/>
      </top>
      <bottom style="thin">
        <color theme="8" tint="-0.499984740745262"/>
      </bottom>
      <diagonal/>
    </border>
    <border>
      <left/>
      <right style="thin">
        <color indexed="64"/>
      </right>
      <top style="thin">
        <color indexed="64"/>
      </top>
      <bottom style="thin">
        <color indexed="64"/>
      </bottom>
      <diagonal/>
    </border>
    <border>
      <left style="thin">
        <color rgb="FFA5A5A5"/>
      </left>
      <right style="thin">
        <color rgb="FFA5A5A5"/>
      </right>
      <top style="thin">
        <color rgb="FFA5A5A5"/>
      </top>
      <bottom style="thin">
        <color rgb="FFA5A5A5"/>
      </bottom>
      <diagonal/>
    </border>
  </borders>
  <cellStyleXfs count="2">
    <xf numFmtId="0" fontId="0" fillId="0" borderId="0"/>
    <xf numFmtId="0" fontId="7" fillId="0" borderId="0"/>
  </cellStyleXfs>
  <cellXfs count="172">
    <xf numFmtId="0" fontId="0" fillId="0" borderId="0" xfId="0"/>
    <xf numFmtId="0" fontId="0" fillId="0" borderId="0" xfId="0" applyAlignment="1">
      <alignment horizontal="center"/>
    </xf>
    <xf numFmtId="0" fontId="0" fillId="0" borderId="0" xfId="0" applyAlignment="1">
      <alignment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wrapText="1"/>
    </xf>
    <xf numFmtId="0" fontId="8" fillId="15" borderId="6" xfId="0" applyFont="1" applyFill="1" applyBorder="1" applyAlignment="1">
      <alignment horizontal="center" vertical="center" wrapText="1"/>
    </xf>
    <xf numFmtId="0" fontId="8" fillId="18" borderId="6" xfId="0" applyFont="1" applyFill="1" applyBorder="1" applyAlignment="1">
      <alignment horizontal="center" vertical="center" wrapText="1"/>
    </xf>
    <xf numFmtId="0" fontId="6" fillId="10" borderId="1" xfId="0" applyFont="1" applyFill="1" applyBorder="1" applyAlignment="1">
      <alignment horizontal="center" vertical="center"/>
    </xf>
    <xf numFmtId="0" fontId="1" fillId="19" borderId="1" xfId="0" applyFont="1" applyFill="1" applyBorder="1" applyAlignment="1">
      <alignment horizontal="center" vertical="center"/>
    </xf>
    <xf numFmtId="0" fontId="1" fillId="19" borderId="15" xfId="0" applyFont="1" applyFill="1" applyBorder="1" applyAlignment="1">
      <alignment horizontal="center" vertical="center"/>
    </xf>
    <xf numFmtId="0" fontId="13" fillId="14" borderId="15" xfId="0" applyFont="1" applyFill="1" applyBorder="1" applyAlignment="1">
      <alignment horizontal="center" vertical="center"/>
    </xf>
    <xf numFmtId="0" fontId="13" fillId="16" borderId="15" xfId="0" applyFont="1" applyFill="1" applyBorder="1" applyAlignment="1">
      <alignment horizontal="center" vertical="center"/>
    </xf>
    <xf numFmtId="0" fontId="13" fillId="21" borderId="15" xfId="0" applyFont="1" applyFill="1" applyBorder="1" applyAlignment="1">
      <alignment horizontal="center" vertical="center"/>
    </xf>
    <xf numFmtId="0" fontId="13" fillId="7" borderId="15" xfId="0" applyFont="1" applyFill="1" applyBorder="1" applyAlignment="1">
      <alignment horizontal="center" vertical="center"/>
    </xf>
    <xf numFmtId="0" fontId="1" fillId="18" borderId="16" xfId="0" applyFont="1" applyFill="1" applyBorder="1" applyAlignment="1">
      <alignment horizontal="right" vertical="center"/>
    </xf>
    <xf numFmtId="0" fontId="1" fillId="14" borderId="16" xfId="0" applyFont="1" applyFill="1" applyBorder="1" applyAlignment="1">
      <alignment horizontal="left" vertical="center"/>
    </xf>
    <xf numFmtId="0" fontId="1" fillId="19" borderId="14" xfId="0" applyFont="1" applyFill="1" applyBorder="1" applyAlignment="1">
      <alignment horizontal="center" vertical="center"/>
    </xf>
    <xf numFmtId="0" fontId="9" fillId="0" borderId="14" xfId="0" applyFont="1" applyBorder="1" applyAlignment="1">
      <alignment horizontal="center" vertical="center"/>
    </xf>
    <xf numFmtId="0" fontId="2" fillId="0" borderId="14" xfId="0" applyFont="1" applyBorder="1" applyAlignment="1">
      <alignment horizontal="center" vertical="center"/>
    </xf>
    <xf numFmtId="0" fontId="10" fillId="0" borderId="14" xfId="0" applyFont="1" applyBorder="1" applyAlignment="1">
      <alignment horizontal="center" vertical="center"/>
    </xf>
    <xf numFmtId="0" fontId="1" fillId="18" borderId="24" xfId="0" applyFont="1" applyFill="1" applyBorder="1" applyAlignment="1">
      <alignment horizontal="center" vertical="center" wrapText="1"/>
    </xf>
    <xf numFmtId="0" fontId="1" fillId="0" borderId="32" xfId="0" applyFont="1" applyBorder="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0" fillId="2" borderId="14" xfId="0" applyFill="1" applyBorder="1" applyAlignment="1">
      <alignment horizontal="center" vertical="center"/>
    </xf>
    <xf numFmtId="0" fontId="0" fillId="0" borderId="15" xfId="0" applyBorder="1" applyAlignment="1">
      <alignment horizontal="center" vertical="center"/>
    </xf>
    <xf numFmtId="0" fontId="16" fillId="0" borderId="0" xfId="0" applyFont="1"/>
    <xf numFmtId="0" fontId="19" fillId="21" borderId="15" xfId="0" applyFont="1" applyFill="1" applyBorder="1" applyAlignment="1">
      <alignment horizontal="center" vertical="center"/>
    </xf>
    <xf numFmtId="0" fontId="19" fillId="14" borderId="15" xfId="0" applyFont="1" applyFill="1" applyBorder="1" applyAlignment="1">
      <alignment horizontal="center" vertical="center"/>
    </xf>
    <xf numFmtId="0" fontId="19" fillId="7" borderId="15" xfId="0" applyFont="1" applyFill="1" applyBorder="1" applyAlignment="1">
      <alignment horizontal="center" vertical="center"/>
    </xf>
    <xf numFmtId="0" fontId="19" fillId="7" borderId="21" xfId="0" applyFont="1" applyFill="1" applyBorder="1" applyAlignment="1">
      <alignment horizontal="center" vertical="center"/>
    </xf>
    <xf numFmtId="0" fontId="15" fillId="13" borderId="1" xfId="0" applyFont="1" applyFill="1" applyBorder="1" applyAlignment="1">
      <alignment horizontal="center" vertical="center"/>
    </xf>
    <xf numFmtId="0" fontId="15" fillId="13" borderId="15" xfId="0" applyFont="1" applyFill="1" applyBorder="1" applyAlignment="1">
      <alignment horizontal="center" vertical="center"/>
    </xf>
    <xf numFmtId="0" fontId="15" fillId="12" borderId="14" xfId="0" applyFont="1" applyFill="1" applyBorder="1" applyAlignment="1">
      <alignment horizontal="center" vertical="center"/>
    </xf>
    <xf numFmtId="0" fontId="15" fillId="12" borderId="19" xfId="0" applyFont="1" applyFill="1" applyBorder="1" applyAlignment="1">
      <alignment horizontal="center" vertical="center"/>
    </xf>
    <xf numFmtId="0" fontId="16" fillId="0" borderId="0" xfId="1" applyFont="1"/>
    <xf numFmtId="0" fontId="18" fillId="10" borderId="15" xfId="0" applyFont="1" applyFill="1" applyBorder="1" applyAlignment="1">
      <alignment horizontal="center" vertical="center"/>
    </xf>
    <xf numFmtId="0" fontId="18" fillId="10" borderId="20" xfId="0" applyFont="1" applyFill="1" applyBorder="1" applyAlignment="1">
      <alignment horizontal="center" vertical="center"/>
    </xf>
    <xf numFmtId="0" fontId="18" fillId="10" borderId="21" xfId="0" applyFont="1" applyFill="1" applyBorder="1" applyAlignment="1">
      <alignment horizontal="center" vertical="center"/>
    </xf>
    <xf numFmtId="0" fontId="15" fillId="13" borderId="5" xfId="0" applyFont="1" applyFill="1" applyBorder="1" applyAlignment="1">
      <alignment horizontal="center" vertical="center"/>
    </xf>
    <xf numFmtId="0" fontId="15" fillId="13" borderId="31" xfId="0" applyFont="1" applyFill="1" applyBorder="1" applyAlignment="1">
      <alignment horizontal="center" vertical="center"/>
    </xf>
    <xf numFmtId="0" fontId="15" fillId="13" borderId="7" xfId="0" applyFont="1" applyFill="1" applyBorder="1" applyAlignment="1">
      <alignment horizontal="center" vertical="center"/>
    </xf>
    <xf numFmtId="0" fontId="18" fillId="16" borderId="2" xfId="0" applyFont="1" applyFill="1" applyBorder="1" applyAlignment="1">
      <alignment horizontal="center" vertical="center" wrapText="1"/>
    </xf>
    <xf numFmtId="0" fontId="19" fillId="21" borderId="17" xfId="0" applyFont="1" applyFill="1" applyBorder="1" applyAlignment="1">
      <alignment horizontal="center" vertical="center"/>
    </xf>
    <xf numFmtId="0" fontId="19" fillId="14" borderId="25" xfId="0" applyFont="1" applyFill="1" applyBorder="1" applyAlignment="1">
      <alignment horizontal="center" vertical="center"/>
    </xf>
    <xf numFmtId="0" fontId="16" fillId="12" borderId="15" xfId="0" applyFont="1" applyFill="1" applyBorder="1" applyAlignment="1">
      <alignment vertical="center" wrapText="1"/>
    </xf>
    <xf numFmtId="0" fontId="16" fillId="12" borderId="21" xfId="0" applyFont="1" applyFill="1" applyBorder="1" applyAlignment="1">
      <alignment vertical="center" wrapText="1"/>
    </xf>
    <xf numFmtId="0" fontId="15" fillId="13" borderId="14" xfId="0" applyFont="1" applyFill="1" applyBorder="1" applyAlignment="1">
      <alignment horizontal="center" vertical="center"/>
    </xf>
    <xf numFmtId="0" fontId="16" fillId="13" borderId="19" xfId="0" applyFont="1" applyFill="1" applyBorder="1" applyAlignment="1">
      <alignment horizontal="center" vertical="center" wrapText="1"/>
    </xf>
    <xf numFmtId="0" fontId="16" fillId="13" borderId="20" xfId="0" applyFont="1" applyFill="1" applyBorder="1" applyAlignment="1">
      <alignment horizontal="center" vertical="center" wrapText="1"/>
    </xf>
    <xf numFmtId="0" fontId="16" fillId="13" borderId="21" xfId="0" applyFont="1" applyFill="1" applyBorder="1" applyAlignment="1">
      <alignment horizontal="center" vertical="center" wrapText="1"/>
    </xf>
    <xf numFmtId="0" fontId="0" fillId="4" borderId="37" xfId="0" applyFill="1" applyBorder="1" applyAlignment="1">
      <alignment horizontal="center" vertical="center"/>
    </xf>
    <xf numFmtId="0" fontId="0" fillId="3" borderId="37" xfId="0" applyFill="1" applyBorder="1" applyAlignment="1">
      <alignment horizontal="center" vertical="center"/>
    </xf>
    <xf numFmtId="0" fontId="0" fillId="2" borderId="38" xfId="0" applyFill="1" applyBorder="1" applyAlignment="1">
      <alignment horizontal="center" vertical="center"/>
    </xf>
    <xf numFmtId="0" fontId="0" fillId="5" borderId="43" xfId="0" applyFill="1" applyBorder="1" applyAlignment="1">
      <alignment horizontal="center" vertical="center"/>
    </xf>
    <xf numFmtId="0" fontId="11" fillId="19" borderId="16" xfId="0" applyFont="1" applyFill="1" applyBorder="1" applyAlignment="1">
      <alignment horizontal="center" vertical="center"/>
    </xf>
    <xf numFmtId="0" fontId="12" fillId="19" borderId="16" xfId="0" applyFont="1" applyFill="1" applyBorder="1" applyAlignment="1">
      <alignment horizontal="center" vertical="center"/>
    </xf>
    <xf numFmtId="0" fontId="5" fillId="19" borderId="16" xfId="0" applyFont="1" applyFill="1" applyBorder="1" applyAlignment="1">
      <alignment horizontal="center" vertical="center"/>
    </xf>
    <xf numFmtId="0" fontId="0" fillId="5" borderId="44" xfId="0" applyFill="1" applyBorder="1" applyAlignment="1">
      <alignment horizontal="center" vertical="center"/>
    </xf>
    <xf numFmtId="0" fontId="0" fillId="0" borderId="45" xfId="0" applyBorder="1" applyAlignment="1">
      <alignment vertical="center" wrapText="1"/>
    </xf>
    <xf numFmtId="0" fontId="0" fillId="0" borderId="18" xfId="0" applyBorder="1" applyAlignment="1">
      <alignment vertical="center" wrapText="1"/>
    </xf>
    <xf numFmtId="0" fontId="0" fillId="0" borderId="22" xfId="0" applyBorder="1" applyAlignment="1">
      <alignment vertical="center" wrapText="1"/>
    </xf>
    <xf numFmtId="0" fontId="0" fillId="0" borderId="42" xfId="0" applyBorder="1" applyAlignment="1">
      <alignment vertical="center" wrapText="1"/>
    </xf>
    <xf numFmtId="0" fontId="18" fillId="15" borderId="8" xfId="0" applyFont="1" applyFill="1" applyBorder="1" applyAlignment="1">
      <alignment horizontal="center" vertical="center" wrapText="1"/>
    </xf>
    <xf numFmtId="0" fontId="18" fillId="15" borderId="9" xfId="0" applyFont="1" applyFill="1" applyBorder="1" applyAlignment="1">
      <alignment horizontal="center" vertical="center" wrapText="1"/>
    </xf>
    <xf numFmtId="0" fontId="6" fillId="18" borderId="10" xfId="0"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6" fillId="18" borderId="19" xfId="0" applyFont="1" applyFill="1" applyBorder="1" applyAlignment="1">
      <alignment horizontal="center" vertical="center" wrapText="1"/>
    </xf>
    <xf numFmtId="0" fontId="16" fillId="0" borderId="0" xfId="0" applyFont="1" applyAlignment="1">
      <alignment vertical="center"/>
    </xf>
    <xf numFmtId="0" fontId="20" fillId="0" borderId="0" xfId="1" applyFont="1"/>
    <xf numFmtId="0" fontId="7" fillId="0" borderId="0" xfId="1"/>
    <xf numFmtId="0" fontId="21" fillId="0" borderId="0" xfId="1" applyFont="1" applyAlignment="1">
      <alignment horizontal="center"/>
    </xf>
    <xf numFmtId="0" fontId="21" fillId="0" borderId="46" xfId="1" applyFont="1" applyBorder="1" applyAlignment="1">
      <alignment vertical="center" wrapText="1"/>
    </xf>
    <xf numFmtId="14" fontId="21" fillId="0" borderId="46" xfId="1" applyNumberFormat="1" applyFont="1" applyBorder="1" applyAlignment="1">
      <alignment vertical="center" wrapText="1"/>
    </xf>
    <xf numFmtId="0" fontId="23" fillId="0" borderId="46" xfId="1" applyFont="1" applyBorder="1" applyAlignment="1">
      <alignment vertical="center" wrapText="1"/>
    </xf>
    <xf numFmtId="0" fontId="22" fillId="0" borderId="46" xfId="1" applyFont="1" applyBorder="1" applyAlignment="1">
      <alignment vertical="center" wrapText="1"/>
    </xf>
    <xf numFmtId="0" fontId="0" fillId="2" borderId="47" xfId="0" applyFill="1" applyBorder="1" applyAlignment="1">
      <alignment horizontal="center" vertical="center"/>
    </xf>
    <xf numFmtId="0" fontId="26" fillId="0" borderId="48" xfId="0" applyFont="1" applyBorder="1" applyAlignment="1">
      <alignment vertical="center" wrapText="1"/>
    </xf>
    <xf numFmtId="0" fontId="6" fillId="0" borderId="1" xfId="0" applyFont="1" applyBorder="1" applyAlignment="1">
      <alignment horizontal="center" vertical="center"/>
    </xf>
    <xf numFmtId="0" fontId="6" fillId="0" borderId="15" xfId="0" applyFont="1" applyBorder="1" applyAlignment="1">
      <alignment horizontal="center" vertical="center"/>
    </xf>
    <xf numFmtId="0" fontId="22" fillId="24" borderId="46" xfId="1" applyFont="1" applyFill="1" applyBorder="1" applyAlignment="1">
      <alignment vertical="center" wrapText="1"/>
    </xf>
    <xf numFmtId="0" fontId="22" fillId="24" borderId="46" xfId="1" applyFont="1" applyFill="1" applyBorder="1" applyAlignment="1">
      <alignment horizontal="center" vertical="center" wrapText="1"/>
    </xf>
    <xf numFmtId="0" fontId="0" fillId="0" borderId="15" xfId="0" applyBorder="1" applyAlignment="1">
      <alignment wrapText="1"/>
    </xf>
    <xf numFmtId="0" fontId="0" fillId="0" borderId="15" xfId="0" applyBorder="1" applyAlignment="1">
      <alignment vertical="top" wrapText="1"/>
    </xf>
    <xf numFmtId="0" fontId="7" fillId="0" borderId="0" xfId="1" applyAlignment="1">
      <alignment horizontal="center"/>
    </xf>
    <xf numFmtId="0" fontId="24" fillId="25" borderId="46" xfId="1" applyFont="1" applyFill="1" applyBorder="1" applyAlignment="1">
      <alignment horizontal="center" vertical="center" wrapText="1"/>
    </xf>
    <xf numFmtId="0" fontId="25" fillId="26" borderId="46" xfId="1" applyFont="1" applyFill="1" applyBorder="1"/>
    <xf numFmtId="0" fontId="5" fillId="9" borderId="16"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17" xfId="0" applyFont="1" applyFill="1" applyBorder="1" applyAlignment="1">
      <alignment horizontal="center" vertical="center"/>
    </xf>
    <xf numFmtId="0" fontId="1" fillId="9" borderId="24"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1" fillId="9" borderId="27" xfId="0" applyFont="1" applyFill="1" applyBorder="1" applyAlignment="1">
      <alignment horizontal="center" vertical="center" wrapText="1"/>
    </xf>
    <xf numFmtId="0" fontId="11" fillId="9" borderId="16" xfId="0" applyFont="1" applyFill="1" applyBorder="1" applyAlignment="1">
      <alignment horizontal="center" vertical="center"/>
    </xf>
    <xf numFmtId="0" fontId="14" fillId="9" borderId="2" xfId="0" applyFont="1" applyFill="1" applyBorder="1" applyAlignment="1">
      <alignment horizontal="center" vertical="center"/>
    </xf>
    <xf numFmtId="0" fontId="14" fillId="9" borderId="17" xfId="0" applyFont="1" applyFill="1" applyBorder="1" applyAlignment="1">
      <alignment horizontal="center" vertical="center"/>
    </xf>
    <xf numFmtId="0" fontId="1" fillId="8" borderId="28" xfId="0" applyFont="1" applyFill="1" applyBorder="1" applyAlignment="1">
      <alignment horizontal="center" vertical="center"/>
    </xf>
    <xf numFmtId="0" fontId="1" fillId="8" borderId="30"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29" xfId="0" applyFont="1" applyFill="1" applyBorder="1" applyAlignment="1">
      <alignment horizontal="center" vertical="center"/>
    </xf>
    <xf numFmtId="0" fontId="1" fillId="8" borderId="31"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1" fillId="7" borderId="29" xfId="0" applyFont="1" applyFill="1" applyBorder="1" applyAlignment="1">
      <alignment horizontal="center" vertical="center"/>
    </xf>
    <xf numFmtId="0" fontId="1" fillId="7" borderId="31" xfId="0" applyFont="1" applyFill="1" applyBorder="1" applyAlignment="1">
      <alignment horizontal="center" vertical="center"/>
    </xf>
    <xf numFmtId="0" fontId="3" fillId="20" borderId="11" xfId="0" applyFont="1" applyFill="1" applyBorder="1" applyAlignment="1">
      <alignment horizontal="center" vertical="center"/>
    </xf>
    <xf numFmtId="0" fontId="3" fillId="20" borderId="12" xfId="0" applyFont="1" applyFill="1" applyBorder="1" applyAlignment="1">
      <alignment horizontal="center" vertical="center"/>
    </xf>
    <xf numFmtId="0" fontId="3" fillId="20" borderId="13" xfId="0" applyFont="1" applyFill="1" applyBorder="1" applyAlignment="1">
      <alignment horizontal="center" vertical="center"/>
    </xf>
    <xf numFmtId="0" fontId="4" fillId="22" borderId="33" xfId="0" applyFont="1" applyFill="1" applyBorder="1" applyAlignment="1">
      <alignment horizontal="center" vertical="center"/>
    </xf>
    <xf numFmtId="0" fontId="4" fillId="22" borderId="34" xfId="0" applyFont="1" applyFill="1" applyBorder="1" applyAlignment="1">
      <alignment horizontal="center" vertical="center"/>
    </xf>
    <xf numFmtId="0" fontId="4" fillId="22" borderId="35" xfId="0" applyFont="1" applyFill="1" applyBorder="1" applyAlignment="1">
      <alignment horizontal="center" vertical="center"/>
    </xf>
    <xf numFmtId="0" fontId="1" fillId="14" borderId="24" xfId="0" applyFont="1" applyFill="1" applyBorder="1" applyAlignment="1">
      <alignment horizontal="center" vertical="center"/>
    </xf>
    <xf numFmtId="0" fontId="1" fillId="14" borderId="3" xfId="0" applyFont="1" applyFill="1" applyBorder="1" applyAlignment="1">
      <alignment horizontal="center" vertical="center"/>
    </xf>
    <xf numFmtId="0" fontId="1" fillId="14" borderId="27" xfId="0" applyFont="1" applyFill="1" applyBorder="1" applyAlignment="1">
      <alignment horizontal="center" vertical="center"/>
    </xf>
    <xf numFmtId="0" fontId="1" fillId="7" borderId="24"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3" xfId="0" applyFont="1" applyFill="1" applyBorder="1" applyAlignment="1">
      <alignment horizontal="center" vertical="center"/>
    </xf>
    <xf numFmtId="0" fontId="1" fillId="7" borderId="27" xfId="0" applyFont="1" applyFill="1" applyBorder="1" applyAlignment="1">
      <alignment horizontal="center" vertical="center"/>
    </xf>
    <xf numFmtId="0" fontId="1" fillId="8" borderId="24"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3" xfId="0" applyFont="1" applyFill="1" applyBorder="1" applyAlignment="1">
      <alignment horizontal="center" vertical="center"/>
    </xf>
    <xf numFmtId="0" fontId="1" fillId="8" borderId="27" xfId="0" applyFont="1" applyFill="1" applyBorder="1" applyAlignment="1">
      <alignment horizontal="center" vertical="center"/>
    </xf>
    <xf numFmtId="0" fontId="1" fillId="6" borderId="28" xfId="0" applyFont="1" applyFill="1" applyBorder="1" applyAlignment="1">
      <alignment horizontal="center" vertical="center"/>
    </xf>
    <xf numFmtId="0" fontId="1" fillId="6" borderId="30"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29" xfId="0" applyFont="1" applyFill="1" applyBorder="1" applyAlignment="1">
      <alignment horizontal="center" vertical="center"/>
    </xf>
    <xf numFmtId="0" fontId="1" fillId="6" borderId="31" xfId="0" applyFont="1" applyFill="1" applyBorder="1" applyAlignment="1">
      <alignment horizontal="center" vertical="center"/>
    </xf>
    <xf numFmtId="0" fontId="1" fillId="7" borderId="28" xfId="0" applyFont="1" applyFill="1" applyBorder="1" applyAlignment="1">
      <alignment horizontal="center" vertical="center"/>
    </xf>
    <xf numFmtId="0" fontId="1" fillId="7" borderId="30" xfId="0" applyFont="1" applyFill="1" applyBorder="1" applyAlignment="1">
      <alignment horizontal="center" vertical="center"/>
    </xf>
    <xf numFmtId="0" fontId="15" fillId="12" borderId="26" xfId="0" applyFont="1" applyFill="1" applyBorder="1" applyAlignment="1">
      <alignment horizontal="center" vertical="center"/>
    </xf>
    <xf numFmtId="0" fontId="15" fillId="12" borderId="25" xfId="0" applyFont="1" applyFill="1" applyBorder="1" applyAlignment="1">
      <alignment horizontal="center" vertical="center"/>
    </xf>
    <xf numFmtId="0" fontId="15" fillId="23" borderId="33" xfId="0" applyFont="1" applyFill="1" applyBorder="1" applyAlignment="1">
      <alignment horizontal="center" vertical="center"/>
    </xf>
    <xf numFmtId="0" fontId="15" fillId="23" borderId="34" xfId="0" applyFont="1" applyFill="1" applyBorder="1" applyAlignment="1">
      <alignment horizontal="center" vertical="center"/>
    </xf>
    <xf numFmtId="0" fontId="15" fillId="23" borderId="35" xfId="0" applyFont="1" applyFill="1" applyBorder="1" applyAlignment="1">
      <alignment horizontal="center" vertical="center"/>
    </xf>
    <xf numFmtId="0" fontId="16" fillId="0" borderId="9" xfId="0" applyFont="1" applyBorder="1" applyAlignment="1">
      <alignment vertical="center" wrapText="1"/>
    </xf>
    <xf numFmtId="0" fontId="16" fillId="0" borderId="10" xfId="0" applyFont="1" applyBorder="1" applyAlignment="1">
      <alignment vertical="center" wrapText="1"/>
    </xf>
    <xf numFmtId="0" fontId="16" fillId="0" borderId="1" xfId="0" applyFont="1" applyBorder="1" applyAlignment="1">
      <alignment vertical="center" wrapText="1"/>
    </xf>
    <xf numFmtId="0" fontId="16" fillId="0" borderId="15" xfId="0" applyFont="1" applyBorder="1" applyAlignment="1">
      <alignment vertical="center"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7" fillId="11" borderId="19" xfId="0" applyFont="1" applyFill="1" applyBorder="1" applyAlignment="1">
      <alignment horizontal="center" vertical="center" wrapText="1"/>
    </xf>
    <xf numFmtId="0" fontId="17" fillId="11" borderId="20" xfId="0" applyFont="1" applyFill="1" applyBorder="1" applyAlignment="1">
      <alignment horizontal="center" vertical="center" wrapText="1"/>
    </xf>
    <xf numFmtId="0" fontId="15" fillId="12" borderId="16" xfId="0" applyFont="1" applyFill="1" applyBorder="1" applyAlignment="1">
      <alignment horizontal="center" vertical="center"/>
    </xf>
    <xf numFmtId="0" fontId="15" fillId="12" borderId="17" xfId="0" applyFont="1" applyFill="1" applyBorder="1" applyAlignment="1">
      <alignment horizontal="center" vertical="center"/>
    </xf>
    <xf numFmtId="0" fontId="15" fillId="17" borderId="33" xfId="0" applyFont="1" applyFill="1" applyBorder="1" applyAlignment="1">
      <alignment horizontal="center" vertical="center"/>
    </xf>
    <xf numFmtId="0" fontId="15" fillId="17" borderId="35" xfId="0" applyFont="1" applyFill="1" applyBorder="1" applyAlignment="1">
      <alignment horizontal="center" vertical="center"/>
    </xf>
    <xf numFmtId="0" fontId="15" fillId="13" borderId="39" xfId="0" applyFont="1" applyFill="1" applyBorder="1" applyAlignment="1">
      <alignment horizontal="center" vertical="center"/>
    </xf>
    <xf numFmtId="0" fontId="15" fillId="13" borderId="12" xfId="0" applyFont="1" applyFill="1" applyBorder="1" applyAlignment="1">
      <alignment horizontal="center" vertical="center"/>
    </xf>
    <xf numFmtId="0" fontId="15" fillId="13" borderId="13"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10" xfId="0" applyFont="1" applyFill="1" applyBorder="1" applyAlignment="1">
      <alignment horizontal="center" vertical="center"/>
    </xf>
    <xf numFmtId="0" fontId="15" fillId="17" borderId="23" xfId="0" applyFont="1" applyFill="1" applyBorder="1" applyAlignment="1">
      <alignment horizontal="center" vertical="center"/>
    </xf>
    <xf numFmtId="0" fontId="15" fillId="17" borderId="36" xfId="0" applyFont="1" applyFill="1" applyBorder="1" applyAlignment="1">
      <alignment horizontal="center" vertical="center"/>
    </xf>
    <xf numFmtId="0" fontId="15" fillId="17" borderId="40" xfId="0" applyFont="1" applyFill="1" applyBorder="1" applyAlignment="1">
      <alignment horizontal="center" vertical="center"/>
    </xf>
    <xf numFmtId="0" fontId="15" fillId="17" borderId="41" xfId="0" applyFont="1" applyFill="1" applyBorder="1" applyAlignment="1">
      <alignment horizontal="center" vertical="center"/>
    </xf>
    <xf numFmtId="0" fontId="15" fillId="13" borderId="8" xfId="0" applyFont="1" applyFill="1" applyBorder="1" applyAlignment="1">
      <alignment horizontal="center" vertical="center"/>
    </xf>
    <xf numFmtId="0" fontId="15" fillId="13" borderId="9" xfId="0" applyFont="1" applyFill="1" applyBorder="1" applyAlignment="1">
      <alignment horizontal="center" vertical="center"/>
    </xf>
    <xf numFmtId="0" fontId="15" fillId="13" borderId="10" xfId="0" applyFont="1" applyFill="1" applyBorder="1" applyAlignment="1">
      <alignment horizontal="center" vertical="center"/>
    </xf>
    <xf numFmtId="0" fontId="1" fillId="23" borderId="33" xfId="0" applyFont="1" applyFill="1" applyBorder="1" applyAlignment="1">
      <alignment horizontal="center" vertical="center"/>
    </xf>
    <xf numFmtId="0" fontId="1" fillId="23" borderId="35" xfId="0" applyFont="1" applyFill="1" applyBorder="1" applyAlignment="1">
      <alignment horizontal="center" vertical="center"/>
    </xf>
  </cellXfs>
  <cellStyles count="2">
    <cellStyle name="Normal" xfId="0" builtinId="0"/>
    <cellStyle name="Normal 5" xfId="1" xr:uid="{72E3A7FA-DD93-4148-9B3F-1359BF960442}"/>
  </cellStyles>
  <dxfs count="0"/>
  <tableStyles count="0" defaultTableStyle="TableStyleMedium2" defaultPivotStyle="PivotStyleLight16"/>
  <colors>
    <mruColors>
      <color rgb="FFFF3300"/>
      <color rgb="FFFFE1FF"/>
      <color rgb="FFFFCCFF"/>
      <color rgb="FFFFCC66"/>
      <color rgb="FFFF6600"/>
      <color rgb="FFFFFF00"/>
      <color rgb="FF0099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390525</xdr:colOff>
      <xdr:row>0</xdr:row>
      <xdr:rowOff>158115</xdr:rowOff>
    </xdr:from>
    <xdr:to>
      <xdr:col>1</xdr:col>
      <xdr:colOff>1407795</xdr:colOff>
      <xdr:row>0</xdr:row>
      <xdr:rowOff>763541</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DEBCF17F-F859-6F72-E158-C6F62FA6A1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158115"/>
          <a:ext cx="1455420" cy="6054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gecal.sharepoint.com/sites/INGECAL/SI/Documents%20compartits/SGCN%20%20-%20ISO%2022301/CLIENTS/112/QdC_112_INT_2022.xlsm" TargetMode="External"/><Relationship Id="rId1" Type="http://schemas.openxmlformats.org/officeDocument/2006/relationships/externalLinkPath" Target="https://ingecal.sharepoint.com/sites/INGECAL/SI/Documents%20compartits/SGCN%20%20-%20ISO%2022301/CLIENTS/112/QdC_112_INT_202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encat.sharepoint.com/sites/ISOsCAT112/Documents%20compartits/General/Sistemes%20de%20gesti&#243;%20unificats%20(SGCN%20i%20SGQ)/300_QdC/#OLD/QdC_112_INT_2022_ INGEC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Índex"/>
      <sheetName val="Control Documental"/>
      <sheetName val="Abast"/>
      <sheetName val="DAFO"/>
      <sheetName val="Parts interessades "/>
      <sheetName val="Comunicació Parts Interessades"/>
      <sheetName val="Objectius"/>
      <sheetName val="PLAC unificat 2022"/>
      <sheetName val="Q_FS_9.1_01 Indicadors"/>
      <sheetName val="Q_FS_9.1_04 Plan. canvis"/>
      <sheetName val="Legislació"/>
      <sheetName val="Q_FS_9.2_01Calendari_audito "/>
      <sheetName val="Matriu proveïdors de serveis"/>
      <sheetName val="Q_FS_7.5_01 Control Doc. "/>
      <sheetName val="Q_FS_7.4_02 Comun.sist. "/>
      <sheetName val="Assistents"/>
      <sheetName val="Tasques-Rols"/>
      <sheetName val="Resum Riscos CON"/>
      <sheetName val="Parametres"/>
      <sheetName val="Hoja1"/>
      <sheetName val="Actius"/>
      <sheetName val="Aval. Riscos"/>
      <sheetName val="Vulnerabilitats"/>
      <sheetName val="Amenaces"/>
      <sheetName val="Vulnerabilitats-Amenaces"/>
      <sheetName val="Actius-Riscos"/>
      <sheetName val="Matriu Context"/>
      <sheetName val="Master Data Rangs Nom"/>
      <sheetName val="Cuenta de valor"/>
      <sheetName val="Mètriques CON"/>
      <sheetName val="QdC_Q_FS_7.5_01 Control Doc."/>
      <sheetName val="PLAC unificat 2021"/>
      <sheetName val="Revisió documental 2021"/>
      <sheetName val="Objectius ESG CON 2021"/>
      <sheetName val="Compliment Parts interessades"/>
      <sheetName val="Pla Formac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Índex"/>
      <sheetName val="Control Documental"/>
      <sheetName val="Abast"/>
      <sheetName val="DAFO"/>
      <sheetName val="Parts interessades "/>
      <sheetName val="Comunicació Parts Interessades"/>
      <sheetName val="Objectius"/>
      <sheetName val="PLAC unificat 2022"/>
      <sheetName val="Q_FS_9.1_01 Indicadors"/>
      <sheetName val="Q_FS_9.1_04 Plan. canvis"/>
      <sheetName val="Legislació"/>
      <sheetName val="Q_FS_9.2_01Calendari_auditories"/>
      <sheetName val="Matriu proveïdors de serveis"/>
      <sheetName val="Q_FS_7.5_01 Control Doc."/>
      <sheetName val="Q_FS_7.4_02 Comun.sist."/>
      <sheetName val="Assistents"/>
      <sheetName val="Tasques-Rols"/>
      <sheetName val="Resum Riscos CON"/>
      <sheetName val="Parametres"/>
      <sheetName val="Actius"/>
      <sheetName val="Vulnerabilitats"/>
      <sheetName val="Amenaces"/>
      <sheetName val="Vulnerabilitats-Amenaces"/>
      <sheetName val="Actius-Riscos"/>
      <sheetName val="Matriu Context"/>
      <sheetName val="Master Data Rangs Nom"/>
      <sheetName val="Cuenta de valor"/>
      <sheetName val="Mètriques CON"/>
      <sheetName val="QdC_Q_FS_7.5_01 Control Doc."/>
      <sheetName val="PLAC unificat 2021"/>
      <sheetName val="Revisió documental 2021"/>
      <sheetName val="Objectius ESG CON 2021"/>
      <sheetName val="Compliment Parts interessades"/>
      <sheetName val="Pla Formac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persons/person.xml><?xml version="1.0" encoding="utf-8"?>
<personList xmlns="http://schemas.microsoft.com/office/spreadsheetml/2018/threadedcomments" xmlns:x="http://schemas.openxmlformats.org/spreadsheetml/2006/main">
  <person displayName="Toni Ripoll" id="{15B3C61A-4D4D-4B33-ABA5-718A8D34823C}" userId="0b165402d625b998" providerId="Windows Live"/>
</personList>
</file>

<file path=xl/theme/theme1.xml><?xml version="1.0" encoding="utf-8"?>
<a:theme xmlns:a="http://schemas.openxmlformats.org/drawingml/2006/main" name="Office 2013: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 dT="2019-12-04T12:34:15.13" personId="{15B3C61A-4D4D-4B33-ABA5-718A8D34823C}" id="{708A8D51-4166-4700-930A-C2902A87D2EC}">
    <text>Objetivo Mínimo de Continuidad del Negoci. Nivel mínimo de servicio al que tengo que llegar para reanudar mínimamente el servicio, aunque sea en precario y sin toda la capacidad disponible.</text>
  </threadedComment>
  <threadedComment ref="M3" dT="2019-12-04T12:32:23.14" personId="{15B3C61A-4D4D-4B33-ABA5-718A8D34823C}" id="{3582FBAD-C617-4EC6-8944-B61928E5D707}">
    <text>Objetivo de tiempo de recuperación a partir del cual el impacto es alto</text>
  </threadedComment>
  <threadedComment ref="N3" dT="2019-12-04T12:31:11.90" personId="{15B3C61A-4D4D-4B33-ABA5-718A8D34823C}" id="{374AEEE4-AE40-4260-A949-6F12A7B82816}">
    <text>Tiempo objetivo de recuperación a partir del cual el impacto es crítico</text>
  </threadedComment>
  <threadedComment ref="V3" dT="2019-12-04T12:33:09.86" personId="{15B3C61A-4D4D-4B33-ABA5-718A8D34823C}" id="{165C69D5-01DA-4211-A48D-02B83FCF7371}">
    <text>Punto de recuperación de los datos. Antiguedad máxima de los datos a partir de la cual el impacto sería alto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19392-9711-4021-9365-A1E71F8F47B6}">
  <dimension ref="A1:C18"/>
  <sheetViews>
    <sheetView topLeftCell="D2" workbookViewId="0">
      <selection activeCell="D2" sqref="D2"/>
    </sheetView>
  </sheetViews>
  <sheetFormatPr defaultColWidth="14.33203125" defaultRowHeight="15" customHeight="1" x14ac:dyDescent="0.25"/>
  <cols>
    <col min="1" max="1" width="6.33203125" style="76" customWidth="1"/>
    <col min="2" max="2" width="28.33203125" style="76" customWidth="1"/>
    <col min="3" max="3" width="76.88671875" style="76" customWidth="1"/>
    <col min="4" max="16384" width="14.33203125" style="76"/>
  </cols>
  <sheetData>
    <row r="1" spans="1:3" ht="76.2" customHeight="1" x14ac:dyDescent="0.3">
      <c r="A1" s="90"/>
      <c r="B1" s="90"/>
      <c r="C1" s="75"/>
    </row>
    <row r="2" spans="1:3" ht="30.15" customHeight="1" x14ac:dyDescent="0.3">
      <c r="A2" s="77"/>
      <c r="B2" s="86" t="s">
        <v>0</v>
      </c>
      <c r="C2" s="78" t="s">
        <v>1</v>
      </c>
    </row>
    <row r="3" spans="1:3" ht="17.399999999999999" customHeight="1" x14ac:dyDescent="0.3">
      <c r="A3" s="77"/>
      <c r="B3" s="86" t="s">
        <v>2</v>
      </c>
      <c r="C3" s="79">
        <v>45896</v>
      </c>
    </row>
    <row r="4" spans="1:3" ht="14.25" customHeight="1" x14ac:dyDescent="0.3">
      <c r="A4" s="77"/>
      <c r="B4" s="86" t="s">
        <v>3</v>
      </c>
      <c r="C4" s="78" t="s">
        <v>4</v>
      </c>
    </row>
    <row r="5" spans="1:3" ht="14.25" customHeight="1" x14ac:dyDescent="0.3">
      <c r="A5" s="77"/>
      <c r="B5" s="86" t="s">
        <v>5</v>
      </c>
      <c r="C5" s="78">
        <v>1</v>
      </c>
    </row>
    <row r="6" spans="1:3" ht="17.399999999999999" customHeight="1" x14ac:dyDescent="0.3">
      <c r="A6" s="77"/>
      <c r="B6" s="86" t="s">
        <v>6</v>
      </c>
      <c r="C6" s="80" t="s">
        <v>7</v>
      </c>
    </row>
    <row r="7" spans="1:3" ht="150.15" customHeight="1" x14ac:dyDescent="0.3">
      <c r="A7" s="77"/>
      <c r="B7" s="86" t="s">
        <v>8</v>
      </c>
      <c r="C7" s="78" t="s">
        <v>9</v>
      </c>
    </row>
    <row r="8" spans="1:3" ht="14.25" customHeight="1" x14ac:dyDescent="0.3">
      <c r="A8" s="75"/>
      <c r="B8" s="75"/>
      <c r="C8" s="75"/>
    </row>
    <row r="9" spans="1:3" ht="14.25" customHeight="1" x14ac:dyDescent="0.3">
      <c r="A9" s="75"/>
      <c r="B9" s="75"/>
      <c r="C9" s="75"/>
    </row>
    <row r="10" spans="1:3" ht="28.5" customHeight="1" x14ac:dyDescent="0.3">
      <c r="A10" s="77"/>
      <c r="B10" s="91" t="s">
        <v>10</v>
      </c>
      <c r="C10" s="92"/>
    </row>
    <row r="11" spans="1:3" ht="21.15" customHeight="1" x14ac:dyDescent="0.3">
      <c r="A11" s="77"/>
      <c r="B11" s="87" t="s">
        <v>2</v>
      </c>
      <c r="C11" s="87" t="s">
        <v>11</v>
      </c>
    </row>
    <row r="12" spans="1:3" ht="21.15" customHeight="1" x14ac:dyDescent="0.3">
      <c r="A12" s="77"/>
      <c r="B12" s="79">
        <v>45896</v>
      </c>
      <c r="C12" s="78" t="s">
        <v>12</v>
      </c>
    </row>
    <row r="13" spans="1:3" ht="21.15" customHeight="1" x14ac:dyDescent="0.3">
      <c r="A13" s="77"/>
      <c r="B13" s="81"/>
      <c r="C13" s="78"/>
    </row>
    <row r="14" spans="1:3" ht="21.15" customHeight="1" x14ac:dyDescent="0.3">
      <c r="A14" s="77"/>
      <c r="B14" s="81"/>
      <c r="C14" s="80"/>
    </row>
    <row r="15" spans="1:3" ht="21.15" customHeight="1" x14ac:dyDescent="0.3">
      <c r="A15" s="77"/>
      <c r="B15" s="81"/>
      <c r="C15" s="78"/>
    </row>
    <row r="16" spans="1:3" ht="21.15" customHeight="1" x14ac:dyDescent="0.3">
      <c r="A16" s="77"/>
      <c r="B16" s="81"/>
      <c r="C16" s="78"/>
    </row>
    <row r="17" spans="1:3" ht="14.25" customHeight="1" x14ac:dyDescent="0.3">
      <c r="A17" s="75"/>
      <c r="B17" s="75"/>
      <c r="C17" s="75"/>
    </row>
    <row r="18" spans="1:3" ht="14.25" customHeight="1" x14ac:dyDescent="0.3">
      <c r="A18" s="75"/>
      <c r="B18" s="75"/>
      <c r="C18" s="75"/>
    </row>
  </sheetData>
  <mergeCells count="2">
    <mergeCell ref="A1:B1"/>
    <mergeCell ref="B10:C10"/>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1627-D64C-47ED-940C-C5D20919BCCF}">
  <dimension ref="A1:AM17"/>
  <sheetViews>
    <sheetView tabSelected="1" topLeftCell="A2" zoomScale="70" zoomScaleNormal="70" workbookViewId="0">
      <pane xSplit="1" topLeftCell="G1" activePane="topRight" state="frozen"/>
      <selection activeCell="A2" sqref="A2"/>
      <selection pane="topRight" activeCell="P19" sqref="P19"/>
    </sheetView>
  </sheetViews>
  <sheetFormatPr defaultColWidth="11" defaultRowHeight="14.4" outlineLevelCol="1" x14ac:dyDescent="0.3"/>
  <cols>
    <col min="1" max="1" width="57.109375" customWidth="1"/>
    <col min="2" max="2" width="48.109375" customWidth="1"/>
    <col min="3" max="3" width="40.6640625" customWidth="1"/>
    <col min="4" max="4" width="50.109375" customWidth="1"/>
    <col min="5" max="12" width="18.33203125" customWidth="1" outlineLevel="1"/>
    <col min="13" max="13" width="14.109375" customWidth="1"/>
    <col min="14" max="14" width="16" customWidth="1"/>
    <col min="15" max="21" width="19.6640625" customWidth="1" outlineLevel="1"/>
    <col min="22" max="22" width="12.33203125" customWidth="1"/>
    <col min="23" max="23" width="5.88671875" customWidth="1"/>
    <col min="24" max="24" width="25.6640625" style="1" customWidth="1"/>
    <col min="25" max="26" width="14.109375" style="1" customWidth="1" outlineLevel="1"/>
    <col min="27" max="27" width="14.109375" style="1" customWidth="1"/>
    <col min="28" max="28" width="14.109375" style="1" customWidth="1" outlineLevel="1" collapsed="1"/>
    <col min="29" max="29" width="14.109375" style="1" customWidth="1" outlineLevel="1"/>
    <col min="30" max="30" width="14.109375" style="1" customWidth="1"/>
    <col min="31" max="31" width="14.109375" style="1" customWidth="1" outlineLevel="1" collapsed="1"/>
    <col min="32" max="32" width="14.109375" style="1" customWidth="1" outlineLevel="1"/>
    <col min="33" max="33" width="14.109375" style="1" customWidth="1"/>
    <col min="34" max="34" width="14.109375" style="1" customWidth="1" outlineLevel="1" collapsed="1"/>
    <col min="35" max="35" width="14.109375" style="1" customWidth="1" outlineLevel="1"/>
    <col min="36" max="36" width="14.109375" style="1" customWidth="1"/>
    <col min="37" max="38" width="14.109375" style="1" customWidth="1" outlineLevel="1"/>
    <col min="39" max="39" width="14.109375" style="1" customWidth="1"/>
  </cols>
  <sheetData>
    <row r="1" spans="1:39" ht="41.25" customHeight="1" thickBot="1" x14ac:dyDescent="0.35">
      <c r="A1" s="115" t="s">
        <v>13</v>
      </c>
      <c r="B1" s="116"/>
      <c r="C1" s="116"/>
      <c r="D1" s="116"/>
      <c r="E1" s="116"/>
      <c r="F1" s="116"/>
      <c r="G1" s="116"/>
      <c r="H1" s="116"/>
      <c r="I1" s="116"/>
      <c r="J1" s="116"/>
      <c r="K1" s="116"/>
      <c r="L1" s="116"/>
      <c r="M1" s="116"/>
      <c r="N1" s="116"/>
      <c r="O1" s="116"/>
      <c r="P1" s="116"/>
      <c r="Q1" s="116"/>
      <c r="R1" s="116"/>
      <c r="S1" s="116"/>
      <c r="T1" s="116"/>
      <c r="U1" s="116"/>
      <c r="V1" s="117"/>
      <c r="X1" s="112" t="s">
        <v>14</v>
      </c>
      <c r="Y1" s="113"/>
      <c r="Z1" s="113"/>
      <c r="AA1" s="113"/>
      <c r="AB1" s="113"/>
      <c r="AC1" s="113"/>
      <c r="AD1" s="113"/>
      <c r="AE1" s="113"/>
      <c r="AF1" s="113"/>
      <c r="AG1" s="113"/>
      <c r="AH1" s="113"/>
      <c r="AI1" s="113"/>
      <c r="AJ1" s="113"/>
      <c r="AK1" s="113"/>
      <c r="AL1" s="113"/>
      <c r="AM1" s="114"/>
    </row>
    <row r="2" spans="1:39" s="2" customFormat="1" ht="108" customHeight="1" x14ac:dyDescent="0.3">
      <c r="A2" s="118" t="s">
        <v>15</v>
      </c>
      <c r="B2" s="119"/>
      <c r="C2" s="119"/>
      <c r="D2" s="120"/>
      <c r="E2" s="121" t="s">
        <v>16</v>
      </c>
      <c r="F2" s="122"/>
      <c r="G2" s="123"/>
      <c r="H2" s="123"/>
      <c r="I2" s="123"/>
      <c r="J2" s="123"/>
      <c r="K2" s="123"/>
      <c r="L2" s="123"/>
      <c r="M2" s="123"/>
      <c r="N2" s="124"/>
      <c r="O2" s="125" t="s">
        <v>17</v>
      </c>
      <c r="P2" s="126"/>
      <c r="Q2" s="127"/>
      <c r="R2" s="127"/>
      <c r="S2" s="127"/>
      <c r="T2" s="127"/>
      <c r="U2" s="127"/>
      <c r="V2" s="128"/>
      <c r="W2" s="26"/>
      <c r="X2" s="25" t="s">
        <v>18</v>
      </c>
      <c r="Y2" s="96" t="s">
        <v>19</v>
      </c>
      <c r="Z2" s="97"/>
      <c r="AA2" s="98"/>
      <c r="AB2" s="96" t="s">
        <v>20</v>
      </c>
      <c r="AC2" s="97"/>
      <c r="AD2" s="98"/>
      <c r="AE2" s="96" t="s">
        <v>21</v>
      </c>
      <c r="AF2" s="97"/>
      <c r="AG2" s="98"/>
      <c r="AH2" s="96" t="s">
        <v>22</v>
      </c>
      <c r="AI2" s="97"/>
      <c r="AJ2" s="98"/>
      <c r="AK2" s="96" t="s">
        <v>23</v>
      </c>
      <c r="AL2" s="97"/>
      <c r="AM2" s="98"/>
    </row>
    <row r="3" spans="1:39" s="1" customFormat="1" ht="27.15" customHeight="1" x14ac:dyDescent="0.3">
      <c r="A3" s="129" t="s">
        <v>24</v>
      </c>
      <c r="B3" s="131" t="s">
        <v>25</v>
      </c>
      <c r="C3" s="131" t="s">
        <v>26</v>
      </c>
      <c r="D3" s="133" t="s">
        <v>27</v>
      </c>
      <c r="E3" s="135" t="s">
        <v>28</v>
      </c>
      <c r="F3" s="108" t="s">
        <v>29</v>
      </c>
      <c r="G3" s="108" t="s">
        <v>30</v>
      </c>
      <c r="H3" s="108" t="s">
        <v>31</v>
      </c>
      <c r="I3" s="108" t="s">
        <v>32</v>
      </c>
      <c r="J3" s="108" t="s">
        <v>33</v>
      </c>
      <c r="K3" s="108" t="s">
        <v>34</v>
      </c>
      <c r="L3" s="108" t="s">
        <v>35</v>
      </c>
      <c r="M3" s="108" t="s">
        <v>36</v>
      </c>
      <c r="N3" s="110" t="s">
        <v>37</v>
      </c>
      <c r="O3" s="102" t="s">
        <v>38</v>
      </c>
      <c r="P3" s="104" t="s">
        <v>30</v>
      </c>
      <c r="Q3" s="104" t="s">
        <v>31</v>
      </c>
      <c r="R3" s="104" t="s">
        <v>32</v>
      </c>
      <c r="S3" s="104" t="s">
        <v>33</v>
      </c>
      <c r="T3" s="104" t="s">
        <v>34</v>
      </c>
      <c r="U3" s="104" t="s">
        <v>35</v>
      </c>
      <c r="V3" s="106" t="s">
        <v>39</v>
      </c>
      <c r="W3" s="27"/>
      <c r="X3" s="19" t="s">
        <v>40</v>
      </c>
      <c r="Y3" s="93" t="s">
        <v>41</v>
      </c>
      <c r="Z3" s="94"/>
      <c r="AA3" s="95"/>
      <c r="AB3" s="93" t="s">
        <v>42</v>
      </c>
      <c r="AC3" s="94"/>
      <c r="AD3" s="95"/>
      <c r="AE3" s="93" t="s">
        <v>42</v>
      </c>
      <c r="AF3" s="94"/>
      <c r="AG3" s="95"/>
      <c r="AH3" s="99" t="s">
        <v>41</v>
      </c>
      <c r="AI3" s="100" t="s">
        <v>43</v>
      </c>
      <c r="AJ3" s="101" t="s">
        <v>43</v>
      </c>
      <c r="AK3" s="93" t="s">
        <v>42</v>
      </c>
      <c r="AL3" s="94"/>
      <c r="AM3" s="95"/>
    </row>
    <row r="4" spans="1:39" s="1" customFormat="1" ht="27.15" customHeight="1" x14ac:dyDescent="0.3">
      <c r="A4" s="130"/>
      <c r="B4" s="132"/>
      <c r="C4" s="132"/>
      <c r="D4" s="134"/>
      <c r="E4" s="136"/>
      <c r="F4" s="109" t="s">
        <v>44</v>
      </c>
      <c r="G4" s="109" t="s">
        <v>44</v>
      </c>
      <c r="H4" s="109" t="s">
        <v>45</v>
      </c>
      <c r="I4" s="109" t="s">
        <v>46</v>
      </c>
      <c r="J4" s="109" t="s">
        <v>47</v>
      </c>
      <c r="K4" s="109" t="s">
        <v>48</v>
      </c>
      <c r="L4" s="109" t="s">
        <v>49</v>
      </c>
      <c r="M4" s="109" t="s">
        <v>36</v>
      </c>
      <c r="N4" s="111" t="s">
        <v>37</v>
      </c>
      <c r="O4" s="103"/>
      <c r="P4" s="105" t="s">
        <v>45</v>
      </c>
      <c r="Q4" s="105" t="s">
        <v>45</v>
      </c>
      <c r="R4" s="105" t="s">
        <v>46</v>
      </c>
      <c r="S4" s="105" t="s">
        <v>47</v>
      </c>
      <c r="T4" s="105" t="s">
        <v>48</v>
      </c>
      <c r="U4" s="105"/>
      <c r="V4" s="107"/>
      <c r="W4" s="27"/>
      <c r="X4" s="20" t="s">
        <v>50</v>
      </c>
      <c r="Y4" s="21" t="s">
        <v>51</v>
      </c>
      <c r="Z4" s="13" t="s">
        <v>52</v>
      </c>
      <c r="AA4" s="14" t="s">
        <v>53</v>
      </c>
      <c r="AB4" s="21" t="s">
        <v>51</v>
      </c>
      <c r="AC4" s="13" t="s">
        <v>52</v>
      </c>
      <c r="AD4" s="14" t="s">
        <v>53</v>
      </c>
      <c r="AE4" s="21" t="s">
        <v>51</v>
      </c>
      <c r="AF4" s="13" t="s">
        <v>52</v>
      </c>
      <c r="AG4" s="14" t="s">
        <v>53</v>
      </c>
      <c r="AH4" s="21" t="s">
        <v>51</v>
      </c>
      <c r="AI4" s="13" t="s">
        <v>52</v>
      </c>
      <c r="AJ4" s="14" t="s">
        <v>53</v>
      </c>
      <c r="AK4" s="21" t="s">
        <v>51</v>
      </c>
      <c r="AL4" s="13" t="s">
        <v>52</v>
      </c>
      <c r="AM4" s="14" t="s">
        <v>53</v>
      </c>
    </row>
    <row r="5" spans="1:39" ht="57.6" x14ac:dyDescent="0.3">
      <c r="A5" s="83" t="s">
        <v>54</v>
      </c>
      <c r="B5" s="6" t="s">
        <v>55</v>
      </c>
      <c r="C5" s="6" t="s">
        <v>56</v>
      </c>
      <c r="D5" s="89" t="s">
        <v>57</v>
      </c>
      <c r="E5" s="29" t="s">
        <v>58</v>
      </c>
      <c r="F5" s="7" t="s">
        <v>58</v>
      </c>
      <c r="G5" s="7" t="s">
        <v>58</v>
      </c>
      <c r="H5" s="7" t="s">
        <v>58</v>
      </c>
      <c r="I5" s="8" t="s">
        <v>59</v>
      </c>
      <c r="J5" s="8" t="s">
        <v>59</v>
      </c>
      <c r="K5" s="4" t="s">
        <v>60</v>
      </c>
      <c r="L5" s="5" t="s">
        <v>61</v>
      </c>
      <c r="M5" s="3" t="s">
        <v>63</v>
      </c>
      <c r="N5" s="30" t="s">
        <v>115</v>
      </c>
      <c r="O5" s="29" t="s">
        <v>58</v>
      </c>
      <c r="P5" s="82" t="s">
        <v>58</v>
      </c>
      <c r="Q5" s="82" t="s">
        <v>58</v>
      </c>
      <c r="R5" s="8" t="s">
        <v>59</v>
      </c>
      <c r="S5" s="8" t="s">
        <v>59</v>
      </c>
      <c r="T5" s="5" t="s">
        <v>61</v>
      </c>
      <c r="U5" s="5" t="s">
        <v>61</v>
      </c>
      <c r="V5" s="30" t="s">
        <v>117</v>
      </c>
      <c r="W5" s="28"/>
      <c r="X5" s="62" t="s">
        <v>42</v>
      </c>
      <c r="Y5" s="22" t="s">
        <v>58</v>
      </c>
      <c r="Z5" s="12" t="s">
        <v>58</v>
      </c>
      <c r="AA5" s="18" t="s">
        <v>41</v>
      </c>
      <c r="AB5" s="24" t="s">
        <v>59</v>
      </c>
      <c r="AC5" s="11" t="s">
        <v>59</v>
      </c>
      <c r="AD5" s="18" t="s">
        <v>41</v>
      </c>
      <c r="AE5" s="22" t="s">
        <v>58</v>
      </c>
      <c r="AF5" s="12" t="s">
        <v>58</v>
      </c>
      <c r="AG5" s="18" t="s">
        <v>41</v>
      </c>
      <c r="AH5" s="22" t="s">
        <v>58</v>
      </c>
      <c r="AI5" s="12" t="s">
        <v>58</v>
      </c>
      <c r="AJ5" s="18" t="s">
        <v>41</v>
      </c>
      <c r="AK5" s="24" t="s">
        <v>59</v>
      </c>
      <c r="AL5" s="11" t="s">
        <v>59</v>
      </c>
      <c r="AM5" s="15" t="s">
        <v>42</v>
      </c>
    </row>
    <row r="6" spans="1:39" ht="57.6" x14ac:dyDescent="0.3">
      <c r="A6" s="83" t="s">
        <v>64</v>
      </c>
      <c r="B6" s="6" t="s">
        <v>65</v>
      </c>
      <c r="C6" s="6"/>
      <c r="D6" s="88" t="s">
        <v>66</v>
      </c>
      <c r="E6" s="29" t="s">
        <v>58</v>
      </c>
      <c r="F6" s="7" t="s">
        <v>58</v>
      </c>
      <c r="G6" s="7" t="s">
        <v>58</v>
      </c>
      <c r="H6" s="8" t="s">
        <v>59</v>
      </c>
      <c r="I6" s="8" t="s">
        <v>59</v>
      </c>
      <c r="J6" s="4" t="s">
        <v>60</v>
      </c>
      <c r="K6" s="4" t="s">
        <v>60</v>
      </c>
      <c r="L6" s="5" t="s">
        <v>61</v>
      </c>
      <c r="M6" s="3" t="s">
        <v>62</v>
      </c>
      <c r="N6" s="30" t="s">
        <v>115</v>
      </c>
      <c r="O6" s="29" t="s">
        <v>58</v>
      </c>
      <c r="P6" s="82" t="s">
        <v>58</v>
      </c>
      <c r="Q6" s="8" t="s">
        <v>59</v>
      </c>
      <c r="R6" s="4" t="s">
        <v>60</v>
      </c>
      <c r="S6" s="5" t="s">
        <v>61</v>
      </c>
      <c r="T6" s="5" t="s">
        <v>61</v>
      </c>
      <c r="U6" s="5" t="s">
        <v>61</v>
      </c>
      <c r="V6" s="85" t="s">
        <v>67</v>
      </c>
      <c r="W6" s="28"/>
      <c r="X6" s="60" t="s">
        <v>41</v>
      </c>
      <c r="Y6" s="22" t="s">
        <v>58</v>
      </c>
      <c r="Z6" s="12" t="s">
        <v>58</v>
      </c>
      <c r="AA6" s="18" t="s">
        <v>41</v>
      </c>
      <c r="AB6" s="23" t="s">
        <v>60</v>
      </c>
      <c r="AC6" s="10" t="s">
        <v>60</v>
      </c>
      <c r="AD6" s="15" t="s">
        <v>42</v>
      </c>
      <c r="AE6" s="23" t="s">
        <v>60</v>
      </c>
      <c r="AF6" s="10" t="s">
        <v>60</v>
      </c>
      <c r="AG6" s="15" t="s">
        <v>42</v>
      </c>
      <c r="AH6" s="22" t="s">
        <v>58</v>
      </c>
      <c r="AI6" s="12" t="s">
        <v>58</v>
      </c>
      <c r="AJ6" s="18" t="s">
        <v>41</v>
      </c>
      <c r="AK6" s="23" t="s">
        <v>60</v>
      </c>
      <c r="AL6" s="10" t="s">
        <v>60</v>
      </c>
      <c r="AM6" s="15" t="s">
        <v>42</v>
      </c>
    </row>
    <row r="7" spans="1:39" ht="43.2" x14ac:dyDescent="0.3">
      <c r="A7" s="83" t="s">
        <v>68</v>
      </c>
      <c r="B7" s="6" t="s">
        <v>69</v>
      </c>
      <c r="C7" s="6"/>
      <c r="D7" s="88" t="s">
        <v>70</v>
      </c>
      <c r="E7" s="29" t="s">
        <v>58</v>
      </c>
      <c r="F7" s="8" t="s">
        <v>59</v>
      </c>
      <c r="G7" s="8" t="s">
        <v>59</v>
      </c>
      <c r="H7" s="4" t="s">
        <v>60</v>
      </c>
      <c r="I7" s="4" t="s">
        <v>60</v>
      </c>
      <c r="J7" s="5" t="s">
        <v>61</v>
      </c>
      <c r="K7" s="5" t="s">
        <v>61</v>
      </c>
      <c r="L7" s="5" t="s">
        <v>61</v>
      </c>
      <c r="M7" s="84" t="s">
        <v>71</v>
      </c>
      <c r="N7" s="30" t="s">
        <v>81</v>
      </c>
      <c r="O7" s="29" t="s">
        <v>58</v>
      </c>
      <c r="P7" s="8" t="s">
        <v>59</v>
      </c>
      <c r="Q7" s="4" t="s">
        <v>60</v>
      </c>
      <c r="R7" s="4" t="s">
        <v>60</v>
      </c>
      <c r="S7" s="5" t="s">
        <v>61</v>
      </c>
      <c r="T7" s="5" t="s">
        <v>61</v>
      </c>
      <c r="U7" s="5" t="s">
        <v>61</v>
      </c>
      <c r="V7" s="85" t="s">
        <v>71</v>
      </c>
      <c r="W7" s="28"/>
      <c r="X7" s="61" t="s">
        <v>73</v>
      </c>
      <c r="Y7" s="22" t="s">
        <v>58</v>
      </c>
      <c r="Z7" s="12" t="s">
        <v>58</v>
      </c>
      <c r="AA7" s="15" t="s">
        <v>42</v>
      </c>
      <c r="AB7" s="23" t="s">
        <v>60</v>
      </c>
      <c r="AC7" s="10" t="s">
        <v>60</v>
      </c>
      <c r="AD7" s="16" t="s">
        <v>74</v>
      </c>
      <c r="AE7" s="23" t="s">
        <v>60</v>
      </c>
      <c r="AF7" s="10" t="s">
        <v>60</v>
      </c>
      <c r="AG7" s="16" t="s">
        <v>74</v>
      </c>
      <c r="AH7" s="22" t="s">
        <v>58</v>
      </c>
      <c r="AI7" s="12" t="s">
        <v>58</v>
      </c>
      <c r="AJ7" s="15" t="s">
        <v>42</v>
      </c>
      <c r="AK7" s="24" t="s">
        <v>59</v>
      </c>
      <c r="AL7" s="11" t="s">
        <v>59</v>
      </c>
      <c r="AM7" s="15" t="s">
        <v>42</v>
      </c>
    </row>
    <row r="8" spans="1:39" ht="31.95" customHeight="1" x14ac:dyDescent="0.3">
      <c r="A8" s="83" t="s">
        <v>75</v>
      </c>
      <c r="B8" s="6" t="s">
        <v>76</v>
      </c>
      <c r="C8" s="6"/>
      <c r="D8" s="88" t="s">
        <v>77</v>
      </c>
      <c r="E8" s="29" t="s">
        <v>58</v>
      </c>
      <c r="F8" s="7" t="s">
        <v>58</v>
      </c>
      <c r="G8" s="8" t="s">
        <v>59</v>
      </c>
      <c r="H8" s="8" t="s">
        <v>59</v>
      </c>
      <c r="I8" s="4" t="s">
        <v>60</v>
      </c>
      <c r="J8" s="4" t="s">
        <v>60</v>
      </c>
      <c r="K8" s="5" t="s">
        <v>61</v>
      </c>
      <c r="L8" s="5" t="s">
        <v>61</v>
      </c>
      <c r="M8" s="3" t="s">
        <v>116</v>
      </c>
      <c r="N8" s="30" t="s">
        <v>63</v>
      </c>
      <c r="O8" s="29" t="s">
        <v>58</v>
      </c>
      <c r="P8" s="82" t="s">
        <v>58</v>
      </c>
      <c r="Q8" s="8" t="s">
        <v>59</v>
      </c>
      <c r="R8" s="4" t="s">
        <v>60</v>
      </c>
      <c r="S8" s="5" t="s">
        <v>61</v>
      </c>
      <c r="T8" s="5" t="s">
        <v>61</v>
      </c>
      <c r="U8" s="5" t="s">
        <v>61</v>
      </c>
      <c r="V8" s="85" t="s">
        <v>67</v>
      </c>
      <c r="W8" s="28"/>
      <c r="X8" s="62" t="s">
        <v>42</v>
      </c>
      <c r="Y8" s="22" t="s">
        <v>58</v>
      </c>
      <c r="Z8" s="12" t="s">
        <v>58</v>
      </c>
      <c r="AA8" s="18" t="s">
        <v>41</v>
      </c>
      <c r="AB8" s="24" t="s">
        <v>59</v>
      </c>
      <c r="AC8" s="11" t="s">
        <v>59</v>
      </c>
      <c r="AD8" s="15" t="s">
        <v>42</v>
      </c>
      <c r="AE8" s="24" t="s">
        <v>59</v>
      </c>
      <c r="AF8" s="11" t="s">
        <v>59</v>
      </c>
      <c r="AG8" s="15" t="s">
        <v>42</v>
      </c>
      <c r="AH8" s="22" t="s">
        <v>58</v>
      </c>
      <c r="AI8" s="12" t="s">
        <v>58</v>
      </c>
      <c r="AJ8" s="18" t="s">
        <v>41</v>
      </c>
      <c r="AK8" s="23" t="s">
        <v>60</v>
      </c>
      <c r="AL8" s="10" t="s">
        <v>60</v>
      </c>
      <c r="AM8" s="17" t="s">
        <v>73</v>
      </c>
    </row>
    <row r="9" spans="1:39" ht="100.8" hidden="1" x14ac:dyDescent="0.3">
      <c r="A9" s="83" t="s">
        <v>78</v>
      </c>
      <c r="B9" s="6" t="s">
        <v>79</v>
      </c>
      <c r="C9" s="6" t="s">
        <v>80</v>
      </c>
      <c r="D9" s="6"/>
      <c r="M9" s="3" t="s">
        <v>81</v>
      </c>
      <c r="N9" s="30" t="s">
        <v>82</v>
      </c>
    </row>
    <row r="10" spans="1:39" ht="28.8" hidden="1" x14ac:dyDescent="0.3">
      <c r="A10" s="83" t="s">
        <v>83</v>
      </c>
      <c r="B10" s="6" t="s">
        <v>84</v>
      </c>
      <c r="C10" s="6"/>
      <c r="D10" s="6"/>
      <c r="M10" s="3" t="s">
        <v>85</v>
      </c>
      <c r="N10" s="30" t="s">
        <v>72</v>
      </c>
    </row>
    <row r="11" spans="1:39" ht="28.8" hidden="1" x14ac:dyDescent="0.3">
      <c r="A11" s="83" t="s">
        <v>86</v>
      </c>
      <c r="B11" s="6" t="s">
        <v>87</v>
      </c>
      <c r="C11" s="6"/>
      <c r="D11" s="6"/>
      <c r="M11" s="3" t="s">
        <v>81</v>
      </c>
      <c r="N11" s="30" t="s">
        <v>63</v>
      </c>
    </row>
    <row r="17" spans="4:4" x14ac:dyDescent="0.3">
      <c r="D17">
        <f>2220/6</f>
        <v>370</v>
      </c>
    </row>
  </sheetData>
  <mergeCells count="37">
    <mergeCell ref="F3:F4"/>
    <mergeCell ref="P3:P4"/>
    <mergeCell ref="X1:AM1"/>
    <mergeCell ref="A1:V1"/>
    <mergeCell ref="A2:D2"/>
    <mergeCell ref="E2:N2"/>
    <mergeCell ref="O2:V2"/>
    <mergeCell ref="Y2:AA2"/>
    <mergeCell ref="A3:A4"/>
    <mergeCell ref="B3:B4"/>
    <mergeCell ref="C3:C4"/>
    <mergeCell ref="D3:D4"/>
    <mergeCell ref="E3:E4"/>
    <mergeCell ref="G3:G4"/>
    <mergeCell ref="H3:H4"/>
    <mergeCell ref="I3:I4"/>
    <mergeCell ref="J3:J4"/>
    <mergeCell ref="K3:K4"/>
    <mergeCell ref="L3:L4"/>
    <mergeCell ref="M3:M4"/>
    <mergeCell ref="N3:N4"/>
    <mergeCell ref="AB3:AD3"/>
    <mergeCell ref="AB2:AD2"/>
    <mergeCell ref="Y3:AA3"/>
    <mergeCell ref="O3:O4"/>
    <mergeCell ref="Q3:Q4"/>
    <mergeCell ref="R3:R4"/>
    <mergeCell ref="S3:S4"/>
    <mergeCell ref="T3:T4"/>
    <mergeCell ref="U3:U4"/>
    <mergeCell ref="V3:V4"/>
    <mergeCell ref="AE3:AG3"/>
    <mergeCell ref="AE2:AG2"/>
    <mergeCell ref="AH3:AJ3"/>
    <mergeCell ref="AH2:AJ2"/>
    <mergeCell ref="AK3:AM3"/>
    <mergeCell ref="AK2:AM2"/>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1D48-D7AA-489F-B756-B17F81257F1D}">
  <dimension ref="B1:F19"/>
  <sheetViews>
    <sheetView topLeftCell="A10" zoomScale="80" zoomScaleNormal="80" workbookViewId="0">
      <selection activeCell="F12" sqref="F12"/>
    </sheetView>
  </sheetViews>
  <sheetFormatPr defaultColWidth="11" defaultRowHeight="13.8" x14ac:dyDescent="0.3"/>
  <cols>
    <col min="1" max="1" width="11" style="31"/>
    <col min="2" max="2" width="31" style="31" customWidth="1"/>
    <col min="3" max="6" width="41.88671875" style="31" customWidth="1"/>
    <col min="7" max="16384" width="11" style="31"/>
  </cols>
  <sheetData>
    <row r="1" spans="2:6" ht="14.4" thickBot="1" x14ac:dyDescent="0.35"/>
    <row r="2" spans="2:6" s="74" customFormat="1" ht="21.75" customHeight="1" thickBot="1" x14ac:dyDescent="0.35">
      <c r="B2" s="139" t="s">
        <v>50</v>
      </c>
      <c r="C2" s="140"/>
      <c r="D2" s="140"/>
      <c r="E2" s="140"/>
      <c r="F2" s="141"/>
    </row>
    <row r="3" spans="2:6" ht="52.35" customHeight="1" x14ac:dyDescent="0.3">
      <c r="B3" s="148" t="s">
        <v>73</v>
      </c>
      <c r="C3" s="149"/>
      <c r="D3" s="142" t="s">
        <v>88</v>
      </c>
      <c r="E3" s="142"/>
      <c r="F3" s="143"/>
    </row>
    <row r="4" spans="2:6" ht="52.35" customHeight="1" x14ac:dyDescent="0.3">
      <c r="B4" s="150" t="s">
        <v>42</v>
      </c>
      <c r="C4" s="151"/>
      <c r="D4" s="144" t="s">
        <v>89</v>
      </c>
      <c r="E4" s="144"/>
      <c r="F4" s="145"/>
    </row>
    <row r="5" spans="2:6" ht="52.35" customHeight="1" thickBot="1" x14ac:dyDescent="0.35">
      <c r="B5" s="152" t="s">
        <v>41</v>
      </c>
      <c r="C5" s="153"/>
      <c r="D5" s="146" t="s">
        <v>90</v>
      </c>
      <c r="E5" s="146"/>
      <c r="F5" s="147"/>
    </row>
    <row r="6" spans="2:6" ht="14.4" thickBot="1" x14ac:dyDescent="0.35"/>
    <row r="7" spans="2:6" ht="21.15" customHeight="1" x14ac:dyDescent="0.3">
      <c r="B7" s="163" t="s">
        <v>91</v>
      </c>
      <c r="C7" s="164"/>
      <c r="D7" s="167" t="s">
        <v>92</v>
      </c>
      <c r="E7" s="168"/>
      <c r="F7" s="169"/>
    </row>
    <row r="8" spans="2:6" ht="24.45" customHeight="1" thickBot="1" x14ac:dyDescent="0.35">
      <c r="B8" s="165"/>
      <c r="C8" s="166"/>
      <c r="D8" s="52" t="s">
        <v>60</v>
      </c>
      <c r="E8" s="36" t="s">
        <v>59</v>
      </c>
      <c r="F8" s="37" t="s">
        <v>58</v>
      </c>
    </row>
    <row r="9" spans="2:6" ht="74.099999999999994" customHeight="1" thickBot="1" x14ac:dyDescent="0.35">
      <c r="B9" s="161" t="s">
        <v>93</v>
      </c>
      <c r="C9" s="162"/>
      <c r="D9" s="53" t="s">
        <v>94</v>
      </c>
      <c r="E9" s="54" t="s">
        <v>95</v>
      </c>
      <c r="F9" s="55" t="s">
        <v>96</v>
      </c>
    </row>
    <row r="10" spans="2:6" ht="60.45" customHeight="1" x14ac:dyDescent="0.3">
      <c r="B10" s="38" t="s">
        <v>73</v>
      </c>
      <c r="C10" s="50" t="s">
        <v>97</v>
      </c>
      <c r="D10" s="68" t="s">
        <v>60</v>
      </c>
      <c r="E10" s="69" t="s">
        <v>60</v>
      </c>
      <c r="F10" s="70" t="s">
        <v>59</v>
      </c>
    </row>
    <row r="11" spans="2:6" ht="52.95" customHeight="1" x14ac:dyDescent="0.3">
      <c r="B11" s="38" t="s">
        <v>42</v>
      </c>
      <c r="C11" s="50" t="s">
        <v>98</v>
      </c>
      <c r="D11" s="71" t="s">
        <v>60</v>
      </c>
      <c r="E11" s="72" t="s">
        <v>59</v>
      </c>
      <c r="F11" s="41" t="s">
        <v>58</v>
      </c>
    </row>
    <row r="12" spans="2:6" ht="59.1" customHeight="1" thickBot="1" x14ac:dyDescent="0.35">
      <c r="B12" s="39" t="s">
        <v>41</v>
      </c>
      <c r="C12" s="51" t="s">
        <v>99</v>
      </c>
      <c r="D12" s="73" t="s">
        <v>59</v>
      </c>
      <c r="E12" s="42" t="s">
        <v>58</v>
      </c>
      <c r="F12" s="43" t="s">
        <v>58</v>
      </c>
    </row>
    <row r="13" spans="2:6" x14ac:dyDescent="0.3">
      <c r="B13" s="40"/>
      <c r="C13" s="40"/>
      <c r="D13" s="40"/>
      <c r="E13" s="40"/>
      <c r="F13" s="40"/>
    </row>
    <row r="14" spans="2:6" ht="14.4" thickBot="1" x14ac:dyDescent="0.35">
      <c r="B14" s="40"/>
      <c r="C14" s="40"/>
      <c r="D14" s="40"/>
      <c r="E14" s="40"/>
      <c r="F14" s="40"/>
    </row>
    <row r="15" spans="2:6" ht="25.95" customHeight="1" thickBot="1" x14ac:dyDescent="0.35">
      <c r="B15" s="156" t="s">
        <v>100</v>
      </c>
      <c r="C15" s="157"/>
      <c r="D15" s="158" t="s">
        <v>101</v>
      </c>
      <c r="E15" s="159"/>
      <c r="F15" s="160"/>
    </row>
    <row r="16" spans="2:6" ht="25.95" customHeight="1" x14ac:dyDescent="0.3">
      <c r="B16" s="161" t="s">
        <v>50</v>
      </c>
      <c r="C16" s="162"/>
      <c r="D16" s="46" t="s">
        <v>60</v>
      </c>
      <c r="E16" s="44" t="s">
        <v>59</v>
      </c>
      <c r="F16" s="45" t="s">
        <v>102</v>
      </c>
    </row>
    <row r="17" spans="2:6" ht="25.95" customHeight="1" x14ac:dyDescent="0.3">
      <c r="B17" s="154" t="s">
        <v>73</v>
      </c>
      <c r="C17" s="155"/>
      <c r="D17" s="47" t="s">
        <v>74</v>
      </c>
      <c r="E17" s="32" t="s">
        <v>73</v>
      </c>
      <c r="F17" s="33" t="s">
        <v>42</v>
      </c>
    </row>
    <row r="18" spans="2:6" ht="25.95" customHeight="1" x14ac:dyDescent="0.3">
      <c r="B18" s="154" t="s">
        <v>42</v>
      </c>
      <c r="C18" s="155" t="s">
        <v>103</v>
      </c>
      <c r="D18" s="48" t="s">
        <v>73</v>
      </c>
      <c r="E18" s="33" t="s">
        <v>42</v>
      </c>
      <c r="F18" s="34" t="s">
        <v>41</v>
      </c>
    </row>
    <row r="19" spans="2:6" ht="25.95" customHeight="1" thickBot="1" x14ac:dyDescent="0.35">
      <c r="B19" s="137" t="s">
        <v>41</v>
      </c>
      <c r="C19" s="138" t="s">
        <v>103</v>
      </c>
      <c r="D19" s="49" t="s">
        <v>42</v>
      </c>
      <c r="E19" s="35" t="s">
        <v>41</v>
      </c>
      <c r="F19" s="35" t="s">
        <v>41</v>
      </c>
    </row>
  </sheetData>
  <mergeCells count="16">
    <mergeCell ref="B19:C19"/>
    <mergeCell ref="B2:F2"/>
    <mergeCell ref="D3:F3"/>
    <mergeCell ref="D4:F4"/>
    <mergeCell ref="D5:F5"/>
    <mergeCell ref="B3:C3"/>
    <mergeCell ref="B4:C4"/>
    <mergeCell ref="B5:C5"/>
    <mergeCell ref="B17:C17"/>
    <mergeCell ref="B18:C18"/>
    <mergeCell ref="B15:C15"/>
    <mergeCell ref="D15:F15"/>
    <mergeCell ref="B16:C16"/>
    <mergeCell ref="B9:C9"/>
    <mergeCell ref="B7:C8"/>
    <mergeCell ref="D7:F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B317-3869-4623-9987-5FA54F250A92}">
  <dimension ref="B1:E12"/>
  <sheetViews>
    <sheetView topLeftCell="A10" workbookViewId="0">
      <selection activeCell="C12" sqref="C12"/>
    </sheetView>
  </sheetViews>
  <sheetFormatPr defaultColWidth="11" defaultRowHeight="14.4" x14ac:dyDescent="0.3"/>
  <cols>
    <col min="2" max="2" width="17.6640625" customWidth="1"/>
    <col min="3" max="3" width="81.33203125" customWidth="1"/>
  </cols>
  <sheetData>
    <row r="1" spans="2:5" ht="15" thickBot="1" x14ac:dyDescent="0.35"/>
    <row r="2" spans="2:5" ht="20.399999999999999" customHeight="1" thickBot="1" x14ac:dyDescent="0.35">
      <c r="B2" s="170" t="s">
        <v>104</v>
      </c>
      <c r="C2" s="171"/>
    </row>
    <row r="3" spans="2:5" ht="80.849999999999994" customHeight="1" x14ac:dyDescent="0.3">
      <c r="B3" s="59" t="s">
        <v>61</v>
      </c>
      <c r="C3" s="67" t="s">
        <v>105</v>
      </c>
      <c r="D3" s="9"/>
      <c r="E3" s="9"/>
    </row>
    <row r="4" spans="2:5" ht="80.849999999999994" customHeight="1" x14ac:dyDescent="0.3">
      <c r="B4" s="56" t="s">
        <v>60</v>
      </c>
      <c r="C4" s="65" t="s">
        <v>106</v>
      </c>
      <c r="D4" s="9"/>
      <c r="E4" s="9"/>
    </row>
    <row r="5" spans="2:5" ht="80.849999999999994" customHeight="1" x14ac:dyDescent="0.3">
      <c r="B5" s="57" t="s">
        <v>59</v>
      </c>
      <c r="C5" s="65" t="s">
        <v>107</v>
      </c>
      <c r="D5" s="9"/>
      <c r="E5" s="9"/>
    </row>
    <row r="6" spans="2:5" ht="80.849999999999994" customHeight="1" thickBot="1" x14ac:dyDescent="0.35">
      <c r="B6" s="58" t="s">
        <v>58</v>
      </c>
      <c r="C6" s="66" t="s">
        <v>108</v>
      </c>
      <c r="D6" s="9"/>
      <c r="E6" s="9"/>
    </row>
    <row r="7" spans="2:5" ht="15" thickBot="1" x14ac:dyDescent="0.35"/>
    <row r="8" spans="2:5" ht="19.2" customHeight="1" thickBot="1" x14ac:dyDescent="0.35">
      <c r="B8" s="170" t="s">
        <v>109</v>
      </c>
      <c r="C8" s="171"/>
    </row>
    <row r="9" spans="2:5" ht="78.75" customHeight="1" x14ac:dyDescent="0.3">
      <c r="B9" s="63" t="s">
        <v>110</v>
      </c>
      <c r="C9" s="64" t="s">
        <v>111</v>
      </c>
    </row>
    <row r="10" spans="2:5" ht="112.2" customHeight="1" x14ac:dyDescent="0.3">
      <c r="B10" s="56" t="s">
        <v>60</v>
      </c>
      <c r="C10" s="65" t="s">
        <v>112</v>
      </c>
    </row>
    <row r="11" spans="2:5" ht="78.75" customHeight="1" x14ac:dyDescent="0.3">
      <c r="B11" s="57" t="s">
        <v>59</v>
      </c>
      <c r="C11" s="65" t="s">
        <v>113</v>
      </c>
    </row>
    <row r="12" spans="2:5" ht="78.75" customHeight="1" thickBot="1" x14ac:dyDescent="0.35">
      <c r="B12" s="58" t="s">
        <v>58</v>
      </c>
      <c r="C12" s="66" t="s">
        <v>114</v>
      </c>
    </row>
  </sheetData>
  <mergeCells count="2">
    <mergeCell ref="B2:C2"/>
    <mergeCell ref="B8:C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704ED8-5E07-4D0A-916F-F9C6661B4153}"/>
</file>

<file path=customXml/itemProps2.xml><?xml version="1.0" encoding="utf-8"?>
<ds:datastoreItem xmlns:ds="http://schemas.openxmlformats.org/officeDocument/2006/customXml" ds:itemID="{1D477FCC-6702-484C-8265-E31771F3E4ED}">
  <ds:schemaRefs>
    <ds:schemaRef ds:uri="http://schemas.microsoft.com/sharepoint/v3/contenttype/forms"/>
  </ds:schemaRefs>
</ds:datastoreItem>
</file>

<file path=customXml/itemProps3.xml><?xml version="1.0" encoding="utf-8"?>
<ds:datastoreItem xmlns:ds="http://schemas.openxmlformats.org/officeDocument/2006/customXml" ds:itemID="{70C82265-004B-45D7-BCEA-21B5745DCCEA}">
  <ds:schemaRefs>
    <ds:schemaRef ds:uri="http://schemas.microsoft.com/office/2006/metadata/properties"/>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documentManagement/types"/>
    <ds:schemaRef ds:uri="157c0300-1a4d-4765-81f9-fd1314fe0b9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4</vt:i4>
      </vt:variant>
    </vt:vector>
  </HeadingPairs>
  <TitlesOfParts>
    <vt:vector size="4" baseType="lpstr">
      <vt:lpstr>Cabecera</vt:lpstr>
      <vt:lpstr>BIA &amp; RISK</vt:lpstr>
      <vt:lpstr>RISK CRITERIA</vt:lpstr>
      <vt:lpstr>BIA IMPACT 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toni</dc:creator>
  <cp:keywords/>
  <dc:description/>
  <cp:lastModifiedBy>Toni- TORINNOVA</cp:lastModifiedBy>
  <cp:revision/>
  <dcterms:created xsi:type="dcterms:W3CDTF">2019-10-14T07:42:46Z</dcterms:created>
  <dcterms:modified xsi:type="dcterms:W3CDTF">2025-10-01T13:49:59Z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y fmtid="{D5CDD505-2E9C-101B-9397-08002B2CF9AE}" pid="3" name="MediaServiceImageTags">
    <vt:lpwstr/>
  </property>
</Properties>
</file>