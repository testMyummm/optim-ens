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6320" windowWidth="29040" windowHeight="16440" tabRatio="746" firstSheet="6" activeTab="4" autoFilterDateGrouping="1"/>
  </bookViews>
  <sheets>
    <sheet xmlns:r="http://schemas.openxmlformats.org/officeDocument/2006/relationships" name="Cabecera" sheetId="1" state="visible" r:id="rId1"/>
    <sheet xmlns:r="http://schemas.openxmlformats.org/officeDocument/2006/relationships" name="Guía de Uso" sheetId="2" state="visible" r:id="rId2"/>
    <sheet xmlns:r="http://schemas.openxmlformats.org/officeDocument/2006/relationships" name="SP-Servicios Propios" sheetId="3" state="visible" r:id="rId3"/>
    <sheet xmlns:r="http://schemas.openxmlformats.org/officeDocument/2006/relationships" name="D-Datos" sheetId="4" state="visible" r:id="rId4"/>
    <sheet xmlns:r="http://schemas.openxmlformats.org/officeDocument/2006/relationships" name="SE-Servicios Externos" sheetId="5" state="visible" r:id="rId5"/>
    <sheet xmlns:r="http://schemas.openxmlformats.org/officeDocument/2006/relationships" name="SW-Aplicaciones" sheetId="6" state="visible" r:id="rId6"/>
    <sheet xmlns:r="http://schemas.openxmlformats.org/officeDocument/2006/relationships" name="SS-Servicios SaaS" sheetId="7" state="visible" r:id="rId7"/>
    <sheet xmlns:r="http://schemas.openxmlformats.org/officeDocument/2006/relationships" name="HW-Equipos" sheetId="8" state="visible" r:id="rId8"/>
    <sheet xmlns:r="http://schemas.openxmlformats.org/officeDocument/2006/relationships" name="IS-IaaS" sheetId="9" state="visible" r:id="rId9"/>
    <sheet xmlns:r="http://schemas.openxmlformats.org/officeDocument/2006/relationships" name="COM-Comunicaciones" sheetId="10" state="visible" r:id="rId10"/>
    <sheet xmlns:r="http://schemas.openxmlformats.org/officeDocument/2006/relationships" name="LOC-Instalaciones " sheetId="11" state="visible" r:id="rId11"/>
    <sheet xmlns:r="http://schemas.openxmlformats.org/officeDocument/2006/relationships" name="K-Claves Cripto" sheetId="12" state="visible" r:id="rId12"/>
    <sheet xmlns:r="http://schemas.openxmlformats.org/officeDocument/2006/relationships" name="SOP-Soportes" sheetId="13" state="visible" r:id="rId13"/>
    <sheet xmlns:r="http://schemas.openxmlformats.org/officeDocument/2006/relationships" name="AUX-Equipos Auxiliares" sheetId="14" state="visible" r:id="rId14"/>
    <sheet xmlns:r="http://schemas.openxmlformats.org/officeDocument/2006/relationships" name="P-Personal" sheetId="15" state="visible" r:id="rId15"/>
    <sheet xmlns:r="http://schemas.openxmlformats.org/officeDocument/2006/relationships" name="TABLAS" sheetId="16" state="visible" r:id="rId16"/>
  </sheets>
  <definedNames>
    <definedName name="Capa">TABLAS!$A$3:$A$4</definedName>
    <definedName name="Classificacio_informacio">TABLAS!$A$8:$A$11</definedName>
    <definedName name="Classificacio_valors">TABLAS!$A$8:$B$11</definedName>
    <definedName name="dades_personals">TABLAS!$A$14:$A$16</definedName>
    <definedName name="Impacte">TABLAS!$D$3:$D$6</definedName>
    <definedName name="NivellENS_Categoria">TABLAS!$B$34:$C$37</definedName>
    <definedName name="RPO">TABLAS!$A$27:$A$30</definedName>
    <definedName name="RPO_valors">TABLAS!$A$27:$B$30</definedName>
    <definedName name="RTO">TABLAS!$A$20:$A$23</definedName>
    <definedName name="RTO_valors">TABLAS!$A$20:$B$23</definedName>
    <definedName name="Valor_Actiu_NivellENS">TABLAS!$A$34:$B$37</definedName>
    <definedName name="_xlnm.Print_Area" localSheetId="0">'Cabecera'!$A$1:$D$14</definedName>
    <definedName name="_xlnm.Print_Area" localSheetId="1">'Guía de Uso'!$A$1:$B$21</definedName>
    <definedName name="_xlnm.Print_Area" localSheetId="2">'SP-Servicios Propios'!$A$1:$W$10</definedName>
    <definedName name="_xlnm.Print_Area" localSheetId="3">'D-Datos'!$A$1:$W$22</definedName>
    <definedName name="_xlnm.Print_Area" localSheetId="4">'SE-Servicios Externos'!$A$1:$T$6</definedName>
    <definedName name="_xlnm.Print_Area" localSheetId="5">'SW-Aplicaciones'!$A$1:$T$7</definedName>
    <definedName name="_xlnm.Print_Area" localSheetId="6">'SS-Servicios SaaS'!$A$1:$T$9</definedName>
    <definedName name="_xlnm.Print_Area" localSheetId="7">'HW-Equipos'!$A$1:$T$5</definedName>
    <definedName name="_xlnm.Print_Area" localSheetId="8">'IS-IaaS'!$A$1:$T$5</definedName>
    <definedName name="_xlnm.Print_Area" localSheetId="9">'COM-Comunicaciones'!$A$1:$T$5</definedName>
    <definedName name="_xlnm.Print_Area" localSheetId="10">'LOC-Instalaciones '!$A$1:$T$5</definedName>
    <definedName name="_xlnm.Print_Area" localSheetId="11">'K-Claves Cripto'!$A$1:$T$8</definedName>
    <definedName name="_xlnm.Print_Area" localSheetId="12">'SOP-Soportes'!$A$1:$T$6</definedName>
  </definedNames>
  <calcPr calcId="191028" fullCalcOnLoad="1"/>
</workbook>
</file>

<file path=xl/styles.xml><?xml version="1.0" encoding="utf-8"?>
<styleSheet xmlns="http://schemas.openxmlformats.org/spreadsheetml/2006/main">
  <numFmts count="1">
    <numFmt numFmtId="164" formatCode="d\.m"/>
  </numFmts>
  <fonts count="44">
    <font>
      <name val="Calibri"/>
      <color rgb="FF000000"/>
      <sz val="11"/>
    </font>
    <font>
      <name val="Calibri"/>
      <family val="2"/>
      <color theme="1"/>
      <sz val="11"/>
      <scheme val="minor"/>
    </font>
    <font>
      <name val="Calibri"/>
      <family val="2"/>
      <color theme="1"/>
      <sz val="11"/>
      <scheme val="minor"/>
    </font>
    <font>
      <name val="Calibri"/>
      <family val="2"/>
      <color rgb="FF000000"/>
      <sz val="10"/>
    </font>
    <font>
      <name val="Calibri"/>
      <family val="2"/>
      <sz val="11"/>
    </font>
    <font>
      <name val="Calibri"/>
      <family val="2"/>
      <color rgb="FF000000"/>
      <sz val="22"/>
    </font>
    <font>
      <name val="Arial"/>
      <family val="2"/>
      <sz val="11"/>
    </font>
    <font>
      <name val="Calibri"/>
      <family val="2"/>
      <b val="1"/>
      <color rgb="FFFF0000"/>
      <sz val="11"/>
    </font>
    <font>
      <name val="Calibri"/>
      <family val="2"/>
      <b val="1"/>
      <color rgb="FF000000"/>
      <sz val="11"/>
    </font>
    <font>
      <name val="Calibri"/>
      <family val="2"/>
      <b val="1"/>
      <color rgb="FF000000"/>
      <sz val="10"/>
    </font>
    <font>
      <name val="Calibri"/>
      <family val="2"/>
      <sz val="10"/>
    </font>
    <font>
      <name val="Calibri"/>
      <family val="2"/>
      <color rgb="FF000000"/>
      <sz val="26"/>
    </font>
    <font>
      <name val="Calibri"/>
      <family val="2"/>
      <color rgb="FF000000"/>
      <sz val="11"/>
    </font>
    <font>
      <name val="Calibri"/>
      <family val="2"/>
      <sz val="11"/>
      <scheme val="minor"/>
    </font>
    <font>
      <name val="Calibri"/>
      <family val="2"/>
      <b val="1"/>
      <sz val="11"/>
      <scheme val="minor"/>
    </font>
    <font>
      <name val="Calibri"/>
      <family val="2"/>
      <i val="1"/>
      <sz val="11"/>
      <scheme val="minor"/>
    </font>
    <font>
      <name val="Calibri"/>
      <family val="2"/>
      <b val="1"/>
      <color theme="0"/>
      <sz val="11"/>
    </font>
    <font>
      <name val="Calibri"/>
      <family val="2"/>
      <color theme="0"/>
      <sz val="11"/>
    </font>
    <font>
      <name val="Calibri"/>
      <family val="2"/>
      <b val="1"/>
      <color theme="0"/>
      <sz val="18"/>
      <scheme val="minor"/>
    </font>
    <font>
      <name val="Calibri"/>
      <family val="2"/>
      <b val="1"/>
      <sz val="10"/>
    </font>
    <font>
      <name val="Calibri"/>
      <family val="2"/>
      <sz val="8"/>
    </font>
    <font>
      <name val="Calibri"/>
      <family val="2"/>
      <sz val="8"/>
    </font>
    <font>
      <name val="Calibri"/>
      <family val="2"/>
      <b val="1"/>
      <color theme="0" tint="-0.249977111117893"/>
      <sz val="10"/>
    </font>
    <font>
      <name val="Calibri"/>
      <family val="2"/>
      <color theme="0" tint="-0.249977111117893"/>
      <sz val="10"/>
    </font>
    <font>
      <name val="Calibri"/>
      <family val="2"/>
      <b val="1"/>
      <color theme="0"/>
      <sz val="10"/>
    </font>
    <font>
      <name val="Calibri"/>
      <family val="2"/>
      <sz val="8"/>
    </font>
    <font>
      <name val="Calibri"/>
      <family val="2"/>
      <color theme="1"/>
      <sz val="11"/>
    </font>
    <font>
      <name val="Calibri"/>
      <family val="2"/>
      <sz val="12"/>
      <scheme val="minor"/>
    </font>
    <font>
      <name val="Calibri"/>
      <family val="2"/>
      <b val="1"/>
      <color rgb="FF000000"/>
      <sz val="10"/>
      <scheme val="minor"/>
    </font>
    <font>
      <name val="Calibri"/>
      <family val="2"/>
      <color rgb="FF000000"/>
      <sz val="10"/>
      <scheme val="minor"/>
    </font>
    <font>
      <name val="Calibri"/>
      <family val="2"/>
      <color theme="0" tint="-0.3499862666707358"/>
      <sz val="10"/>
      <scheme val="minor"/>
    </font>
    <font>
      <name val="Calibri"/>
      <family val="2"/>
      <color theme="0" tint="-0.249977111117893"/>
      <sz val="10"/>
      <scheme val="minor"/>
    </font>
    <font>
      <name val="Calibri"/>
      <family val="2"/>
      <color rgb="FF000000"/>
      <sz val="11"/>
      <scheme val="minor"/>
    </font>
    <font>
      <name val="Calibri"/>
      <family val="2"/>
      <b val="1"/>
      <color rgb="FF000000"/>
      <sz val="11"/>
      <scheme val="minor"/>
    </font>
    <font>
      <name val="Calibri"/>
      <family val="2"/>
      <b val="1"/>
      <color theme="0"/>
      <sz val="12"/>
      <scheme val="minor"/>
    </font>
    <font>
      <name val="Calibri"/>
      <family val="2"/>
      <color theme="0"/>
      <sz val="12"/>
      <scheme val="minor"/>
    </font>
    <font>
      <name val="Calibri"/>
      <family val="2"/>
      <b val="1"/>
      <sz val="12"/>
      <scheme val="minor"/>
    </font>
    <font>
      <name val="Calibri"/>
      <family val="2"/>
      <sz val="10"/>
      <scheme val="minor"/>
    </font>
    <font>
      <name val="Calibri"/>
      <family val="2"/>
      <b val="1"/>
      <sz val="10"/>
      <scheme val="minor"/>
    </font>
    <font>
      <name val="Calibri"/>
      <family val="2"/>
      <b val="1"/>
      <color theme="0" tint="-0.3499862666707358"/>
      <sz val="10"/>
    </font>
    <font>
      <name val="Calibri"/>
      <family val="2"/>
      <color theme="0" tint="-0.3499862666707358"/>
      <sz val="10"/>
    </font>
    <font>
      <name val="Calibri"/>
      <family val="2"/>
      <color theme="5" tint="-0.249977111117893"/>
      <sz val="11"/>
    </font>
    <font>
      <name val="Calibri"/>
      <family val="2"/>
      <color theme="0" tint="-0.3499862666707358"/>
      <sz val="11"/>
    </font>
    <font>
      <name val="Calibri"/>
      <family val="2"/>
      <b val="1"/>
      <color theme="0" tint="-0.499984740745262"/>
      <sz val="10"/>
      <scheme val="minor"/>
    </font>
  </fonts>
  <fills count="17">
    <fill>
      <patternFill/>
    </fill>
    <fill>
      <patternFill patternType="gray125"/>
    </fill>
    <fill>
      <patternFill patternType="solid">
        <fgColor rgb="FFFFFF00"/>
        <bgColor rgb="FFFFFF00"/>
      </patternFill>
    </fill>
    <fill>
      <patternFill patternType="solid">
        <fgColor rgb="FFFFFF00"/>
        <bgColor indexed="64"/>
      </patternFill>
    </fill>
    <fill>
      <patternFill patternType="solid">
        <fgColor theme="8" tint="0.7999816888943144"/>
        <bgColor indexed="64"/>
      </patternFill>
    </fill>
    <fill>
      <patternFill patternType="solid">
        <fgColor theme="8" tint="0.7999816888943144"/>
        <bgColor rgb="FFF9CB9C"/>
      </patternFill>
    </fill>
    <fill>
      <patternFill patternType="solid">
        <fgColor rgb="FF00518E"/>
        <bgColor indexed="64"/>
      </patternFill>
    </fill>
    <fill>
      <patternFill patternType="solid">
        <fgColor theme="8" tint="0.3999755851924192"/>
        <bgColor indexed="64"/>
      </patternFill>
    </fill>
    <fill>
      <patternFill patternType="solid">
        <fgColor rgb="FF00518E"/>
        <bgColor rgb="FFFFFF00"/>
      </patternFill>
    </fill>
    <fill>
      <patternFill patternType="solid">
        <fgColor theme="8" tint="-0.249977111117893"/>
        <bgColor rgb="FFE2EFD9"/>
      </patternFill>
    </fill>
    <fill>
      <patternFill patternType="solid">
        <fgColor theme="8" tint="-0.249977111117893"/>
        <bgColor indexed="64"/>
      </patternFill>
    </fill>
    <fill>
      <patternFill patternType="solid">
        <fgColor theme="8" tint="-0.249977111117893"/>
        <bgColor rgb="FFFFFF00"/>
      </patternFill>
    </fill>
    <fill>
      <patternFill patternType="solid">
        <fgColor theme="8" tint="0.5999938962981048"/>
        <bgColor rgb="FFE2EFD9"/>
      </patternFill>
    </fill>
    <fill>
      <patternFill patternType="solid">
        <fgColor theme="8" tint="0.5999938962981048"/>
        <bgColor indexed="64"/>
      </patternFill>
    </fill>
    <fill>
      <patternFill patternType="solid">
        <fgColor theme="8" tint="0.3999755851924192"/>
        <bgColor rgb="FFE2EFD9"/>
      </patternFill>
    </fill>
    <fill>
      <patternFill patternType="solid">
        <fgColor theme="0" tint="-0.0499893185216834"/>
        <bgColor indexed="64"/>
      </patternFill>
    </fill>
    <fill>
      <patternFill patternType="solid">
        <fgColor theme="0" tint="-0.1499984740745262"/>
        <bgColor indexed="64"/>
      </patternFill>
    </fill>
  </fills>
  <borders count="76">
    <border>
      <left/>
      <right/>
      <top/>
      <bottom/>
      <diagonal/>
    </border>
    <border>
      <left/>
      <right/>
      <top/>
      <bottom style="thin">
        <color rgb="FFA5A5A5"/>
      </bottom>
      <diagonal/>
    </border>
    <border>
      <left/>
      <right style="thin">
        <color rgb="FFA5A5A5"/>
      </right>
      <top/>
      <bottom style="thin">
        <color rgb="FFA5A5A5"/>
      </bottom>
      <diagonal/>
    </border>
    <border>
      <left/>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style="thick">
        <color rgb="FFA5A5A5"/>
      </left>
      <right style="thin">
        <color rgb="FFA5A5A5"/>
      </right>
      <top style="thin">
        <color rgb="FFA5A5A5"/>
      </top>
      <bottom style="thin">
        <color rgb="FFA5A5A5"/>
      </bottom>
      <diagonal/>
    </border>
    <border>
      <left style="thin">
        <color rgb="FFA5A5A5"/>
      </left>
      <right style="thick">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top/>
      <bottom style="thin">
        <color rgb="FF000000"/>
      </bottom>
      <diagonal/>
    </border>
    <border>
      <left/>
      <right/>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style="thin">
        <color rgb="FFA5A5A5"/>
      </left>
      <right/>
      <top/>
      <bottom style="thin">
        <color rgb="FFA5A5A5"/>
      </bottom>
      <diagonal/>
    </border>
    <border>
      <left style="thin">
        <color rgb="FFA5A5A5"/>
      </left>
      <right style="thin">
        <color rgb="FFA5A5A5"/>
      </right>
      <top/>
      <bottom style="thin">
        <color rgb="FFA5A5A5"/>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style="thin">
        <color rgb="FFA5A5A5"/>
      </top>
      <bottom/>
      <diagonal/>
    </border>
    <border>
      <left style="thick">
        <color rgb="FFA5A5A5"/>
      </left>
      <right style="thin">
        <color rgb="FFA5A5A5"/>
      </right>
      <top/>
      <bottom style="thin">
        <color rgb="FFA5A5A5"/>
      </bottom>
      <diagonal/>
    </border>
    <border>
      <left style="thin">
        <color rgb="FFA5A5A5"/>
      </left>
      <right style="thick">
        <color rgb="FFA5A5A5"/>
      </right>
      <top/>
      <bottom style="thin">
        <color rgb="FFA5A5A5"/>
      </bottom>
      <diagonal/>
    </border>
    <border>
      <left style="thin">
        <color indexed="64"/>
      </left>
      <right style="thin">
        <color rgb="FF999999"/>
      </right>
      <top/>
      <bottom/>
      <diagonal/>
    </border>
    <border>
      <left style="thin">
        <color rgb="FF999999"/>
      </left>
      <right style="thin">
        <color rgb="FF999999"/>
      </right>
      <top/>
      <bottom/>
      <diagonal/>
    </border>
    <border>
      <left style="thin">
        <color rgb="FF999999"/>
      </left>
      <right style="thin">
        <color indexed="64"/>
      </right>
      <top/>
      <bottom/>
      <diagonal/>
    </border>
    <border>
      <left/>
      <right/>
      <top style="thin">
        <color rgb="FFA5A5A5"/>
      </top>
      <bottom style="thin">
        <color theme="0" tint="-0.3499862666707358"/>
      </bottom>
      <diagonal/>
    </border>
    <border>
      <left style="thin">
        <color rgb="FFA5A5A5"/>
      </left>
      <right/>
      <top style="thin">
        <color rgb="FFA5A5A5"/>
      </top>
      <bottom/>
      <diagonal/>
    </border>
    <border>
      <left style="thin">
        <color rgb="FFA5A5A5"/>
      </left>
      <right style="thin">
        <color rgb="FFA5A5A5"/>
      </right>
      <top style="thin">
        <color theme="1" tint="0.499984740745262"/>
      </top>
      <bottom/>
      <diagonal/>
    </border>
    <border>
      <left style="thick">
        <color theme="1" tint="0.499984740745262"/>
      </left>
      <right style="thin">
        <color rgb="FFA5A5A5"/>
      </right>
      <top style="thin">
        <color theme="1" tint="0.499984740745262"/>
      </top>
      <bottom/>
      <diagonal/>
    </border>
    <border>
      <left style="thick">
        <color theme="1" tint="0.499984740745262"/>
      </left>
      <right style="thin">
        <color rgb="FFA5A5A5"/>
      </right>
      <top style="thin">
        <color rgb="FFA5A5A5"/>
      </top>
      <bottom style="thin">
        <color rgb="FFA5A5A5"/>
      </bottom>
      <diagonal/>
    </border>
    <border>
      <left style="thin">
        <color rgb="FFA5A5A5"/>
      </left>
      <right/>
      <top style="thin">
        <color theme="1" tint="0.499984740745262"/>
      </top>
      <bottom/>
      <diagonal/>
    </border>
    <border>
      <left style="thick">
        <color rgb="FFA5A5A5"/>
      </left>
      <right style="thin">
        <color theme="0" tint="-0.3499862666707358"/>
      </right>
      <top style="thin">
        <color rgb="FFA5A5A5"/>
      </top>
      <bottom style="thin">
        <color theme="0" tint="-0.3499862666707358"/>
      </bottom>
      <diagonal/>
    </border>
    <border>
      <left style="thin">
        <color theme="0" tint="-0.3499862666707358"/>
      </left>
      <right style="thin">
        <color theme="0" tint="-0.3499862666707358"/>
      </right>
      <top style="thin">
        <color rgb="FFA5A5A5"/>
      </top>
      <bottom style="thin">
        <color theme="0" tint="-0.3499862666707358"/>
      </bottom>
      <diagonal/>
    </border>
    <border>
      <left style="thin">
        <color theme="0" tint="-0.3499862666707358"/>
      </left>
      <right style="thick">
        <color rgb="FFA5A5A5"/>
      </right>
      <top style="thin">
        <color rgb="FFA5A5A5"/>
      </top>
      <bottom style="thin">
        <color theme="0" tint="-0.3499862666707358"/>
      </bottom>
      <diagonal/>
    </border>
    <border>
      <left style="thick">
        <color rgb="FFA5A5A5"/>
      </left>
      <right style="thin">
        <color rgb="FF999999"/>
      </right>
      <top/>
      <bottom/>
      <diagonal/>
    </border>
    <border>
      <left style="thin">
        <color rgb="FF999999"/>
      </left>
      <right style="thick">
        <color rgb="FFA5A5A5"/>
      </right>
      <top/>
      <bottom/>
      <diagonal/>
    </border>
    <border>
      <left style="thin">
        <color rgb="FFA5A5A5"/>
      </left>
      <right style="thick">
        <color rgb="FFA5A5A5"/>
      </right>
      <top style="thin">
        <color theme="1" tint="0.499984740745262"/>
      </top>
      <bottom/>
      <diagonal/>
    </border>
    <border>
      <left style="thick">
        <color theme="0" tint="-0.3499862666707358"/>
      </left>
      <right style="thin">
        <color rgb="FFA5A5A5"/>
      </right>
      <top style="thin">
        <color theme="1" tint="0.499984740745262"/>
      </top>
      <bottom/>
      <diagonal/>
    </border>
    <border>
      <left style="thick">
        <color theme="0" tint="-0.3499862666707358"/>
      </left>
      <right style="thin">
        <color rgb="FFA5A5A5"/>
      </right>
      <top style="thin">
        <color rgb="FFA5A5A5"/>
      </top>
      <bottom style="thin">
        <color rgb="FFA5A5A5"/>
      </bottom>
      <diagonal/>
    </border>
    <border>
      <left style="thin">
        <color indexed="64"/>
      </left>
      <right style="thin">
        <color rgb="FFA5A5A5"/>
      </right>
      <top/>
      <bottom style="thin">
        <color rgb="FFA5A5A5"/>
      </bottom>
      <diagonal/>
    </border>
    <border>
      <left style="thin">
        <color rgb="FFA5A5A5"/>
      </left>
      <right style="thin">
        <color rgb="FFA5A5A5"/>
      </right>
      <top/>
      <bottom/>
      <diagonal/>
    </border>
    <border>
      <left style="medium">
        <color rgb="FFA5A5A5"/>
      </left>
      <right style="medium">
        <color rgb="FFA5A5A5"/>
      </right>
      <top style="medium">
        <color rgb="FFA5A5A5"/>
      </top>
      <bottom style="medium">
        <color rgb="FFA5A5A5"/>
      </bottom>
      <diagonal/>
    </border>
    <border>
      <left style="medium">
        <color rgb="FFCCCCCC"/>
      </left>
      <right style="medium">
        <color rgb="FFA5A5A5"/>
      </right>
      <top style="medium">
        <color rgb="FFA5A5A5"/>
      </top>
      <bottom style="medium">
        <color rgb="FFA5A5A5"/>
      </bottom>
      <diagonal/>
    </border>
    <border>
      <left/>
      <right style="thin">
        <color rgb="FFA5A5A5"/>
      </right>
      <top/>
      <bottom/>
      <diagonal/>
    </border>
    <border>
      <left style="thin">
        <color rgb="FFA5A5A5"/>
      </left>
      <right/>
      <top/>
      <bottom/>
      <diagonal/>
    </border>
    <border>
      <left/>
      <right style="thin">
        <color rgb="FFA5A5A5"/>
      </right>
      <top style="thin">
        <color rgb="FFA5A5A5"/>
      </top>
      <bottom/>
      <diagonal/>
    </border>
    <border>
      <left style="medium">
        <color rgb="FFA5A5A5"/>
      </left>
      <right style="thin">
        <color rgb="FFA5A5A5"/>
      </right>
      <top style="thin">
        <color rgb="FFA5A5A5"/>
      </top>
      <bottom style="thin">
        <color rgb="FFA5A5A5"/>
      </bottom>
      <diagonal/>
    </border>
    <border>
      <left/>
      <right style="thick">
        <color rgb="FFA5A5A5"/>
      </right>
      <top style="thin">
        <color rgb="FFA5A5A5"/>
      </top>
      <bottom style="thin">
        <color rgb="FFA5A5A5"/>
      </bottom>
      <diagonal/>
    </border>
    <border>
      <left/>
      <right style="thin">
        <color theme="0" tint="-0.3499862666707358"/>
      </right>
      <top style="thin">
        <color theme="0" tint="-0.3499862666707358"/>
      </top>
      <bottom style="thin">
        <color theme="0" tint="-0.3499862666707358"/>
      </bottom>
      <diagonal/>
    </border>
    <border>
      <left style="thick">
        <color theme="0" tint="-0.3499862666707358"/>
      </left>
      <right style="thick">
        <color theme="0" tint="-0.3499862666707358"/>
      </right>
      <top style="thin">
        <color theme="0" tint="-0.3499862666707358"/>
      </top>
      <bottom style="thin">
        <color theme="0" tint="-0.3499862666707358"/>
      </bottom>
      <diagonal/>
    </border>
    <border>
      <left style="thin">
        <color rgb="FF999999"/>
      </left>
      <right style="thick">
        <color rgb="FF999999"/>
      </right>
      <top style="thin">
        <color theme="0" tint="-0.3499862666707358"/>
      </top>
      <bottom style="thin">
        <color rgb="FFA5A5A5"/>
      </bottom>
      <diagonal/>
    </border>
    <border>
      <left style="thick">
        <color rgb="FFA5A5A5"/>
      </left>
      <right style="thin">
        <color rgb="FFA5A5A5"/>
      </right>
      <top style="thin">
        <color theme="0" tint="-0.3499862666707358"/>
      </top>
      <bottom style="thin">
        <color rgb="FFA5A5A5"/>
      </bottom>
      <diagonal/>
    </border>
    <border>
      <left style="thin">
        <color rgb="FFA5A5A5"/>
      </left>
      <right style="thin">
        <color rgb="FFA5A5A5"/>
      </right>
      <top style="thin">
        <color theme="0" tint="-0.3499862666707358"/>
      </top>
      <bottom style="thin">
        <color rgb="FFA5A5A5"/>
      </bottom>
      <diagonal/>
    </border>
    <border>
      <left style="thin">
        <color rgb="FFA5A5A5"/>
      </left>
      <right style="thick">
        <color rgb="FFA5A5A5"/>
      </right>
      <top style="thin">
        <color theme="0" tint="-0.3499862666707358"/>
      </top>
      <bottom style="thin">
        <color rgb="FFA5A5A5"/>
      </bottom>
      <diagonal/>
    </border>
    <border>
      <left style="thin">
        <color rgb="FFA5A5A5"/>
      </left>
      <right style="thin">
        <color rgb="FFA5A5A5"/>
      </right>
      <top style="medium">
        <color rgb="FFA5A5A5"/>
      </top>
      <bottom style="thin">
        <color rgb="FFA5A5A5"/>
      </bottom>
      <diagonal/>
    </border>
    <border>
      <left style="thin">
        <color rgb="FFA5A5A5"/>
      </left>
      <right style="thick">
        <color theme="1" tint="0.499984740745262"/>
      </right>
      <top style="medium">
        <color rgb="FFA5A5A5"/>
      </top>
      <bottom style="thin">
        <color rgb="FFA5A5A5"/>
      </bottom>
      <diagonal/>
    </border>
    <border>
      <left style="thin">
        <color rgb="FFA5A5A5"/>
      </left>
      <right style="thick">
        <color theme="1" tint="0.499984740745262"/>
      </right>
      <top style="thin">
        <color rgb="FFA5A5A5"/>
      </top>
      <bottom style="thin">
        <color rgb="FFA5A5A5"/>
      </bottom>
      <diagonal/>
    </border>
    <border>
      <left style="thin">
        <color rgb="FFA5A5A5"/>
      </left>
      <right style="thick">
        <color theme="0" tint="-0.3499862666707358"/>
      </right>
      <top style="thin">
        <color rgb="FFA5A5A5"/>
      </top>
      <bottom style="thin">
        <color rgb="FFA5A5A5"/>
      </bottom>
      <diagonal/>
    </border>
    <border>
      <left style="thin">
        <color rgb="FFA5A5A5"/>
      </left>
      <right style="thin">
        <color rgb="FFA5A5A5"/>
      </right>
      <top style="medium">
        <color rgb="FFCCCCCC"/>
      </top>
      <bottom style="thin">
        <color rgb="FFA5A5A5"/>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theme="0" tint="-0.3499862666707358"/>
      </top>
      <bottom/>
      <diagonal/>
    </border>
    <border>
      <left/>
      <right style="thin">
        <color theme="0" tint="-0.3499862666707358"/>
      </right>
      <top style="thin">
        <color theme="0" tint="-0.3499862666707358"/>
      </top>
      <bottom/>
      <diagonal/>
    </border>
    <border>
      <left/>
      <right/>
      <top style="thin">
        <color theme="0" tint="-0.3499862666707358"/>
      </top>
      <bottom style="thin">
        <color theme="0" tint="-0.3499862666707358"/>
      </bottom>
      <diagonal/>
    </border>
    <border>
      <left/>
      <right style="thick">
        <color theme="0" tint="-0.3499862666707358"/>
      </right>
      <top style="thin">
        <color theme="0" tint="-0.3499862666707358"/>
      </top>
      <bottom/>
      <diagonal/>
    </border>
    <border>
      <left/>
      <right style="thick">
        <color theme="0" tint="-0.3499862666707358"/>
      </right>
      <top style="thin">
        <color theme="0" tint="-0.3499862666707358"/>
      </top>
      <bottom style="thin">
        <color theme="0" tint="-0.3499862666707358"/>
      </bottom>
      <diagonal/>
    </border>
    <border>
      <left style="thin">
        <color rgb="FFA5A5A5"/>
      </left>
      <right style="thin">
        <color rgb="FFA5A5A5"/>
      </right>
      <top style="thin">
        <color rgb="FFA5A5A5"/>
      </top>
      <bottom/>
      <diagonal/>
    </border>
    <border>
      <left/>
      <right style="thin">
        <color theme="0" tint="-0.3499862666707358"/>
      </right>
      <top style="thin">
        <color rgb="FFA5A5A5"/>
      </top>
      <bottom/>
      <diagonal/>
    </border>
    <border>
      <left/>
      <right style="thin">
        <color theme="0" tint="-0.3499862666707358"/>
      </right>
      <top style="thin">
        <color rgb="FFA5A5A5"/>
      </top>
      <bottom style="thin">
        <color theme="0" tint="-0.3499862666707358"/>
      </bottom>
      <diagonal/>
    </border>
    <border>
      <left/>
      <right/>
      <top style="thin">
        <color theme="1" tint="0.499984740745262"/>
      </top>
      <bottom/>
      <diagonal/>
    </border>
    <border>
      <left/>
      <right style="thin">
        <color rgb="FFA5A5A5"/>
      </right>
      <top style="thin">
        <color theme="1" tint="0.499984740745262"/>
      </top>
      <bottom/>
      <diagonal/>
    </border>
  </borders>
  <cellStyleXfs count="5">
    <xf numFmtId="0" fontId="0" fillId="0" borderId="10"/>
    <xf numFmtId="0" fontId="2" fillId="0" borderId="10"/>
    <xf numFmtId="0" fontId="6" fillId="0" borderId="10" applyAlignment="1">
      <alignment vertical="center" wrapText="1"/>
    </xf>
    <xf numFmtId="0" fontId="12" fillId="0" borderId="10"/>
    <xf numFmtId="0" fontId="2" fillId="0" borderId="10"/>
  </cellStyleXfs>
  <cellXfs count="306">
    <xf numFmtId="0" fontId="0" fillId="0" borderId="0" pivotButton="0" quotePrefix="0" xfId="0"/>
    <xf numFmtId="0" fontId="0" fillId="0" borderId="0" applyAlignment="1" pivotButton="0" quotePrefix="0" xfId="0">
      <alignment vertical="center"/>
    </xf>
    <xf numFmtId="0" fontId="3" fillId="0" borderId="0" pivotButton="0" quotePrefix="0" xfId="0"/>
    <xf numFmtId="0" fontId="3" fillId="0" borderId="0" applyAlignment="1" pivotButton="0" quotePrefix="0" xfId="0">
      <alignment horizontal="center"/>
    </xf>
    <xf numFmtId="0" fontId="9" fillId="0" borderId="4" applyAlignment="1" pivotButton="0" quotePrefix="0" xfId="0">
      <alignment vertical="center"/>
    </xf>
    <xf numFmtId="0" fontId="3" fillId="0" borderId="4" applyAlignment="1" pivotButton="0" quotePrefix="0" xfId="0">
      <alignment vertical="center"/>
    </xf>
    <xf numFmtId="0" fontId="3" fillId="0" borderId="4" applyAlignment="1" pivotButton="0" quotePrefix="0" xfId="0">
      <alignment vertical="center" wrapText="1"/>
    </xf>
    <xf numFmtId="0" fontId="3" fillId="0" borderId="4" applyAlignment="1" pivotButton="0" quotePrefix="0" xfId="0">
      <alignment horizontal="center" vertical="center"/>
    </xf>
    <xf numFmtId="0" fontId="5" fillId="0" borderId="3" applyAlignment="1" pivotButton="0" quotePrefix="0" xfId="0">
      <alignment vertical="center"/>
    </xf>
    <xf numFmtId="0" fontId="9" fillId="0" borderId="7" applyAlignment="1" pivotButton="0" quotePrefix="0" xfId="0">
      <alignment horizontal="center" vertical="center"/>
    </xf>
    <xf numFmtId="0" fontId="3" fillId="0" borderId="0" applyAlignment="1" pivotButton="0" quotePrefix="0" xfId="0">
      <alignment vertical="center"/>
    </xf>
    <xf numFmtId="0" fontId="0" fillId="0" borderId="0" applyAlignment="1" pivotButton="0" quotePrefix="0" xfId="0">
      <alignment horizontal="center" vertical="center" wrapText="1"/>
    </xf>
    <xf numFmtId="0" fontId="9" fillId="0" borderId="0" applyAlignment="1" pivotButton="0" quotePrefix="0" xfId="0">
      <alignment horizontal="center"/>
    </xf>
    <xf numFmtId="0" fontId="3" fillId="0" borderId="0" applyAlignment="1" pivotButton="0" quotePrefix="0" xfId="0">
      <alignment horizontal="center" vertical="center"/>
    </xf>
    <xf numFmtId="0" fontId="10" fillId="0" borderId="4" applyAlignment="1" pivotButton="0" quotePrefix="0" xfId="0">
      <alignment vertical="center"/>
    </xf>
    <xf numFmtId="0" fontId="0" fillId="0" borderId="9" pivotButton="0" quotePrefix="0" xfId="0"/>
    <xf numFmtId="0" fontId="8" fillId="2" borderId="10" pivotButton="0" quotePrefix="0" xfId="0"/>
    <xf numFmtId="0" fontId="12" fillId="0" borderId="11" applyAlignment="1" pivotButton="0" quotePrefix="0" xfId="0">
      <alignment vertical="center" wrapText="1"/>
    </xf>
    <xf numFmtId="0" fontId="12" fillId="0" borderId="0" applyAlignment="1" pivotButton="0" quotePrefix="0" xfId="0">
      <alignment vertical="center"/>
    </xf>
    <xf numFmtId="14" fontId="12" fillId="0" borderId="11" applyAlignment="1" pivotButton="0" quotePrefix="0" xfId="0">
      <alignment vertical="center" wrapText="1"/>
    </xf>
    <xf numFmtId="0" fontId="12" fillId="0" borderId="11" applyAlignment="1" pivotButton="0" quotePrefix="0" xfId="0">
      <alignment vertical="center"/>
    </xf>
    <xf numFmtId="0" fontId="12" fillId="0" borderId="0" pivotButton="0" quotePrefix="0" xfId="0"/>
    <xf numFmtId="0" fontId="2" fillId="0" borderId="10" pivotButton="0" quotePrefix="0" xfId="1"/>
    <xf numFmtId="0" fontId="6" fillId="0" borderId="10" applyAlignment="1" pivotButton="0" quotePrefix="0" xfId="2">
      <alignment vertical="center" wrapText="1"/>
    </xf>
    <xf numFmtId="0" fontId="6" fillId="0" borderId="10" applyAlignment="1" pivotButton="0" quotePrefix="0" xfId="2">
      <alignment horizontal="right" vertical="center" wrapText="1"/>
    </xf>
    <xf numFmtId="0" fontId="13" fillId="0" borderId="10" applyAlignment="1" pivotButton="0" quotePrefix="0" xfId="2">
      <alignment vertical="center" wrapText="1"/>
    </xf>
    <xf numFmtId="0" fontId="13" fillId="0" borderId="10" applyAlignment="1" pivotButton="0" quotePrefix="0" xfId="2">
      <alignment horizontal="right" vertical="center" wrapText="1"/>
    </xf>
    <xf numFmtId="0" fontId="13" fillId="0" borderId="12" applyAlignment="1" pivotButton="0" quotePrefix="0" xfId="2">
      <alignment vertical="center" wrapText="1"/>
    </xf>
    <xf numFmtId="0" fontId="13" fillId="0" borderId="14" applyAlignment="1" pivotButton="0" quotePrefix="0" xfId="2">
      <alignment vertical="center" wrapText="1"/>
    </xf>
    <xf numFmtId="0" fontId="0" fillId="0" borderId="0" applyAlignment="1" pivotButton="0" quotePrefix="0" xfId="0">
      <alignment horizontal="center"/>
    </xf>
    <xf numFmtId="0" fontId="10" fillId="0" borderId="4" applyAlignment="1" pivotButton="0" quotePrefix="0" xfId="0">
      <alignment vertical="center" wrapText="1"/>
    </xf>
    <xf numFmtId="0" fontId="12" fillId="0" borderId="0" applyAlignment="1" pivotButton="0" quotePrefix="0" xfId="0">
      <alignment horizontal="center"/>
    </xf>
    <xf numFmtId="0" fontId="3" fillId="0" borderId="5" applyAlignment="1" pivotButton="0" quotePrefix="0" xfId="0">
      <alignment horizontal="center" vertical="center"/>
    </xf>
    <xf numFmtId="0" fontId="3" fillId="0" borderId="8" applyAlignment="1" pivotButton="0" quotePrefix="0" xfId="0">
      <alignment vertical="center"/>
    </xf>
    <xf numFmtId="0" fontId="10" fillId="0" borderId="6" applyAlignment="1" pivotButton="0" quotePrefix="0" xfId="0">
      <alignment horizontal="center" vertical="center"/>
    </xf>
    <xf numFmtId="0" fontId="10" fillId="0" borderId="4" applyAlignment="1" pivotButton="0" quotePrefix="0" xfId="0">
      <alignment horizontal="center" vertical="center"/>
    </xf>
    <xf numFmtId="0" fontId="22" fillId="0" borderId="4" applyAlignment="1" pivotButton="0" quotePrefix="0" xfId="0">
      <alignment vertical="center"/>
    </xf>
    <xf numFmtId="0" fontId="23" fillId="0" borderId="4" applyAlignment="1" pivotButton="0" quotePrefix="0" xfId="0">
      <alignment vertical="center"/>
    </xf>
    <xf numFmtId="0" fontId="23" fillId="0" borderId="4" applyAlignment="1" pivotButton="0" quotePrefix="0" xfId="0">
      <alignment horizontal="center" vertical="center"/>
    </xf>
    <xf numFmtId="0" fontId="23" fillId="0" borderId="0" applyAlignment="1" pivotButton="0" quotePrefix="0" xfId="0">
      <alignment vertical="center"/>
    </xf>
    <xf numFmtId="0" fontId="23" fillId="0" borderId="0" pivotButton="0" quotePrefix="0" xfId="0"/>
    <xf numFmtId="0" fontId="4" fillId="0" borderId="3" pivotButton="0" quotePrefix="0" xfId="0"/>
    <xf numFmtId="0" fontId="19" fillId="0" borderId="4" applyAlignment="1" pivotButton="0" quotePrefix="0" xfId="0">
      <alignment vertical="center"/>
    </xf>
    <xf numFmtId="0" fontId="10" fillId="0" borderId="5" applyAlignment="1" pivotButton="0" quotePrefix="0" xfId="0">
      <alignment horizontal="center" vertical="center"/>
    </xf>
    <xf numFmtId="0" fontId="10" fillId="0" borderId="0" applyAlignment="1" pivotButton="0" quotePrefix="0" xfId="0">
      <alignment vertical="center"/>
    </xf>
    <xf numFmtId="0" fontId="10" fillId="0" borderId="0" pivotButton="0" quotePrefix="0" xfId="0"/>
    <xf numFmtId="0" fontId="8" fillId="0" borderId="8" applyAlignment="1" pivotButton="0" quotePrefix="0" xfId="0">
      <alignment vertical="center"/>
    </xf>
    <xf numFmtId="0" fontId="19" fillId="0" borderId="7" applyAlignment="1" pivotButton="0" quotePrefix="0" xfId="0">
      <alignment horizontal="center" vertical="center"/>
    </xf>
    <xf numFmtId="0" fontId="12" fillId="0" borderId="11" applyAlignment="1" pivotButton="0" quotePrefix="0" xfId="0">
      <alignment horizontal="center" vertical="center" wrapText="1"/>
    </xf>
    <xf numFmtId="164" fontId="12" fillId="0" borderId="11" applyAlignment="1" pivotButton="0" quotePrefix="0" xfId="0">
      <alignment horizontal="center" vertical="center" wrapText="1"/>
    </xf>
    <xf numFmtId="0" fontId="3" fillId="0" borderId="1" applyAlignment="1" pivotButton="0" quotePrefix="0" xfId="0">
      <alignment horizontal="center"/>
    </xf>
    <xf numFmtId="0" fontId="4" fillId="0" borderId="2" pivotButton="0" quotePrefix="0" xfId="0"/>
    <xf numFmtId="0" fontId="5" fillId="0" borderId="3" applyAlignment="1" pivotButton="0" quotePrefix="0" xfId="0">
      <alignment horizontal="center" vertical="center"/>
    </xf>
    <xf numFmtId="0" fontId="5" fillId="0" borderId="5" applyAlignment="1" pivotButton="0" quotePrefix="0" xfId="0">
      <alignment horizontal="center" vertical="center"/>
    </xf>
    <xf numFmtId="0" fontId="0" fillId="0" borderId="1" applyAlignment="1" pivotButton="0" quotePrefix="0" xfId="0">
      <alignment horizontal="center"/>
    </xf>
    <xf numFmtId="0" fontId="0" fillId="0" borderId="2" applyAlignment="1" pivotButton="0" quotePrefix="0" xfId="0">
      <alignment horizontal="center"/>
    </xf>
    <xf numFmtId="0" fontId="5" fillId="0" borderId="19" applyAlignment="1" pivotButton="0" quotePrefix="0" xfId="0">
      <alignment horizontal="center" vertical="center"/>
    </xf>
    <xf numFmtId="0" fontId="5" fillId="0" borderId="1" applyAlignment="1" pivotButton="0" quotePrefix="0" xfId="0">
      <alignment horizontal="center" vertical="center"/>
    </xf>
    <xf numFmtId="0" fontId="5" fillId="0" borderId="8" applyAlignment="1" pivotButton="0" quotePrefix="0" xfId="0">
      <alignment horizontal="center" vertical="center"/>
    </xf>
    <xf numFmtId="0" fontId="5" fillId="0" borderId="19"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5" fillId="0" borderId="2" applyAlignment="1" pivotButton="0" quotePrefix="0" xfId="0">
      <alignment horizontal="center" vertical="center"/>
    </xf>
    <xf numFmtId="0" fontId="29" fillId="0" borderId="0" pivotButton="0" quotePrefix="0" xfId="0"/>
    <xf numFmtId="0" fontId="0" fillId="0" borderId="8" applyAlignment="1" pivotButton="0" quotePrefix="0" xfId="0">
      <alignment vertical="center"/>
    </xf>
    <xf numFmtId="0" fontId="32" fillId="0" borderId="0" pivotButton="0" quotePrefix="0" xfId="0"/>
    <xf numFmtId="0" fontId="26" fillId="0" borderId="0" pivotButton="0" quotePrefix="0" xfId="0"/>
    <xf numFmtId="0" fontId="33" fillId="3" borderId="0" pivotButton="0" quotePrefix="0" xfId="0"/>
    <xf numFmtId="0" fontId="4" fillId="0" borderId="8" pivotButton="0" quotePrefix="0" xfId="0"/>
    <xf numFmtId="0" fontId="9" fillId="0" borderId="5" applyAlignment="1" pivotButton="0" quotePrefix="0" xfId="0">
      <alignment horizontal="center" vertical="center"/>
    </xf>
    <xf numFmtId="0" fontId="29" fillId="0" borderId="6" applyAlignment="1" pivotButton="0" quotePrefix="0" xfId="0">
      <alignment horizontal="center" vertical="center"/>
    </xf>
    <xf numFmtId="0" fontId="29" fillId="0" borderId="4" applyAlignment="1" pivotButton="0" quotePrefix="0" xfId="0">
      <alignment horizontal="center" vertical="center"/>
    </xf>
    <xf numFmtId="0" fontId="28" fillId="0" borderId="4" applyAlignment="1" pivotButton="0" quotePrefix="0" xfId="0">
      <alignment horizontal="center" vertical="center"/>
    </xf>
    <xf numFmtId="14" fontId="29" fillId="0" borderId="7" applyAlignment="1" pivotButton="0" quotePrefix="0" xfId="0">
      <alignment horizontal="center" vertical="center"/>
    </xf>
    <xf numFmtId="14" fontId="30" fillId="0" borderId="7" applyAlignment="1" pivotButton="0" quotePrefix="0" xfId="0">
      <alignment horizontal="center" vertical="center"/>
    </xf>
    <xf numFmtId="14" fontId="31" fillId="0" borderId="7" applyAlignment="1" pivotButton="0" quotePrefix="0" xfId="0">
      <alignment horizontal="center" vertical="center"/>
    </xf>
    <xf numFmtId="0" fontId="37" fillId="0" borderId="4" applyAlignment="1" pivotButton="0" quotePrefix="0" xfId="0">
      <alignment horizontal="center" vertical="center"/>
    </xf>
    <xf numFmtId="0" fontId="38" fillId="0" borderId="4" applyAlignment="1" pivotButton="0" quotePrefix="0" xfId="0">
      <alignment horizontal="center" vertical="center"/>
    </xf>
    <xf numFmtId="0" fontId="3" fillId="0" borderId="32" applyAlignment="1" pivotButton="0" quotePrefix="0" xfId="0">
      <alignment horizontal="center" vertical="center"/>
    </xf>
    <xf numFmtId="0" fontId="3" fillId="0" borderId="8" applyAlignment="1" pivotButton="0" quotePrefix="0" xfId="0">
      <alignment vertical="center" wrapText="1"/>
    </xf>
    <xf numFmtId="0" fontId="3" fillId="0" borderId="41" applyAlignment="1" pivotButton="0" quotePrefix="0" xfId="0">
      <alignment horizontal="center" vertical="center"/>
    </xf>
    <xf numFmtId="0" fontId="29" fillId="0" borderId="42" applyAlignment="1" pivotButton="0" quotePrefix="0" xfId="0">
      <alignment horizontal="center" vertical="center"/>
    </xf>
    <xf numFmtId="0" fontId="39" fillId="0" borderId="4" applyAlignment="1" pivotButton="0" quotePrefix="0" xfId="0">
      <alignment vertical="center"/>
    </xf>
    <xf numFmtId="0" fontId="40" fillId="0" borderId="4" applyAlignment="1" pivotButton="0" quotePrefix="0" xfId="0">
      <alignment vertical="center"/>
    </xf>
    <xf numFmtId="0" fontId="40" fillId="0" borderId="4" applyAlignment="1" pivotButton="0" quotePrefix="0" xfId="0">
      <alignment vertical="center" wrapText="1"/>
    </xf>
    <xf numFmtId="0" fontId="40" fillId="0" borderId="4" applyAlignment="1" pivotButton="0" quotePrefix="0" xfId="0">
      <alignment horizontal="center" vertical="center"/>
    </xf>
    <xf numFmtId="0" fontId="30" fillId="0" borderId="42" applyAlignment="1" pivotButton="0" quotePrefix="0" xfId="0">
      <alignment horizontal="center" vertical="center"/>
    </xf>
    <xf numFmtId="0" fontId="40" fillId="0" borderId="0" applyAlignment="1" pivotButton="0" quotePrefix="0" xfId="0">
      <alignment vertical="center"/>
    </xf>
    <xf numFmtId="0" fontId="37" fillId="0" borderId="42" applyAlignment="1" pivotButton="0" quotePrefix="0" xfId="0">
      <alignment horizontal="center" vertical="center"/>
    </xf>
    <xf numFmtId="14" fontId="37" fillId="0" borderId="7" applyAlignment="1" pivotButton="0" quotePrefix="0" xfId="0">
      <alignment horizontal="center" vertical="center"/>
    </xf>
    <xf numFmtId="0" fontId="4" fillId="0" borderId="1" pivotButton="0" quotePrefix="0" xfId="0"/>
    <xf numFmtId="0" fontId="8" fillId="4" borderId="11" applyAlignment="1" pivotButton="0" quotePrefix="0" xfId="0">
      <alignment vertical="center" wrapText="1"/>
    </xf>
    <xf numFmtId="0" fontId="8" fillId="5" borderId="11" applyAlignment="1" pivotButton="0" quotePrefix="0" xfId="0">
      <alignment vertical="center" wrapText="1"/>
    </xf>
    <xf numFmtId="0" fontId="8" fillId="4" borderId="11" applyAlignment="1" pivotButton="0" quotePrefix="0" xfId="0">
      <alignment horizontal="center" vertical="center" wrapText="1"/>
    </xf>
    <xf numFmtId="49" fontId="14" fillId="4" borderId="15" applyAlignment="1" pivotButton="0" quotePrefix="0" xfId="2">
      <alignment horizontal="center" vertical="center" wrapText="1"/>
    </xf>
    <xf numFmtId="0" fontId="14" fillId="4" borderId="15" applyAlignment="1" pivotButton="0" quotePrefix="0" xfId="2">
      <alignment horizontal="center" vertical="center" wrapText="1"/>
    </xf>
    <xf numFmtId="0" fontId="14" fillId="4" borderId="13" applyAlignment="1" pivotButton="0" quotePrefix="0" xfId="2">
      <alignment horizontal="center" vertical="center" wrapText="1"/>
    </xf>
    <xf numFmtId="0" fontId="14" fillId="7" borderId="17" applyAlignment="1" pivotButton="0" quotePrefix="0" xfId="2">
      <alignment horizontal="center" vertical="center" wrapText="1"/>
    </xf>
    <xf numFmtId="0" fontId="14" fillId="7" borderId="16" applyAlignment="1" pivotButton="0" quotePrefix="0" xfId="2">
      <alignment horizontal="center" vertical="center" wrapText="1"/>
    </xf>
    <xf numFmtId="0" fontId="24" fillId="8" borderId="4" applyAlignment="1" pivotButton="0" quotePrefix="0" xfId="0">
      <alignment horizontal="center" vertical="center"/>
    </xf>
    <xf numFmtId="0" fontId="24" fillId="11" borderId="4" applyAlignment="1" pivotButton="0" quotePrefix="0" xfId="0">
      <alignment horizontal="center" vertical="center" textRotation="90"/>
    </xf>
    <xf numFmtId="0" fontId="24" fillId="11" borderId="4" applyAlignment="1" pivotButton="0" quotePrefix="0" xfId="0">
      <alignment horizontal="center" vertical="center" wrapText="1"/>
    </xf>
    <xf numFmtId="0" fontId="24" fillId="8" borderId="4" applyAlignment="1" pivotButton="0" quotePrefix="0" xfId="0">
      <alignment horizontal="center" vertical="center" wrapText="1"/>
    </xf>
    <xf numFmtId="0" fontId="24" fillId="8" borderId="5" applyAlignment="1" pivotButton="0" quotePrefix="0" xfId="0">
      <alignment horizontal="center" vertical="center"/>
    </xf>
    <xf numFmtId="0" fontId="24" fillId="8" borderId="6" applyAlignment="1" pivotButton="0" quotePrefix="0" xfId="0">
      <alignment horizontal="center" vertical="center"/>
    </xf>
    <xf numFmtId="0" fontId="24" fillId="8" borderId="8" applyAlignment="1" pivotButton="0" quotePrefix="0" xfId="0">
      <alignment horizontal="center" vertical="center"/>
    </xf>
    <xf numFmtId="0" fontId="24" fillId="11" borderId="20" applyAlignment="1" pivotButton="0" quotePrefix="0" xfId="0">
      <alignment horizontal="center" vertical="center" textRotation="90"/>
    </xf>
    <xf numFmtId="0" fontId="16" fillId="11" borderId="24" applyAlignment="1" pivotButton="0" quotePrefix="0" xfId="0">
      <alignment horizontal="center" vertical="center" wrapText="1"/>
    </xf>
    <xf numFmtId="0" fontId="28" fillId="14" borderId="25" applyAlignment="1" pivotButton="0" quotePrefix="0" xfId="0">
      <alignment horizontal="center" vertical="center" textRotation="90" wrapText="1"/>
    </xf>
    <xf numFmtId="0" fontId="28" fillId="14" borderId="26" applyAlignment="1" pivotButton="0" quotePrefix="0" xfId="0">
      <alignment horizontal="center" vertical="center" textRotation="90" wrapText="1"/>
    </xf>
    <xf numFmtId="0" fontId="28" fillId="14" borderId="26" applyAlignment="1" pivotButton="0" quotePrefix="0" xfId="0">
      <alignment horizontal="center" vertical="center" wrapText="1"/>
    </xf>
    <xf numFmtId="0" fontId="28" fillId="14" borderId="27" applyAlignment="1" pivotButton="0" quotePrefix="0" xfId="0">
      <alignment horizontal="center" vertical="center" wrapText="1"/>
    </xf>
    <xf numFmtId="0" fontId="16" fillId="8" borderId="8" applyAlignment="1" pivotButton="0" quotePrefix="0" xfId="0">
      <alignment horizontal="center" vertical="center" wrapText="1"/>
    </xf>
    <xf numFmtId="0" fontId="39" fillId="0" borderId="7" applyAlignment="1" pivotButton="0" quotePrefix="0" xfId="0">
      <alignment horizontal="center" vertical="center"/>
    </xf>
    <xf numFmtId="0" fontId="42" fillId="0" borderId="0" pivotButton="0" quotePrefix="0" xfId="0"/>
    <xf numFmtId="0" fontId="40" fillId="0" borderId="0" pivotButton="0" quotePrefix="0" xfId="0"/>
    <xf numFmtId="0" fontId="42" fillId="0" borderId="0" applyAlignment="1" pivotButton="0" quotePrefix="0" xfId="0">
      <alignment vertical="center"/>
    </xf>
    <xf numFmtId="0" fontId="40" fillId="0" borderId="43" applyAlignment="1" pivotButton="0" quotePrefix="0" xfId="0">
      <alignment vertical="center"/>
    </xf>
    <xf numFmtId="0" fontId="30" fillId="0" borderId="0" pivotButton="0" quotePrefix="0" xfId="0"/>
    <xf numFmtId="0" fontId="24" fillId="8" borderId="8" applyAlignment="1" pivotButton="0" quotePrefix="0" xfId="0">
      <alignment horizontal="center" vertical="center" wrapText="1"/>
    </xf>
    <xf numFmtId="0" fontId="16" fillId="8" borderId="4" applyAlignment="1" pivotButton="0" quotePrefix="0" xfId="0">
      <alignment horizontal="center" vertical="center" wrapText="1"/>
    </xf>
    <xf numFmtId="0" fontId="24" fillId="11" borderId="6" applyAlignment="1" pivotButton="0" quotePrefix="0" xfId="0">
      <alignment horizontal="center" vertical="center" textRotation="90"/>
    </xf>
    <xf numFmtId="0" fontId="24" fillId="11" borderId="7" applyAlignment="1" pivotButton="0" quotePrefix="0" xfId="0">
      <alignment horizontal="center" vertical="center" wrapText="1"/>
    </xf>
    <xf numFmtId="0" fontId="24" fillId="11" borderId="32" applyAlignment="1" pivotButton="0" quotePrefix="0" xfId="0">
      <alignment horizontal="center" vertical="center" textRotation="90"/>
    </xf>
    <xf numFmtId="0" fontId="24" fillId="11" borderId="5" applyAlignment="1" pivotButton="0" quotePrefix="0" xfId="0">
      <alignment horizontal="center" vertical="center" wrapText="1"/>
    </xf>
    <xf numFmtId="0" fontId="24" fillId="11" borderId="41" applyAlignment="1" pivotButton="0" quotePrefix="0" xfId="0">
      <alignment horizontal="center" vertical="center" textRotation="90"/>
    </xf>
    <xf numFmtId="0" fontId="28" fillId="14" borderId="37" applyAlignment="1" pivotButton="0" quotePrefix="0" xfId="0">
      <alignment horizontal="center" vertical="center" textRotation="90" wrapText="1"/>
    </xf>
    <xf numFmtId="0" fontId="28" fillId="14" borderId="38" applyAlignment="1" pivotButton="0" quotePrefix="0" xfId="0">
      <alignment horizontal="center" vertical="center" wrapText="1"/>
    </xf>
    <xf numFmtId="0" fontId="28" fillId="14" borderId="37" applyAlignment="1" pivotButton="0" quotePrefix="0" xfId="0">
      <alignment horizontal="center" vertical="center" textRotation="90"/>
    </xf>
    <xf numFmtId="0" fontId="28" fillId="14" borderId="26" applyAlignment="1" pivotButton="0" quotePrefix="0" xfId="0">
      <alignment horizontal="center" vertical="center" textRotation="90"/>
    </xf>
    <xf numFmtId="0" fontId="9" fillId="0" borderId="4" applyAlignment="1" pivotButton="0" quotePrefix="0" xfId="0">
      <alignment vertical="center" wrapText="1"/>
    </xf>
    <xf numFmtId="0" fontId="3" fillId="0" borderId="44" applyAlignment="1" pivotButton="0" quotePrefix="0" xfId="0">
      <alignment vertical="center" wrapText="1"/>
    </xf>
    <xf numFmtId="0" fontId="3" fillId="0" borderId="45" applyAlignment="1" pivotButton="0" quotePrefix="0" xfId="0">
      <alignment vertical="center" wrapText="1"/>
    </xf>
    <xf numFmtId="0" fontId="4" fillId="0" borderId="22" pivotButton="0" quotePrefix="0" xfId="0"/>
    <xf numFmtId="0" fontId="22" fillId="11" borderId="23" applyAlignment="1" pivotButton="0" quotePrefix="0" xfId="0">
      <alignment horizontal="center" vertical="center" textRotation="90"/>
    </xf>
    <xf numFmtId="0" fontId="22" fillId="11" borderId="20" applyAlignment="1" pivotButton="0" quotePrefix="0" xfId="0">
      <alignment horizontal="center" vertical="center" textRotation="90"/>
    </xf>
    <xf numFmtId="0" fontId="10" fillId="15" borderId="6" applyAlignment="1" pivotButton="0" quotePrefix="0" xfId="0">
      <alignment horizontal="center" vertical="center"/>
    </xf>
    <xf numFmtId="0" fontId="10" fillId="15" borderId="4" applyAlignment="1" pivotButton="0" quotePrefix="0" xfId="0">
      <alignment horizontal="center" vertical="center"/>
    </xf>
    <xf numFmtId="0" fontId="37" fillId="15" borderId="4" applyAlignment="1" pivotButton="0" quotePrefix="0" xfId="0">
      <alignment horizontal="center" vertical="center"/>
    </xf>
    <xf numFmtId="0" fontId="23" fillId="0" borderId="6" applyAlignment="1" pivotButton="0" quotePrefix="0" xfId="0">
      <alignment horizontal="center" vertical="center"/>
    </xf>
    <xf numFmtId="0" fontId="12" fillId="0" borderId="11" applyAlignment="1" pivotButton="0" quotePrefix="0" xfId="0">
      <alignment horizontal="center" vertical="center"/>
    </xf>
    <xf numFmtId="14" fontId="41" fillId="0" borderId="11" applyAlignment="1" pivotButton="0" quotePrefix="0" xfId="0">
      <alignment horizontal="center" vertical="center" wrapText="1"/>
    </xf>
    <xf numFmtId="0" fontId="4" fillId="0" borderId="4" pivotButton="0" quotePrefix="0" xfId="0"/>
    <xf numFmtId="0" fontId="28" fillId="14" borderId="4" applyAlignment="1" pivotButton="0" quotePrefix="0" xfId="0">
      <alignment horizontal="center" vertical="center" textRotation="90" wrapText="1"/>
    </xf>
    <xf numFmtId="0" fontId="28" fillId="14" borderId="4" applyAlignment="1" pivotButton="0" quotePrefix="0" xfId="0">
      <alignment horizontal="center" vertical="center" wrapText="1"/>
    </xf>
    <xf numFmtId="0" fontId="3" fillId="0" borderId="5" applyAlignment="1" pivotButton="0" quotePrefix="0" xfId="0">
      <alignment horizontal="center"/>
    </xf>
    <xf numFmtId="0" fontId="3" fillId="0" borderId="3" applyAlignment="1" pivotButton="0" quotePrefix="0" xfId="0">
      <alignment horizontal="center"/>
    </xf>
    <xf numFmtId="0" fontId="5" fillId="0" borderId="4" applyAlignment="1" pivotButton="0" quotePrefix="0" xfId="0">
      <alignment horizontal="center" vertical="center"/>
    </xf>
    <xf numFmtId="0" fontId="28" fillId="12" borderId="4" applyAlignment="1" pivotButton="0" quotePrefix="0" xfId="0">
      <alignment horizontal="center" vertical="center" textRotation="90" wrapText="1"/>
    </xf>
    <xf numFmtId="0" fontId="28" fillId="12" borderId="4" applyAlignment="1" pivotButton="0" quotePrefix="0" xfId="0">
      <alignment horizontal="center" vertical="center" wrapText="1"/>
    </xf>
    <xf numFmtId="0" fontId="12" fillId="0" borderId="4" applyAlignment="1" pivotButton="0" quotePrefix="0" xfId="0">
      <alignment vertical="center" wrapText="1"/>
    </xf>
    <xf numFmtId="0" fontId="3" fillId="0" borderId="5" applyAlignment="1" pivotButton="0" quotePrefix="0" xfId="0">
      <alignment horizontal="center" vertical="center" wrapText="1"/>
    </xf>
    <xf numFmtId="0" fontId="3" fillId="0" borderId="49" applyAlignment="1" pivotButton="0" quotePrefix="0" xfId="0">
      <alignment horizontal="center" vertical="center"/>
    </xf>
    <xf numFmtId="0" fontId="3" fillId="0" borderId="50" applyAlignment="1" pivotButton="0" quotePrefix="0" xfId="0">
      <alignment horizontal="center" vertical="center"/>
    </xf>
    <xf numFmtId="0" fontId="43" fillId="14" borderId="25" applyAlignment="1" pivotButton="0" quotePrefix="0" xfId="0">
      <alignment horizontal="center" vertical="center" textRotation="90" wrapText="1"/>
    </xf>
    <xf numFmtId="0" fontId="43" fillId="14" borderId="26" applyAlignment="1" pivotButton="0" quotePrefix="0" xfId="0">
      <alignment horizontal="center" vertical="center" textRotation="90" wrapText="1"/>
    </xf>
    <xf numFmtId="0" fontId="24" fillId="8" borderId="7" applyAlignment="1" pivotButton="0" quotePrefix="0" xfId="0">
      <alignment horizontal="center" vertical="center" wrapText="1"/>
    </xf>
    <xf numFmtId="0" fontId="10" fillId="0" borderId="7" applyAlignment="1" pivotButton="0" quotePrefix="0" xfId="0">
      <alignment horizontal="center" vertical="center"/>
    </xf>
    <xf numFmtId="0" fontId="24" fillId="8" borderId="3" applyAlignment="1" pivotButton="0" quotePrefix="0" xfId="0">
      <alignment horizontal="center" vertical="center"/>
    </xf>
    <xf numFmtId="0" fontId="28" fillId="14" borderId="53" applyAlignment="1" pivotButton="0" quotePrefix="0" xfId="0">
      <alignment horizontal="center" vertical="center" wrapText="1"/>
    </xf>
    <xf numFmtId="0" fontId="24" fillId="11" borderId="54" applyAlignment="1" pivotButton="0" quotePrefix="0" xfId="0">
      <alignment horizontal="center" vertical="center" textRotation="90"/>
    </xf>
    <xf numFmtId="0" fontId="24" fillId="11" borderId="55" applyAlignment="1" pivotButton="0" quotePrefix="0" xfId="0">
      <alignment horizontal="center" vertical="center" textRotation="90"/>
    </xf>
    <xf numFmtId="0" fontId="24" fillId="11" borderId="56" applyAlignment="1" pivotButton="0" quotePrefix="0" xfId="0">
      <alignment horizontal="center" vertical="center" wrapText="1"/>
    </xf>
    <xf numFmtId="0" fontId="28" fillId="14" borderId="6" applyAlignment="1" pivotButton="0" quotePrefix="0" xfId="0">
      <alignment horizontal="center" vertical="center" textRotation="90" wrapText="1"/>
    </xf>
    <xf numFmtId="0" fontId="28" fillId="14" borderId="7" applyAlignment="1" pivotButton="0" quotePrefix="0" xfId="0">
      <alignment horizontal="center" vertical="center" wrapText="1"/>
    </xf>
    <xf numFmtId="0" fontId="37" fillId="0" borderId="6" applyAlignment="1" pivotButton="0" quotePrefix="0" xfId="0">
      <alignment horizontal="center" vertical="center"/>
    </xf>
    <xf numFmtId="0" fontId="40" fillId="0" borderId="8" applyAlignment="1" pivotButton="0" quotePrefix="0" xfId="0">
      <alignment vertical="center"/>
    </xf>
    <xf numFmtId="0" fontId="28" fillId="12" borderId="6" applyAlignment="1" pivotButton="0" quotePrefix="0" xfId="0">
      <alignment horizontal="center" vertical="center" textRotation="90" wrapText="1"/>
    </xf>
    <xf numFmtId="0" fontId="28" fillId="12" borderId="7" applyAlignment="1" pivotButton="0" quotePrefix="0" xfId="0">
      <alignment horizontal="center" vertical="center" wrapText="1"/>
    </xf>
    <xf numFmtId="0" fontId="4" fillId="0" borderId="4" applyAlignment="1" pivotButton="0" quotePrefix="0" xfId="0">
      <alignment vertical="center" wrapText="1"/>
    </xf>
    <xf numFmtId="0" fontId="19" fillId="0" borderId="4" applyAlignment="1" pivotButton="0" quotePrefix="0" xfId="0">
      <alignment horizontal="center" vertical="center"/>
    </xf>
    <xf numFmtId="0" fontId="4" fillId="0" borderId="0" applyAlignment="1" pivotButton="0" quotePrefix="0" xfId="0">
      <alignment vertical="center"/>
    </xf>
    <xf numFmtId="0" fontId="19" fillId="0" borderId="10" applyAlignment="1" pivotButton="0" quotePrefix="0" xfId="0">
      <alignment horizontal="center" vertical="center"/>
    </xf>
    <xf numFmtId="0" fontId="10" fillId="0" borderId="10" applyAlignment="1" pivotButton="0" quotePrefix="0" xfId="0">
      <alignment vertical="center"/>
    </xf>
    <xf numFmtId="0" fontId="5" fillId="0" borderId="50" applyAlignment="1" pivotButton="0" quotePrefix="0" xfId="0">
      <alignment horizontal="center" vertical="center"/>
    </xf>
    <xf numFmtId="0" fontId="10" fillId="0" borderId="5" applyAlignment="1" pivotButton="0" quotePrefix="0" xfId="0">
      <alignment horizontal="center" vertical="center" wrapText="1"/>
    </xf>
    <xf numFmtId="0" fontId="16" fillId="11" borderId="7" applyAlignment="1" pivotButton="0" quotePrefix="0" xfId="0">
      <alignment horizontal="center" vertical="center" wrapText="1"/>
    </xf>
    <xf numFmtId="0" fontId="10" fillId="0" borderId="8" applyAlignment="1" pivotButton="0" quotePrefix="0" xfId="0">
      <alignment horizontal="center" vertical="center"/>
    </xf>
    <xf numFmtId="0" fontId="3" fillId="0" borderId="57" applyAlignment="1" pivotButton="0" quotePrefix="0" xfId="0">
      <alignment vertical="center" wrapText="1"/>
    </xf>
    <xf numFmtId="0" fontId="3" fillId="0" borderId="58" applyAlignment="1" pivotButton="0" quotePrefix="0" xfId="0">
      <alignment horizontal="center" vertical="center" wrapText="1"/>
    </xf>
    <xf numFmtId="0" fontId="3" fillId="0" borderId="59" applyAlignment="1" pivotButton="0" quotePrefix="0" xfId="0">
      <alignment horizontal="center" vertical="center" wrapText="1"/>
    </xf>
    <xf numFmtId="0" fontId="40" fillId="0" borderId="41" applyAlignment="1" pivotButton="0" quotePrefix="0" xfId="0">
      <alignment horizontal="center" vertical="center"/>
    </xf>
    <xf numFmtId="0" fontId="40" fillId="0" borderId="60" applyAlignment="1" pivotButton="0" quotePrefix="0" xfId="0">
      <alignment horizontal="center" vertical="center"/>
    </xf>
    <xf numFmtId="0" fontId="40" fillId="0" borderId="57" applyAlignment="1" pivotButton="0" quotePrefix="0" xfId="0">
      <alignment vertical="center" wrapText="1"/>
    </xf>
    <xf numFmtId="0" fontId="10" fillId="0" borderId="57" applyAlignment="1" pivotButton="0" quotePrefix="0" xfId="0">
      <alignment vertical="center" wrapText="1"/>
    </xf>
    <xf numFmtId="0" fontId="4" fillId="0" borderId="57" applyAlignment="1" pivotButton="0" quotePrefix="0" xfId="0">
      <alignment vertical="center" wrapText="1"/>
    </xf>
    <xf numFmtId="0" fontId="3" fillId="0" borderId="5" applyAlignment="1" pivotButton="0" quotePrefix="0" xfId="0">
      <alignment vertical="center" wrapText="1"/>
    </xf>
    <xf numFmtId="0" fontId="10" fillId="0" borderId="41" applyAlignment="1" pivotButton="0" quotePrefix="0" xfId="0">
      <alignment horizontal="center" vertical="center"/>
    </xf>
    <xf numFmtId="0" fontId="19" fillId="0" borderId="5" applyAlignment="1" pivotButton="0" quotePrefix="0" xfId="0">
      <alignment vertical="center"/>
    </xf>
    <xf numFmtId="0" fontId="23" fillId="16" borderId="4" applyAlignment="1" pivotButton="0" quotePrefix="0" xfId="0">
      <alignment horizontal="center" vertical="center"/>
    </xf>
    <xf numFmtId="0" fontId="10" fillId="16" borderId="4" applyAlignment="1" pivotButton="0" quotePrefix="0" xfId="0">
      <alignment horizontal="center" vertical="center"/>
    </xf>
    <xf numFmtId="0" fontId="10" fillId="0" borderId="61" applyAlignment="1" pivotButton="0" quotePrefix="0" xfId="0">
      <alignment vertical="center" wrapText="1"/>
    </xf>
    <xf numFmtId="0" fontId="4" fillId="0" borderId="61" applyAlignment="1" pivotButton="0" quotePrefix="0" xfId="0">
      <alignment vertical="center" wrapText="1"/>
    </xf>
    <xf numFmtId="0" fontId="19" fillId="0" borderId="20" applyAlignment="1" pivotButton="0" quotePrefix="0" xfId="0">
      <alignment vertical="center"/>
    </xf>
    <xf numFmtId="0" fontId="10" fillId="0" borderId="20" applyAlignment="1" pivotButton="0" quotePrefix="0" xfId="0">
      <alignment vertical="center"/>
    </xf>
    <xf numFmtId="0" fontId="10" fillId="0" borderId="20" applyAlignment="1" pivotButton="0" quotePrefix="0" xfId="0">
      <alignment vertical="center" wrapText="1"/>
    </xf>
    <xf numFmtId="0" fontId="10" fillId="0" borderId="19" applyAlignment="1" pivotButton="0" quotePrefix="0" xfId="0">
      <alignment horizontal="center" vertical="center"/>
    </xf>
    <xf numFmtId="0" fontId="32" fillId="0" borderId="14" applyAlignment="1" pivotButton="0" quotePrefix="0" xfId="2">
      <alignment vertical="center" wrapText="1"/>
    </xf>
    <xf numFmtId="0" fontId="3" fillId="0" borderId="6" applyAlignment="1" pivotButton="0" quotePrefix="0" xfId="0">
      <alignment horizontal="center" vertical="center"/>
    </xf>
    <xf numFmtId="0" fontId="7" fillId="0" borderId="11" applyAlignment="1" pivotButton="0" quotePrefix="0" xfId="0">
      <alignment horizontal="left" vertical="center" wrapText="1"/>
    </xf>
    <xf numFmtId="0" fontId="16" fillId="6" borderId="11" applyAlignment="1" pivotButton="0" quotePrefix="0" xfId="0">
      <alignment horizontal="center" vertical="center" wrapText="1"/>
    </xf>
    <xf numFmtId="0" fontId="12" fillId="0" borderId="11" applyAlignment="1" pivotButton="0" quotePrefix="0" xfId="0">
      <alignment horizontal="left" vertical="center" wrapText="1"/>
    </xf>
    <xf numFmtId="0" fontId="0" fillId="0" borderId="10" applyAlignment="1" pivotButton="0" quotePrefix="0" xfId="0">
      <alignment horizontal="center"/>
    </xf>
    <xf numFmtId="14" fontId="4" fillId="0" borderId="11" applyAlignment="1" pivotButton="0" quotePrefix="0" xfId="0">
      <alignment horizontal="left" vertical="center" wrapText="1"/>
    </xf>
    <xf numFmtId="164" fontId="12" fillId="0" borderId="11" applyAlignment="1" pivotButton="0" quotePrefix="0" xfId="0">
      <alignment horizontal="left" vertical="center" wrapText="1"/>
    </xf>
    <xf numFmtId="0" fontId="18" fillId="6" borderId="18" applyAlignment="1" pivotButton="0" quotePrefix="0" xfId="1">
      <alignment horizontal="center" vertical="center"/>
    </xf>
    <xf numFmtId="0" fontId="2" fillId="0" borderId="10" applyAlignment="1" pivotButton="0" quotePrefix="0" xfId="1">
      <alignment horizontal="center"/>
    </xf>
    <xf numFmtId="0" fontId="36" fillId="14" borderId="21" applyAlignment="1" pivotButton="0" quotePrefix="0" xfId="0">
      <alignment horizontal="center" vertical="center"/>
    </xf>
    <xf numFmtId="0" fontId="34" fillId="9" borderId="51" applyAlignment="1" pivotButton="0" quotePrefix="0" xfId="0">
      <alignment horizontal="center" vertical="center"/>
    </xf>
    <xf numFmtId="0" fontId="4" fillId="0" borderId="28" applyAlignment="1" pivotButton="0" quotePrefix="0" xfId="0">
      <alignment horizontal="center"/>
    </xf>
    <xf numFmtId="0" fontId="3" fillId="0" borderId="1" applyAlignment="1" pivotButton="0" quotePrefix="0" xfId="0">
      <alignment horizontal="center"/>
    </xf>
    <xf numFmtId="0" fontId="5" fillId="0" borderId="5" applyAlignment="1" pivotButton="0" quotePrefix="0" xfId="0">
      <alignment horizontal="center" vertical="center"/>
    </xf>
    <xf numFmtId="0" fontId="5" fillId="0" borderId="3" applyAlignment="1" pivotButton="0" quotePrefix="0" xfId="0">
      <alignment horizontal="center" vertical="center"/>
    </xf>
    <xf numFmtId="0" fontId="34" fillId="9" borderId="52" applyAlignment="1" pivotButton="0" quotePrefix="0" xfId="0">
      <alignment horizontal="center" vertical="center"/>
    </xf>
    <xf numFmtId="0" fontId="36" fillId="14" borderId="52" applyAlignment="1" pivotButton="0" quotePrefix="0" xfId="0">
      <alignment horizontal="center" vertical="center"/>
    </xf>
    <xf numFmtId="0" fontId="4" fillId="0" borderId="22" applyAlignment="1" pivotButton="0" quotePrefix="0" xfId="0">
      <alignment horizontal="center"/>
    </xf>
    <xf numFmtId="0" fontId="5" fillId="0" borderId="29" applyAlignment="1" pivotButton="0" quotePrefix="0" xfId="0">
      <alignment horizontal="center" vertical="center"/>
    </xf>
    <xf numFmtId="0" fontId="0" fillId="0" borderId="22" applyAlignment="1" pivotButton="0" quotePrefix="0" xfId="0">
      <alignment horizontal="left" vertical="center"/>
    </xf>
    <xf numFmtId="0" fontId="5" fillId="0" borderId="22" applyAlignment="1" pivotButton="0" quotePrefix="0" xfId="0">
      <alignment horizontal="center" vertical="center"/>
    </xf>
    <xf numFmtId="0" fontId="5" fillId="0" borderId="48" applyAlignment="1" pivotButton="0" quotePrefix="0" xfId="0">
      <alignment horizontal="center" vertical="center"/>
    </xf>
    <xf numFmtId="0" fontId="36" fillId="14" borderId="6" applyAlignment="1" pivotButton="0" quotePrefix="0" xfId="0">
      <alignment horizontal="center" vertical="center"/>
    </xf>
    <xf numFmtId="0" fontId="34" fillId="9" borderId="6" applyAlignment="1" pivotButton="0" quotePrefix="0" xfId="0">
      <alignment horizontal="center" vertical="center"/>
    </xf>
    <xf numFmtId="0" fontId="3" fillId="0" borderId="10" applyAlignment="1" pivotButton="0" quotePrefix="0" xfId="0">
      <alignment horizontal="center"/>
    </xf>
    <xf numFmtId="0" fontId="0" fillId="0" borderId="29" applyAlignment="1" pivotButton="0" quotePrefix="0" xfId="0">
      <alignment horizontal="left" vertical="center"/>
    </xf>
    <xf numFmtId="0" fontId="5" fillId="0" borderId="47" applyAlignment="1" pivotButton="0" quotePrefix="0" xfId="0">
      <alignment horizontal="center" vertical="center" wrapText="1"/>
    </xf>
    <xf numFmtId="0" fontId="5" fillId="0" borderId="10" applyAlignment="1" pivotButton="0" quotePrefix="0" xfId="0">
      <alignment horizontal="center" vertical="center" wrapText="1"/>
    </xf>
    <xf numFmtId="0" fontId="5" fillId="0" borderId="46" applyAlignment="1" pivotButton="0" quotePrefix="0" xfId="0">
      <alignment horizontal="center" vertical="center" wrapText="1"/>
    </xf>
    <xf numFmtId="0" fontId="3" fillId="0" borderId="5" applyAlignment="1" pivotButton="0" quotePrefix="0" xfId="0">
      <alignment horizontal="center"/>
    </xf>
    <xf numFmtId="0" fontId="3" fillId="0" borderId="3" applyAlignment="1" pivotButton="0" quotePrefix="0" xfId="0">
      <alignment horizontal="center"/>
    </xf>
    <xf numFmtId="0" fontId="5" fillId="0" borderId="47" applyAlignment="1" pivotButton="0" quotePrefix="0" xfId="0">
      <alignment horizontal="center" vertical="center"/>
    </xf>
    <xf numFmtId="0" fontId="5" fillId="0" borderId="10" applyAlignment="1" pivotButton="0" quotePrefix="0" xfId="0">
      <alignment horizontal="center" vertical="center"/>
    </xf>
    <xf numFmtId="0" fontId="36" fillId="12" borderId="6" applyAlignment="1" pivotButton="0" quotePrefix="0" xfId="0">
      <alignment horizontal="center" vertical="center"/>
    </xf>
    <xf numFmtId="0" fontId="5" fillId="0" borderId="8" applyAlignment="1" pivotButton="0" quotePrefix="0" xfId="0">
      <alignment horizontal="center" vertical="center"/>
    </xf>
    <xf numFmtId="0" fontId="0" fillId="0" borderId="1" applyAlignment="1" pivotButton="0" quotePrefix="0" xfId="0">
      <alignment horizontal="center"/>
    </xf>
    <xf numFmtId="0" fontId="0" fillId="0" borderId="2" applyAlignment="1" pivotButton="0" quotePrefix="0" xfId="0">
      <alignment horizontal="center"/>
    </xf>
    <xf numFmtId="0" fontId="36" fillId="14" borderId="34" applyAlignment="1" pivotButton="0" quotePrefix="0" xfId="0">
      <alignment horizontal="center" vertical="center"/>
    </xf>
    <xf numFmtId="0" fontId="34" fillId="9" borderId="31" applyAlignment="1" pivotButton="0" quotePrefix="0" xfId="0">
      <alignment horizontal="center" vertical="center"/>
    </xf>
    <xf numFmtId="0" fontId="5" fillId="0" borderId="19" applyAlignment="1" pivotButton="0" quotePrefix="0" xfId="0">
      <alignment horizontal="center" vertical="center"/>
    </xf>
    <xf numFmtId="0" fontId="5" fillId="0" borderId="1" applyAlignment="1" pivotButton="0" quotePrefix="0" xfId="0">
      <alignment horizontal="center" vertical="center"/>
    </xf>
    <xf numFmtId="0" fontId="34" fillId="9" borderId="40" applyAlignment="1" pivotButton="0" quotePrefix="0" xfId="0">
      <alignment horizontal="center" vertical="center"/>
    </xf>
    <xf numFmtId="0" fontId="0" fillId="0" borderId="1" applyAlignment="1" pivotButton="0" quotePrefix="0" xfId="0">
      <alignment horizontal="center" vertical="center" wrapText="1"/>
    </xf>
    <xf numFmtId="0" fontId="0" fillId="0" borderId="5" applyAlignment="1" pivotButton="0" quotePrefix="0" xfId="0">
      <alignment horizontal="left" vertical="center"/>
    </xf>
    <xf numFmtId="0" fontId="5" fillId="0" borderId="2" applyAlignment="1" pivotButton="0" quotePrefix="0" xfId="0">
      <alignment horizontal="center" vertical="center"/>
    </xf>
    <xf numFmtId="0" fontId="0" fillId="0" borderId="1" applyAlignment="1" pivotButton="0" quotePrefix="0" xfId="0">
      <alignment horizontal="center" vertical="center"/>
    </xf>
    <xf numFmtId="0" fontId="0" fillId="0" borderId="5" applyAlignment="1" pivotButton="0" quotePrefix="0" xfId="0">
      <alignment horizontal="center" vertical="center"/>
    </xf>
    <xf numFmtId="0" fontId="0" fillId="0" borderId="3" applyAlignment="1" pivotButton="0" quotePrefix="0" xfId="0">
      <alignment horizontal="center" vertical="center"/>
    </xf>
    <xf numFmtId="0" fontId="0" fillId="0" borderId="8" applyAlignment="1" pivotButton="0" quotePrefix="0" xfId="0">
      <alignment horizontal="center" vertical="center"/>
    </xf>
    <xf numFmtId="0" fontId="5" fillId="0" borderId="19"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11" fillId="0" borderId="9" applyAlignment="1" pivotButton="0" quotePrefix="0" xfId="0">
      <alignment vertical="center"/>
    </xf>
    <xf numFmtId="0" fontId="4" fillId="0" borderId="11" pivotButton="0" quotePrefix="0" xfId="0"/>
    <xf numFmtId="0" fontId="17" fillId="6" borderId="11" pivotButton="0" quotePrefix="0" xfId="0"/>
    <xf numFmtId="0" fontId="4" fillId="0" borderId="2" pivotButton="0" quotePrefix="0" xfId="0"/>
    <xf numFmtId="0" fontId="4" fillId="0" borderId="3" pivotButton="0" quotePrefix="0" xfId="0"/>
    <xf numFmtId="0" fontId="4" fillId="0" borderId="28" pivotButton="0" quotePrefix="0" xfId="0"/>
    <xf numFmtId="0" fontId="35" fillId="10" borderId="21" pivotButton="0" quotePrefix="0" xfId="0"/>
    <xf numFmtId="0" fontId="27" fillId="7" borderId="21" pivotButton="0" quotePrefix="0" xfId="0"/>
    <xf numFmtId="0" fontId="4" fillId="0" borderId="8" pivotButton="0" quotePrefix="0" xfId="0"/>
    <xf numFmtId="0" fontId="35" fillId="10" borderId="52" pivotButton="0" quotePrefix="0" xfId="0"/>
    <xf numFmtId="0" fontId="27" fillId="7" borderId="52" pivotButton="0" quotePrefix="0" xfId="0"/>
    <xf numFmtId="0" fontId="4" fillId="0" borderId="48" pivotButton="0" quotePrefix="0" xfId="0"/>
    <xf numFmtId="0" fontId="4" fillId="0" borderId="22" pivotButton="0" quotePrefix="0" xfId="0"/>
    <xf numFmtId="0" fontId="35" fillId="10" borderId="4" pivotButton="0" quotePrefix="0" xfId="0"/>
    <xf numFmtId="0" fontId="35" fillId="10" borderId="7" pivotButton="0" quotePrefix="0" xfId="0"/>
    <xf numFmtId="0" fontId="27" fillId="7" borderId="4" pivotButton="0" quotePrefix="0" xfId="0"/>
    <xf numFmtId="0" fontId="27" fillId="7" borderId="7" pivotButton="0" quotePrefix="0" xfId="0"/>
    <xf numFmtId="0" fontId="4" fillId="0" borderId="46" pivotButton="0" quotePrefix="0" xfId="0"/>
    <xf numFmtId="0" fontId="27" fillId="13" borderId="4" pivotButton="0" quotePrefix="0" xfId="0"/>
    <xf numFmtId="0" fontId="27" fillId="13" borderId="7" pivotButton="0" quotePrefix="0" xfId="0"/>
    <xf numFmtId="0" fontId="35" fillId="10" borderId="30" pivotButton="0" quotePrefix="0" xfId="0"/>
    <xf numFmtId="0" fontId="35" fillId="10" borderId="33" pivotButton="0" quotePrefix="0" xfId="0"/>
    <xf numFmtId="0" fontId="27" fillId="7" borderId="35" pivotButton="0" quotePrefix="0" xfId="0"/>
    <xf numFmtId="0" fontId="27" fillId="7" borderId="36" pivotButton="0" quotePrefix="0" xfId="0"/>
    <xf numFmtId="0" fontId="35" fillId="10" borderId="39" pivotButton="0" quotePrefix="0" xfId="0"/>
    <xf numFmtId="0" fontId="0" fillId="0" borderId="9" pivotButton="0" quotePrefix="0" xfId="0"/>
    <xf numFmtId="0" fontId="4" fillId="0" borderId="9" pivotButton="0" quotePrefix="0" xfId="0"/>
    <xf numFmtId="0" fontId="0" fillId="0" borderId="64" pivotButton="0" quotePrefix="0" xfId="0"/>
    <xf numFmtId="0" fontId="0" fillId="0" borderId="65" pivotButton="0" quotePrefix="0" xfId="0"/>
    <xf numFmtId="0" fontId="0" fillId="0" borderId="18" pivotButton="0" quotePrefix="0" xfId="0"/>
    <xf numFmtId="0" fontId="3" fillId="0" borderId="2" applyAlignment="1" pivotButton="0" quotePrefix="0" xfId="0">
      <alignment horizontal="center"/>
    </xf>
    <xf numFmtId="0" fontId="0" fillId="0" borderId="2" pivotButton="0" quotePrefix="0" xfId="0"/>
    <xf numFmtId="0" fontId="0" fillId="0" borderId="3" pivotButton="0" quotePrefix="0" xfId="0"/>
    <xf numFmtId="0" fontId="0" fillId="0" borderId="28" pivotButton="0" quotePrefix="0" xfId="0"/>
    <xf numFmtId="0" fontId="0" fillId="0" borderId="68" pivotButton="0" quotePrefix="0" xfId="0"/>
    <xf numFmtId="0" fontId="0" fillId="0" borderId="51" pivotButton="0" quotePrefix="0" xfId="0"/>
    <xf numFmtId="0" fontId="0" fillId="0" borderId="8" pivotButton="0" quotePrefix="0" xfId="0"/>
    <xf numFmtId="0" fontId="0" fillId="0" borderId="22" pivotButton="0" quotePrefix="0" xfId="0"/>
    <xf numFmtId="0" fontId="0" fillId="0" borderId="70" pivotButton="0" quotePrefix="0" xfId="0"/>
    <xf numFmtId="0" fontId="5" fillId="0" borderId="71" applyAlignment="1" pivotButton="0" quotePrefix="0" xfId="0">
      <alignment horizontal="center" vertical="center"/>
    </xf>
    <xf numFmtId="0" fontId="0" fillId="0" borderId="48" pivotButton="0" quotePrefix="0" xfId="0"/>
    <xf numFmtId="0" fontId="0" fillId="0" borderId="48" applyAlignment="1" pivotButton="0" quotePrefix="0" xfId="0">
      <alignment horizontal="left" vertical="center"/>
    </xf>
    <xf numFmtId="0" fontId="3" fillId="0" borderId="46" applyAlignment="1" pivotButton="0" quotePrefix="0" xfId="0">
      <alignment horizontal="center"/>
    </xf>
    <xf numFmtId="0" fontId="0" fillId="0" borderId="46" pivotButton="0" quotePrefix="0" xfId="0"/>
    <xf numFmtId="0" fontId="5" fillId="0" borderId="43" applyAlignment="1" pivotButton="0" quotePrefix="0" xfId="0">
      <alignment horizontal="center" vertical="center" wrapText="1"/>
    </xf>
    <xf numFmtId="0" fontId="0" fillId="0" borderId="71" applyAlignment="1" pivotButton="0" quotePrefix="0" xfId="0">
      <alignment horizontal="left" vertical="center"/>
    </xf>
    <xf numFmtId="0" fontId="0" fillId="0" borderId="4" applyAlignment="1" pivotButton="0" quotePrefix="0" xfId="0">
      <alignment horizontal="left" vertical="center"/>
    </xf>
    <xf numFmtId="0" fontId="0" fillId="0" borderId="74" pivotButton="0" quotePrefix="0" xfId="0"/>
    <xf numFmtId="0" fontId="0" fillId="0" borderId="75" pivotButton="0" quotePrefix="0" xfId="0"/>
    <xf numFmtId="0" fontId="0" fillId="0" borderId="73" pivotButton="0" quotePrefix="0" xfId="0"/>
    <xf numFmtId="0" fontId="0" fillId="0" borderId="1" pivotButton="0" quotePrefix="0" xfId="0"/>
    <xf numFmtId="0" fontId="0" fillId="0" borderId="2" applyAlignment="1" pivotButton="0" quotePrefix="0" xfId="0">
      <alignment horizontal="center" vertical="center" wrapText="1"/>
    </xf>
    <xf numFmtId="0" fontId="5" fillId="0" borderId="20" applyAlignment="1" pivotButton="0" quotePrefix="0" xfId="0">
      <alignment horizontal="center" vertical="center"/>
    </xf>
    <xf numFmtId="0" fontId="0" fillId="0" borderId="2" applyAlignment="1" pivotButton="0" quotePrefix="0" xfId="0">
      <alignment horizontal="center" vertical="center"/>
    </xf>
    <xf numFmtId="0" fontId="0" fillId="0" borderId="4" applyAlignment="1" pivotButton="0" quotePrefix="0" xfId="0">
      <alignment horizontal="center" vertical="center"/>
    </xf>
    <xf numFmtId="0" fontId="5" fillId="0" borderId="20" applyAlignment="1" pivotButton="0" quotePrefix="0" xfId="0">
      <alignment horizontal="center" vertical="center" wrapText="1"/>
    </xf>
  </cellXfs>
  <cellStyles count="5">
    <cellStyle name="Normal" xfId="0" builtinId="0"/>
    <cellStyle name="Normal 2" xfId="1"/>
    <cellStyle name="Normal 2 2" xfId="2"/>
    <cellStyle name="Normal 3" xfId="3"/>
    <cellStyle name="Normal 2 3" xfId="4"/>
  </cellStyles>
  <dxfs count="33">
    <dxf>
      <font>
        <b val="1"/>
        <strike val="0"/>
        <color theme="5" tint="-0.499984740745262"/>
      </font>
      <fill>
        <patternFill>
          <bgColor theme="7" tint="0.5999633777886288"/>
        </patternFill>
      </fill>
    </dxf>
    <dxf>
      <font>
        <b val="1"/>
        <strike val="0"/>
        <color theme="9" tint="-0.499984740745262"/>
      </font>
      <fill>
        <patternFill>
          <bgColor theme="9" tint="0.5999633777886288"/>
        </patternFill>
      </fill>
    </dxf>
    <dxf>
      <font>
        <b val="1"/>
        <strike val="0"/>
        <color rgb="FFC00000"/>
      </font>
      <fill>
        <patternFill>
          <bgColor rgb="FFFF7C80"/>
        </patternFill>
      </fill>
    </dxf>
    <dxf>
      <font>
        <b val="1"/>
        <strike val="0"/>
        <color theme="5" tint="-0.499984740745262"/>
      </font>
      <fill>
        <patternFill>
          <bgColor theme="7" tint="0.5999633777886288"/>
        </patternFill>
      </fill>
    </dxf>
    <dxf>
      <font>
        <b val="1"/>
        <strike val="0"/>
        <color theme="9" tint="-0.499984740745262"/>
      </font>
      <fill>
        <patternFill>
          <bgColor theme="9" tint="0.5999633777886288"/>
        </patternFill>
      </fill>
    </dxf>
    <dxf>
      <font>
        <b val="1"/>
        <strike val="0"/>
        <color rgb="FFC00000"/>
      </font>
      <fill>
        <patternFill>
          <bgColor rgb="FFFF7C80"/>
        </patternFill>
      </fill>
    </dxf>
    <dxf>
      <font>
        <b val="1"/>
        <strike val="0"/>
        <color theme="5" tint="-0.499984740745262"/>
      </font>
      <fill>
        <patternFill>
          <bgColor theme="7" tint="0.5999633777886288"/>
        </patternFill>
      </fill>
    </dxf>
    <dxf>
      <font>
        <b val="1"/>
        <strike val="0"/>
        <color theme="9" tint="-0.499984740745262"/>
      </font>
      <fill>
        <patternFill>
          <bgColor theme="9" tint="0.5999633777886288"/>
        </patternFill>
      </fill>
    </dxf>
    <dxf>
      <font>
        <b val="1"/>
        <strike val="0"/>
        <color rgb="FFC00000"/>
      </font>
      <fill>
        <patternFill>
          <bgColor rgb="FFFF7C80"/>
        </patternFill>
      </fill>
    </dxf>
    <dxf>
      <font>
        <b val="1"/>
        <strike val="0"/>
        <color theme="5" tint="-0.499984740745262"/>
      </font>
      <fill>
        <patternFill>
          <bgColor theme="7" tint="0.5999633777886288"/>
        </patternFill>
      </fill>
    </dxf>
    <dxf>
      <font>
        <b val="1"/>
        <strike val="0"/>
        <color theme="9" tint="-0.499984740745262"/>
      </font>
      <fill>
        <patternFill>
          <bgColor theme="9" tint="0.5999633777886288"/>
        </patternFill>
      </fill>
    </dxf>
    <dxf>
      <font>
        <b val="1"/>
        <strike val="0"/>
        <color rgb="FFC00000"/>
      </font>
      <fill>
        <patternFill>
          <bgColor rgb="FFFF7C80"/>
        </patternFill>
      </fill>
    </dxf>
    <dxf>
      <font>
        <b val="1"/>
        <strike val="0"/>
        <color theme="5" tint="-0.499984740745262"/>
      </font>
      <fill>
        <patternFill>
          <bgColor theme="7" tint="0.5999633777886288"/>
        </patternFill>
      </fill>
    </dxf>
    <dxf>
      <font>
        <b val="1"/>
        <strike val="0"/>
        <color theme="9" tint="-0.499984740745262"/>
      </font>
      <fill>
        <patternFill>
          <bgColor theme="9" tint="0.5999633777886288"/>
        </patternFill>
      </fill>
    </dxf>
    <dxf>
      <font>
        <b val="1"/>
        <strike val="0"/>
        <color rgb="FFC00000"/>
      </font>
      <fill>
        <patternFill>
          <bgColor rgb="FFFF7C80"/>
        </patternFill>
      </fill>
    </dxf>
    <dxf>
      <font>
        <b val="1"/>
        <strike val="0"/>
        <color theme="5" tint="-0.499984740745262"/>
      </font>
      <fill>
        <patternFill>
          <bgColor theme="7" tint="0.5999633777886288"/>
        </patternFill>
      </fill>
    </dxf>
    <dxf>
      <font>
        <b val="1"/>
        <strike val="0"/>
        <color theme="9" tint="-0.499984740745262"/>
      </font>
      <fill>
        <patternFill>
          <bgColor theme="9" tint="0.5999633777886288"/>
        </patternFill>
      </fill>
    </dxf>
    <dxf>
      <font>
        <b val="1"/>
        <strike val="0"/>
        <color rgb="FFC00000"/>
      </font>
      <fill>
        <patternFill>
          <bgColor rgb="FFFF7C80"/>
        </patternFill>
      </fill>
    </dxf>
    <dxf>
      <font>
        <b val="1"/>
        <strike val="0"/>
        <color theme="5" tint="-0.499984740745262"/>
      </font>
      <fill>
        <patternFill>
          <bgColor theme="7" tint="0.5999633777886288"/>
        </patternFill>
      </fill>
    </dxf>
    <dxf>
      <font>
        <b val="1"/>
        <strike val="0"/>
        <color theme="9" tint="-0.499984740745262"/>
      </font>
      <fill>
        <patternFill>
          <bgColor theme="9" tint="0.5999633777886288"/>
        </patternFill>
      </fill>
    </dxf>
    <dxf>
      <font>
        <b val="1"/>
        <strike val="0"/>
        <color rgb="FFC00000"/>
      </font>
      <fill>
        <patternFill>
          <bgColor rgb="FFFF7C80"/>
        </patternFill>
      </fill>
    </dxf>
    <dxf>
      <font>
        <b val="1"/>
        <strike val="0"/>
        <color theme="5" tint="-0.499984740745262"/>
      </font>
      <fill>
        <patternFill>
          <bgColor theme="7" tint="0.5999633777886288"/>
        </patternFill>
      </fill>
    </dxf>
    <dxf>
      <font>
        <b val="1"/>
        <strike val="0"/>
        <color theme="9" tint="-0.499984740745262"/>
      </font>
      <fill>
        <patternFill>
          <bgColor theme="9" tint="0.5999633777886288"/>
        </patternFill>
      </fill>
    </dxf>
    <dxf>
      <font>
        <b val="1"/>
        <strike val="0"/>
        <color rgb="FFC00000"/>
      </font>
      <fill>
        <patternFill>
          <bgColor rgb="FFFF7C80"/>
        </patternFill>
      </fill>
    </dxf>
    <dxf>
      <font>
        <b val="1"/>
        <strike val="0"/>
        <color theme="5" tint="-0.499984740745262"/>
      </font>
      <fill>
        <patternFill>
          <bgColor theme="7" tint="0.5999633777886288"/>
        </patternFill>
      </fill>
    </dxf>
    <dxf>
      <font>
        <b val="1"/>
        <strike val="0"/>
        <color theme="9" tint="-0.499984740745262"/>
      </font>
      <fill>
        <patternFill>
          <bgColor theme="9" tint="0.5999633777886288"/>
        </patternFill>
      </fill>
    </dxf>
    <dxf>
      <font>
        <b val="1"/>
        <strike val="0"/>
        <color rgb="FFC00000"/>
      </font>
      <fill>
        <patternFill>
          <bgColor rgb="FFFF7C80"/>
        </patternFill>
      </fill>
    </dxf>
    <dxf>
      <font>
        <b val="1"/>
        <strike val="0"/>
        <color theme="5" tint="-0.499984740745262"/>
      </font>
      <fill>
        <patternFill>
          <bgColor theme="7" tint="0.5999633777886288"/>
        </patternFill>
      </fill>
    </dxf>
    <dxf>
      <font>
        <b val="1"/>
        <strike val="0"/>
        <color theme="9" tint="-0.499984740745262"/>
      </font>
      <fill>
        <patternFill>
          <bgColor theme="9" tint="0.5999633777886288"/>
        </patternFill>
      </fill>
    </dxf>
    <dxf>
      <font>
        <b val="1"/>
        <strike val="0"/>
        <color rgb="FFC00000"/>
      </font>
      <fill>
        <patternFill>
          <bgColor rgb="FFFF7C80"/>
        </patternFill>
      </fill>
    </dxf>
    <dxf>
      <font>
        <b val="1"/>
        <strike val="0"/>
        <color theme="5" tint="-0.499984740745262"/>
      </font>
      <fill>
        <patternFill>
          <bgColor theme="7" tint="0.5999633777886288"/>
        </patternFill>
      </fill>
    </dxf>
    <dxf>
      <font>
        <b val="1"/>
        <strike val="0"/>
        <color theme="9" tint="-0.499984740745262"/>
      </font>
      <fill>
        <patternFill>
          <bgColor theme="9" tint="0.5999633777886288"/>
        </patternFill>
      </fill>
    </dxf>
    <dxf>
      <font>
        <b val="1"/>
        <strike val="0"/>
        <color rgb="FFC00000"/>
      </font>
      <fill>
        <patternFill>
          <bgColor rgb="FFFF7C8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56727</colOff>
      <row>0</row>
      <rowOff>234738</rowOff>
    </from>
    <to>
      <col>2</col>
      <colOff>281868</colOff>
      <row>0</row>
      <rowOff>783167</rowOff>
    </to>
    <pic>
      <nvPicPr>
        <cNvPr id="2" name="Imatge 1" descr="Imatge que conté Gràfics, Font, disseny gràfic, logotip&#10;&#10;Pot ser que el contingut generat per IA no sigui correcte."/>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342477" y="234738"/>
          <a:ext cx="1336391" cy="54842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52"/>
  <sheetViews>
    <sheetView zoomScale="90" zoomScaleNormal="90" workbookViewId="0">
      <selection activeCell="B9" sqref="B9:D9"/>
    </sheetView>
  </sheetViews>
  <sheetFormatPr baseColWidth="8" defaultColWidth="14.28515625" defaultRowHeight="15" customHeight="1"/>
  <cols>
    <col width="4.28515625" customWidth="1" min="1" max="1"/>
    <col width="16.28515625" customWidth="1" min="2" max="2"/>
    <col width="20.28515625" customWidth="1" min="3" max="3"/>
    <col width="63.140625" customWidth="1" min="4" max="4"/>
    <col width="10.7109375" customWidth="1" min="5" max="8"/>
    <col hidden="1" width="10.7109375" customWidth="1" min="9" max="9"/>
    <col width="10.7109375" customWidth="1" min="10" max="26"/>
  </cols>
  <sheetData>
    <row r="1" ht="78.59999999999999" customHeight="1">
      <c r="A1" s="202" t="n"/>
    </row>
    <row r="2" ht="20.25" customHeight="1">
      <c r="B2" s="91" t="inlineStr">
        <is>
          <t>Código:</t>
        </is>
      </c>
      <c r="C2" s="201" t="inlineStr">
        <is>
          <t>D05 -Activos de Seguridad de la Información</t>
        </is>
      </c>
      <c r="D2" s="277" t="n"/>
    </row>
    <row r="3" ht="20.25" customHeight="1">
      <c r="B3" s="91" t="inlineStr">
        <is>
          <t>Fecha</t>
        </is>
      </c>
      <c r="C3" s="203" t="n">
        <v>45855</v>
      </c>
      <c r="D3" s="277" t="n"/>
    </row>
    <row r="4" ht="20.25" customHeight="1">
      <c r="B4" s="91" t="inlineStr">
        <is>
          <t>Aprobado por:</t>
        </is>
      </c>
      <c r="C4" s="201" t="inlineStr">
        <is>
          <t>Jordi Roca</t>
        </is>
      </c>
      <c r="D4" s="277" t="n"/>
    </row>
    <row r="5" ht="20.25" customHeight="1">
      <c r="B5" s="91" t="inlineStr">
        <is>
          <t>Revisión:</t>
        </is>
      </c>
      <c r="C5" s="204" t="inlineStr">
        <is>
          <t>1.0</t>
        </is>
      </c>
      <c r="D5" s="277" t="n"/>
    </row>
    <row r="6" ht="20.25" customHeight="1">
      <c r="B6" s="91" t="inlineStr">
        <is>
          <t>Clasificación</t>
        </is>
      </c>
      <c r="C6" s="199" t="inlineStr">
        <is>
          <t>USO INTERNO</t>
        </is>
      </c>
      <c r="D6" s="277" t="n"/>
    </row>
    <row r="7" ht="46.15" customHeight="1">
      <c r="A7" s="31" t="n"/>
      <c r="B7" s="92" t="inlineStr">
        <is>
          <t>Objeto</t>
        </is>
      </c>
      <c r="C7" s="201" t="inlineStr">
        <is>
          <t xml:space="preserve">Identificar y valorar los diferentes activos que se deben considerar en el alcance del SGSI </t>
        </is>
      </c>
      <c r="D7" s="277" t="n"/>
      <c r="I7" t="n">
        <v>24</v>
      </c>
    </row>
    <row r="8" ht="20.25" customHeight="1">
      <c r="B8" s="18" t="n"/>
      <c r="C8" s="18" t="n"/>
      <c r="D8" s="18" t="n"/>
    </row>
    <row r="9" ht="20.25" customHeight="1">
      <c r="B9" s="200" t="inlineStr">
        <is>
          <t>HISTORIAL DE CAMBIOS</t>
        </is>
      </c>
      <c r="C9" s="278" t="n"/>
      <c r="D9" s="277" t="n"/>
    </row>
    <row r="10" ht="20.25" customHeight="1">
      <c r="B10" s="93" t="inlineStr">
        <is>
          <t>Revisión</t>
        </is>
      </c>
      <c r="C10" s="93" t="inlineStr">
        <is>
          <t>Fecha</t>
        </is>
      </c>
      <c r="D10" s="93" t="inlineStr">
        <is>
          <t>Motivo</t>
        </is>
      </c>
    </row>
    <row r="11" ht="22.15" customHeight="1">
      <c r="B11" s="140" t="n">
        <v>1</v>
      </c>
      <c r="C11" s="141" t="n">
        <v>45855</v>
      </c>
      <c r="D11" s="20" t="inlineStr">
        <is>
          <t>Versión inicial</t>
        </is>
      </c>
    </row>
    <row r="12" ht="22.15" customHeight="1">
      <c r="B12" s="48" t="n"/>
      <c r="C12" s="19" t="n"/>
      <c r="D12" s="17" t="n"/>
    </row>
    <row r="13" ht="22.15" customHeight="1">
      <c r="B13" s="49" t="n"/>
      <c r="C13" s="19" t="n"/>
      <c r="D13" s="20" t="n"/>
      <c r="I13" t="n">
        <v>24</v>
      </c>
    </row>
    <row r="14" ht="22.15" customHeight="1">
      <c r="B14" s="48" t="n"/>
      <c r="C14" s="19" t="n"/>
      <c r="D14" s="17" t="n"/>
    </row>
    <row r="15" ht="20.25" customHeight="1">
      <c r="B15" s="21" t="n"/>
      <c r="C15" s="21" t="n"/>
      <c r="D15" s="21" t="n"/>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c r="I25" t="n">
        <v>24</v>
      </c>
    </row>
    <row r="26" ht="15.75" customHeight="1">
      <c r="I26" t="n">
        <v>24</v>
      </c>
    </row>
    <row r="27" ht="15.75" customHeight="1">
      <c r="I27" t="n">
        <v>24</v>
      </c>
    </row>
    <row r="28" ht="15.75" customHeight="1">
      <c r="I28" t="n">
        <v>24</v>
      </c>
    </row>
    <row r="29" ht="15.75" customHeight="1">
      <c r="I29" t="n">
        <v>24</v>
      </c>
    </row>
    <row r="30" ht="15.75" customHeight="1">
      <c r="I30" t="n">
        <v>24</v>
      </c>
    </row>
    <row r="31" ht="15.75" customHeight="1"/>
    <row r="32" ht="15.75" customHeight="1">
      <c r="I32" t="n">
        <v>24</v>
      </c>
    </row>
    <row r="33" ht="15.75" customHeight="1">
      <c r="I33" t="n">
        <v>24</v>
      </c>
    </row>
    <row r="34" ht="15.75" customHeight="1">
      <c r="I34" t="n">
        <v>24</v>
      </c>
    </row>
    <row r="35" ht="15.75" customHeight="1">
      <c r="I35" t="n">
        <v>24</v>
      </c>
    </row>
    <row r="36" ht="15.75" customHeight="1">
      <c r="I36" t="n">
        <v>24</v>
      </c>
    </row>
    <row r="37" ht="15.75" customHeight="1">
      <c r="I37" t="n">
        <v>24</v>
      </c>
    </row>
    <row r="38" ht="15.75" customHeight="1">
      <c r="I38" t="n">
        <v>24</v>
      </c>
    </row>
    <row r="39" ht="15.75" customHeight="1">
      <c r="I39" t="n">
        <v>24</v>
      </c>
    </row>
    <row r="40" ht="15.75" customHeight="1">
      <c r="I40" t="n">
        <v>24</v>
      </c>
    </row>
    <row r="41" ht="15.75" customHeight="1">
      <c r="I41" t="n">
        <v>24</v>
      </c>
    </row>
    <row r="42" ht="15.75" customHeight="1">
      <c r="I42" t="n">
        <v>24</v>
      </c>
    </row>
    <row r="43" ht="15.75" customHeight="1"/>
    <row r="44" ht="15.75" customHeight="1"/>
    <row r="45" ht="15.75" customHeight="1"/>
    <row r="46" ht="15.75" customHeight="1"/>
    <row r="47" ht="15.75" customHeight="1"/>
    <row r="48" ht="15.75" customHeight="1">
      <c r="I48" t="n">
        <v>24</v>
      </c>
    </row>
    <row r="49" ht="15.75" customHeight="1">
      <c r="I49" t="n">
        <v>24</v>
      </c>
    </row>
    <row r="50" ht="15.75" customHeight="1">
      <c r="I50" t="n">
        <v>24</v>
      </c>
    </row>
    <row r="51" ht="15.75" customHeight="1">
      <c r="I51" t="n">
        <v>24</v>
      </c>
    </row>
    <row r="52" ht="15.75" customHeight="1">
      <c r="I52" t="n">
        <v>24</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8">
    <mergeCell ref="A1:D1"/>
    <mergeCell ref="C6:D6"/>
    <mergeCell ref="C7:D7"/>
    <mergeCell ref="C2:D2"/>
    <mergeCell ref="C5:D5"/>
    <mergeCell ref="B9:D9"/>
    <mergeCell ref="C3:D3"/>
    <mergeCell ref="C4:D4"/>
  </mergeCells>
  <pageMargins left="0.7" right="0.7" top="0.75" bottom="0.75" header="0" footer="0"/>
  <pageSetup orientation="landscape" paperSize="9"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I52"/>
  <sheetViews>
    <sheetView zoomScale="70" zoomScaleNormal="70" workbookViewId="0">
      <selection activeCell="B10" sqref="B10"/>
    </sheetView>
  </sheetViews>
  <sheetFormatPr baseColWidth="8" defaultColWidth="11.28515625" defaultRowHeight="14.45"/>
  <cols>
    <col width="28" customWidth="1" style="22" min="1" max="1"/>
    <col width="168.140625" customWidth="1" style="22" min="2" max="2"/>
    <col width="11.28515625" customWidth="1" style="22" min="3" max="8"/>
    <col hidden="1" style="22" min="9" max="9"/>
    <col width="11.28515625" customWidth="1" style="22" min="10" max="16384"/>
  </cols>
  <sheetData>
    <row r="1" ht="67.90000000000001" customHeight="1">
      <c r="A1" s="206" t="n"/>
    </row>
    <row r="2" ht="27.75" customHeight="1" thickBot="1">
      <c r="A2" s="205" t="inlineStr">
        <is>
          <t>GUÍA DE USO</t>
        </is>
      </c>
      <c r="B2" s="279" t="n"/>
    </row>
    <row r="3" ht="24.75" customHeight="1">
      <c r="A3" s="97" t="inlineStr">
        <is>
          <t>Columna</t>
        </is>
      </c>
      <c r="B3" s="98" t="inlineStr">
        <is>
          <t>Explicación</t>
        </is>
      </c>
    </row>
    <row r="4" ht="39.75" customHeight="1">
      <c r="A4" s="94" t="inlineStr">
        <is>
          <t>ID</t>
        </is>
      </c>
      <c r="B4" s="28" t="inlineStr">
        <is>
          <t>Asignar una referencia única para poder identificar cada activo sin ambiguedades  (por ejemplo, "S-12" podría ser el 12º activo del tipo Servicios). ¡Los números secuenciales permiten ordenar la tabla de manera sensata!</t>
        </is>
      </c>
    </row>
    <row r="5" ht="57.4" customHeight="1">
      <c r="A5" s="94" t="inlineStr">
        <is>
          <t>Capa</t>
        </is>
      </c>
      <c r="B5" s="28" t="inlineStr">
        <is>
          <t>(Solo para Servicios Propios) Indica si el activo de tipo Servicios Propios esta dedicado a un proceso:
- Interno: Da soporte a una funcion interna o de soporte del negocio
- Negocio: Da soporte a una función relacionado directamente con la cadena de valor del negocio</t>
        </is>
      </c>
    </row>
    <row r="6" hidden="1" ht="45" customHeight="1">
      <c r="A6" s="94" t="inlineStr">
        <is>
          <t>Proceso</t>
        </is>
      </c>
      <c r="B6" s="28" t="inlineStr">
        <is>
          <t>Procesos a los que da soporte el activo según se ha definido en el mapa de procesos definido en el punto 4.1  como parte del contexto de la organización. 
Un equipo puede dar soporte a varios procesos, ya sea de negocio o de soporte, o ser un activo general de la organización, por lo que se indica como "GLOBAL"</t>
        </is>
      </c>
    </row>
    <row r="7" ht="41.25" customHeight="1">
      <c r="A7" s="94" t="inlineStr">
        <is>
          <t>Nombre</t>
        </is>
      </c>
      <c r="B7" s="28" t="inlineStr">
        <is>
          <t>Nombre interno único por el que se conoce e identifica facilmente el activo. Puede ser la referencia a un grupo de elementos que realizan una función similar, por ejemplo, todos los servidores en una gconfiguración de alta disponibilidad. En este caso el activo no es cada uno de los servidores, sino el conjunto de ellos.</t>
        </is>
      </c>
      <c r="I7" s="22" t="n">
        <v>24</v>
      </c>
    </row>
    <row r="8" ht="50.25" customHeight="1">
      <c r="A8" s="94" t="inlineStr">
        <is>
          <t>Grupo</t>
        </is>
      </c>
      <c r="B8" s="28" t="inlineStr">
        <is>
          <t>(Opcional) Si el activo pertenece a una agrupación, por ejemplo diversos equipos de comunicaciones que forman parte de una subred, o personal que está en una determinada filial o división.
Permite que en el SGSI se haga referencia a los activos de forma agregada, por ejemplo, en la valoración de riesgos o identificar los activos relacionados.</t>
        </is>
      </c>
    </row>
    <row r="9" ht="50.25" customHeight="1">
      <c r="A9" s="94" t="inlineStr">
        <is>
          <t>Activos Relacionados</t>
        </is>
      </c>
      <c r="B9" s="28" t="inlineStr">
        <is>
          <t xml:space="preserve">Activos que tienen una relación de dependencia con este activo. Es decir, los activos (p.ej. Servicios propios) que dependen de este activo para su función y que, por tanto, determinan su valor </t>
        </is>
      </c>
    </row>
    <row r="10" ht="25.5" customHeight="1">
      <c r="A10" s="94" t="inlineStr">
        <is>
          <t>Descripción</t>
        </is>
      </c>
      <c r="B10" s="28" t="inlineStr">
        <is>
          <t>Descripción breve de las características y uso que se da al activo.</t>
        </is>
      </c>
    </row>
    <row r="11" ht="24.75" customHeight="1">
      <c r="A11" s="94" t="inlineStr">
        <is>
          <t>Personales</t>
        </is>
      </c>
      <c r="B11" s="28" t="inlineStr">
        <is>
          <t>(Solo para Datos) Clasificación en cuanto al RGPD, atendiendo al tipo de datos tratados (Sin datos personales, Básicos, Categoria Especial)</t>
        </is>
      </c>
    </row>
    <row r="12" ht="56.25" customHeight="1">
      <c r="A12" s="94" t="inlineStr">
        <is>
          <t>Confidencialidad</t>
        </is>
      </c>
      <c r="B12" s="28" t="inlineStr">
        <is>
          <t>(Solo para Datos)  Clasificación en cuanto al criterio de clasificación de la información establecido en el control del punto A.8.2
Determina directamente  la valoración de confidencialidad.
Obtenido a partir de la Política de Clasificación de la Información</t>
        </is>
      </c>
    </row>
    <row r="13" ht="64.15000000000001" customHeight="1">
      <c r="A13" s="94" t="inlineStr">
        <is>
          <t>RTO</t>
        </is>
      </c>
      <c r="B13" s="28" t="inlineStr">
        <is>
          <t xml:space="preserve">Recovery Time Objective: Tiempo máximo en el que el servicio tiene que estar disponible.
Determina la valoración de disponibilidad 
Por dependencias se propaga a todos los sistemas
Obtenido a partir del Business Impact Analysis </t>
        </is>
      </c>
      <c r="I13" s="22" t="n">
        <v>24</v>
      </c>
    </row>
    <row r="14" ht="61.15" customHeight="1">
      <c r="A14" s="94" t="inlineStr">
        <is>
          <t>RPO</t>
        </is>
      </c>
      <c r="B14" s="28" t="inlineStr">
        <is>
          <t xml:space="preserve">Recovery Point Objective: Punto de recuperación de los datos. Antigüedad máxima de los datos a recuperar que se gestionan en un servicio
A tener en cuenta en la valoración de integridad
Por dependencias se propaga a todos los activos de datos
Obtenido a partir del Business Impact Analysis </t>
        </is>
      </c>
    </row>
    <row r="15" ht="55.5" customHeight="1">
      <c r="A15" s="94" t="inlineStr">
        <is>
          <t>Responsable del activo</t>
        </is>
      </c>
      <c r="B15" s="28" t="inlineStr">
        <is>
          <t>La persona o puesto de trabajo a la que se responsabilizará del correcto funcionamiento, mantenimiento y uso del activo. És a quien responsabilizar si el uso del activo es inadecuado, ocurren incidentes y la organización se ve afectada negativamente.
Tiene que ser el responsable más directo con un mínimo de responsabilidad delegada.</t>
        </is>
      </c>
    </row>
    <row r="16" ht="234.75" customHeight="1">
      <c r="A16" s="95" t="inlineStr">
        <is>
          <t>Valor del Activo:
-Disponibilidad
-Integridad
-Confidencialidad
- Autenticidad
- Trazabilidad</t>
        </is>
      </c>
      <c r="B16" s="197" t="inlineStr">
        <is>
          <t>Valor del activo para el negocio atendiendo a su criticidad para el negocio en cuanto a alguno de los siguientes aspectos:
- (D) Disponibilidad: Propiedad o característica de los activos consistente en que las entidades o procesos autorizados tienen acceso a los mismos cuando lo requieren..
Se deriva del RTO del servicio, aunque también se deberá tener el cuenta el % de disponibilidadad pactado en los SLA.
- (I) Integridad: Propiedad o característica consistente en que el activo de información no ha sido alterado de manera no autorizada. Tiene una cierta relación con el RPO
- (C) Confidencialidad: Propiedad  o  característica  consistente  en  que  la  información  ni  se  pone  a  disposición,  ni  se  revela  a  individuos, entidades o procesos no autorizados. Tiene que ser coherente con la Clasificación de Confidencialidad
- (A) Autenticidad: Propiedad  o  característica  consistente  en  que  una entidad es quien dice ser o bien que garantiza la fuente de la que proceden los datos.
- (T) Trazabilidad: Propiedad  o  característica  consistente  en  que  las actuaciones de una entidad pueden ser imputadas exclusivamente a dicha entidad.
No todos los activos tienen que tener un valor en todos los aspectos. Por ejemplo un equipo de HW probablemente solamente tiene valor por su disponibilidad, pero podria ser importante también para la confidencialidad e integridad si contiene datos, por ejemplo un aparato de medición.
Se debe dejar en blanco las columnas que no aplican a este activo.</t>
        </is>
      </c>
    </row>
    <row r="17" ht="41.25" customHeight="1" thickBot="1">
      <c r="A17" s="96" t="inlineStr">
        <is>
          <t>Notas</t>
        </is>
      </c>
      <c r="B17" s="27" t="inlineStr">
        <is>
          <t>Mantener notas sobre los activos, p. ej.  los factores que se han tenido en cuenta y su razonamiento, incluidos los supuestos importantes ya que es especialmente importante a medida que el registro de activos se hace más grande, más personas se involucran en las evaluaciones y más tiempo ha pasado desde que se hizo la valoración</t>
        </is>
      </c>
    </row>
    <row r="18">
      <c r="A18" s="26" t="n"/>
      <c r="B18" s="25" t="n"/>
    </row>
    <row r="19" ht="51.75" customHeight="1">
      <c r="A19" s="26" t="n"/>
      <c r="B19" s="25" t="inlineStr">
        <is>
          <t>NOTA 1: La Valoración del Activo se debe realizar con la perspectiva del Negocio. El valor del equipo para el negocio no és su valor de compra, sinó el valor repercutido respondiendo a su importancia para proporcionar un servicio necesario para desarrollar algún proceso de negocio. Por ejemplo, un Router puede valer menos de 100€ pero si  la compañía depende de él para cursar las comunicaciones con las que dar servicio a los clientes, entonces su valor es muy alto.</t>
        </is>
      </c>
    </row>
    <row r="20">
      <c r="A20" s="26" t="n"/>
      <c r="B20" s="25" t="n"/>
    </row>
    <row r="21" ht="24" customHeight="1">
      <c r="A21" s="26" t="n"/>
      <c r="B21" s="25" t="inlineStr">
        <is>
          <t>NOTA 2: Se debe guardar evidencia de que los responsables de los equipos han aprobado esta valoración</t>
        </is>
      </c>
    </row>
    <row r="22">
      <c r="A22" s="24" t="n"/>
      <c r="B22" s="23" t="n"/>
    </row>
    <row r="25">
      <c r="I25" s="22" t="n">
        <v>24</v>
      </c>
    </row>
    <row r="26">
      <c r="I26" s="22" t="n">
        <v>24</v>
      </c>
    </row>
    <row r="27">
      <c r="I27" s="22" t="n">
        <v>24</v>
      </c>
    </row>
    <row r="28">
      <c r="I28" s="22" t="n">
        <v>24</v>
      </c>
    </row>
    <row r="29">
      <c r="I29" s="22" t="n">
        <v>24</v>
      </c>
    </row>
    <row r="30">
      <c r="I30" s="22" t="n">
        <v>24</v>
      </c>
    </row>
    <row r="32">
      <c r="I32" s="22" t="n">
        <v>24</v>
      </c>
    </row>
    <row r="33">
      <c r="I33" s="22" t="n">
        <v>24</v>
      </c>
    </row>
    <row r="34">
      <c r="I34" s="22" t="n">
        <v>24</v>
      </c>
    </row>
    <row r="35">
      <c r="I35" s="22" t="n">
        <v>24</v>
      </c>
    </row>
    <row r="36">
      <c r="I36" s="22" t="n">
        <v>24</v>
      </c>
    </row>
    <row r="37">
      <c r="I37" s="22" t="n">
        <v>24</v>
      </c>
    </row>
    <row r="38">
      <c r="I38" s="22" t="n">
        <v>24</v>
      </c>
    </row>
    <row r="39">
      <c r="I39" s="22" t="n">
        <v>24</v>
      </c>
    </row>
    <row r="40">
      <c r="I40" s="22" t="n">
        <v>24</v>
      </c>
    </row>
    <row r="41">
      <c r="I41" s="22" t="n">
        <v>24</v>
      </c>
    </row>
    <row r="42">
      <c r="I42" s="22" t="n">
        <v>24</v>
      </c>
    </row>
    <row r="48">
      <c r="I48" s="22" t="n">
        <v>24</v>
      </c>
    </row>
    <row r="49">
      <c r="I49" s="22" t="n">
        <v>24</v>
      </c>
    </row>
    <row r="50">
      <c r="I50" s="22" t="n">
        <v>24</v>
      </c>
    </row>
    <row r="51">
      <c r="I51" s="22" t="n">
        <v>24</v>
      </c>
    </row>
    <row r="52">
      <c r="I52" s="22" t="n">
        <v>24</v>
      </c>
    </row>
  </sheetData>
  <mergeCells count="2">
    <mergeCell ref="A2:B2"/>
    <mergeCell ref="A1:B1"/>
  </mergeCells>
  <pageMargins left="0.7" right="0.7" top="0.75" bottom="0.75" header="0" footer="0"/>
  <pageSetup orientation="landscape" scale="62" fitToHeight="0"/>
</worksheet>
</file>

<file path=xl/worksheets/sheet3.xml><?xml version="1.0" encoding="utf-8"?>
<worksheet xmlns="http://schemas.openxmlformats.org/spreadsheetml/2006/main">
  <sheetPr>
    <outlinePr summaryBelow="1" summaryRight="1"/>
    <pageSetUpPr fitToPage="1"/>
  </sheetPr>
  <dimension ref="A1:AH10"/>
  <sheetViews>
    <sheetView zoomScale="80" zoomScaleNormal="80" workbookViewId="0">
      <pane xSplit="2" ySplit="3" topLeftCell="C4" activePane="bottomRight" state="frozen"/>
      <selection pane="bottomRight" activeCell="B9" sqref="B9"/>
      <selection pane="bottomLeft" activeCell="D35" sqref="D35"/>
      <selection pane="topRight" activeCell="D35" sqref="D35"/>
    </sheetView>
  </sheetViews>
  <sheetFormatPr baseColWidth="8" defaultColWidth="14.28515625" defaultRowHeight="15" customHeight="1"/>
  <cols>
    <col width="5.7109375" customWidth="1" min="1" max="1"/>
    <col width="67.28515625" bestFit="1" customWidth="1" min="2" max="2"/>
    <col width="25.28515625" customWidth="1" min="3" max="3"/>
    <col width="35.140625" customWidth="1" min="4" max="4"/>
    <col width="77.28515625" customWidth="1" min="5" max="5"/>
    <col width="55" customWidth="1" min="6" max="6"/>
    <col width="22.28515625" customWidth="1" min="7" max="7"/>
    <col width="11.7109375" customWidth="1" min="8" max="9"/>
    <col width="9.28515625" customWidth="1" min="10" max="10"/>
    <col width="8.28515625" customWidth="1" min="11" max="14"/>
    <col width="13.28515625" customWidth="1" min="15" max="15"/>
    <col width="7.7109375" customWidth="1" style="63" min="16" max="20"/>
    <col width="11.28515625" customWidth="1" style="63" min="21" max="22"/>
    <col width="42.28515625" customWidth="1" min="23" max="23"/>
    <col width="9.140625" customWidth="1" min="24" max="34"/>
  </cols>
  <sheetData>
    <row r="1" ht="64.5" customHeight="1">
      <c r="A1" s="280" t="n"/>
      <c r="B1" s="281" t="n"/>
      <c r="C1" s="211" t="inlineStr">
        <is>
          <t>VALORACIÓN DE ACTIVOS DE SERVICIOS PROPORCIONADOS</t>
        </is>
      </c>
      <c r="D1" s="282" t="n"/>
      <c r="E1" s="282" t="n"/>
      <c r="F1" s="282" t="n"/>
      <c r="G1" s="282" t="n"/>
      <c r="H1" s="212" t="n"/>
      <c r="I1" s="282" t="n"/>
      <c r="J1" s="255" t="n"/>
      <c r="K1" s="283" t="n"/>
      <c r="L1" s="283" t="n"/>
      <c r="M1" s="283" t="n"/>
      <c r="N1" s="283" t="n"/>
      <c r="O1" s="283" t="n"/>
      <c r="P1" s="209" t="n"/>
      <c r="Q1" s="283" t="n"/>
      <c r="R1" s="283" t="n"/>
      <c r="S1" s="283" t="n"/>
      <c r="T1" s="283" t="n"/>
      <c r="U1" s="283" t="n"/>
      <c r="V1" s="283" t="n"/>
      <c r="W1" s="64" t="n"/>
      <c r="X1" s="2" t="n"/>
      <c r="Y1" s="2" t="n"/>
      <c r="Z1" s="2" t="n"/>
      <c r="AA1" s="2" t="n"/>
      <c r="AB1" s="2" t="n"/>
      <c r="AC1" s="2" t="n"/>
      <c r="AD1" s="2" t="n"/>
      <c r="AE1" s="2" t="n"/>
      <c r="AF1" s="2" t="n"/>
      <c r="AG1" s="2" t="n"/>
      <c r="AH1" s="2" t="n"/>
    </row>
    <row r="2" ht="32.65" customHeight="1">
      <c r="A2" s="228" t="n"/>
      <c r="B2" s="254" t="n"/>
      <c r="C2" s="212" t="n"/>
      <c r="D2" s="254" t="n"/>
      <c r="E2" s="254" t="n"/>
      <c r="F2" s="254" t="n"/>
      <c r="G2" s="254" t="n"/>
      <c r="H2" s="212" t="n"/>
      <c r="I2" s="232" t="n"/>
      <c r="J2" s="208" t="inlineStr">
        <is>
          <t>Valoración del Activo</t>
        </is>
      </c>
      <c r="K2" s="284" t="n"/>
      <c r="L2" s="284" t="n"/>
      <c r="M2" s="284" t="n"/>
      <c r="N2" s="284" t="n"/>
      <c r="O2" s="285" t="n"/>
      <c r="P2" s="207" t="inlineStr">
        <is>
          <t>Categorización ENS</t>
        </is>
      </c>
      <c r="Q2" s="284" t="n"/>
      <c r="R2" s="284" t="n"/>
      <c r="S2" s="284" t="n"/>
      <c r="T2" s="284" t="n"/>
      <c r="U2" s="284" t="n"/>
      <c r="V2" s="285" t="n"/>
      <c r="W2" s="64" t="n"/>
      <c r="X2" s="2" t="n"/>
      <c r="Y2" s="2" t="n"/>
      <c r="Z2" s="2" t="n"/>
      <c r="AA2" s="2" t="n"/>
      <c r="AB2" s="2" t="n"/>
      <c r="AC2" s="2" t="n"/>
      <c r="AD2" s="2" t="n"/>
      <c r="AE2" s="2" t="n"/>
      <c r="AF2" s="2" t="n"/>
      <c r="AG2" s="2" t="n"/>
      <c r="AH2" s="2" t="n"/>
    </row>
    <row r="3" ht="96" customHeight="1">
      <c r="A3" s="103" t="inlineStr">
        <is>
          <t>ID</t>
        </is>
      </c>
      <c r="B3" s="158" t="inlineStr">
        <is>
          <t>Nombre</t>
        </is>
      </c>
      <c r="C3" s="158" t="inlineStr">
        <is>
          <t>Capa</t>
        </is>
      </c>
      <c r="D3" s="158" t="inlineStr">
        <is>
          <t>Grupo</t>
        </is>
      </c>
      <c r="E3" s="158" t="inlineStr">
        <is>
          <t>Descripción</t>
        </is>
      </c>
      <c r="F3" s="158" t="inlineStr">
        <is>
          <t>Activos Relacionados</t>
        </is>
      </c>
      <c r="G3" s="158" t="inlineStr">
        <is>
          <t>Propietario</t>
        </is>
      </c>
      <c r="H3" s="158" t="inlineStr">
        <is>
          <t>RTO (h)</t>
        </is>
      </c>
      <c r="I3" s="105" t="inlineStr">
        <is>
          <t>MTPD (h)</t>
        </is>
      </c>
      <c r="J3" s="134" t="inlineStr">
        <is>
          <t>Confidencialidad</t>
        </is>
      </c>
      <c r="K3" s="135" t="inlineStr">
        <is>
          <t>Integridad</t>
        </is>
      </c>
      <c r="L3" s="106" t="inlineStr">
        <is>
          <t>Disponibilidad</t>
        </is>
      </c>
      <c r="M3" s="135" t="inlineStr">
        <is>
          <t>Autenticidad</t>
        </is>
      </c>
      <c r="N3" s="135" t="inlineStr">
        <is>
          <t>Trazabilidad</t>
        </is>
      </c>
      <c r="O3" s="107" t="inlineStr">
        <is>
          <t>VALOR
ACTIVO</t>
        </is>
      </c>
      <c r="P3" s="154" t="inlineStr">
        <is>
          <t>Confidencialidad</t>
        </is>
      </c>
      <c r="Q3" s="155" t="inlineStr">
        <is>
          <t>Integridad</t>
        </is>
      </c>
      <c r="R3" s="109" t="inlineStr">
        <is>
          <t>Disponibilidad</t>
        </is>
      </c>
      <c r="S3" s="155" t="inlineStr">
        <is>
          <t>Autenticidad</t>
        </is>
      </c>
      <c r="T3" s="155" t="inlineStr">
        <is>
          <t>Trazabilidad</t>
        </is>
      </c>
      <c r="U3" s="110" t="inlineStr">
        <is>
          <t>NIVEL
ACTIVO</t>
        </is>
      </c>
      <c r="V3" s="111" t="inlineStr">
        <is>
          <t>CATEGORIA
ACTIVO</t>
        </is>
      </c>
      <c r="W3" s="112" t="inlineStr">
        <is>
          <t>Notas</t>
        </is>
      </c>
      <c r="X3" s="3" t="n"/>
      <c r="Y3" s="3" t="n"/>
      <c r="Z3" s="3" t="n"/>
      <c r="AA3" s="3" t="n"/>
      <c r="AB3" s="3" t="n"/>
      <c r="AC3" s="3" t="n"/>
      <c r="AD3" s="3" t="n"/>
      <c r="AE3" s="3" t="n"/>
      <c r="AF3" s="3" t="n"/>
      <c r="AG3" s="3" t="n"/>
      <c r="AH3" s="3" t="n"/>
    </row>
    <row r="4" ht="28.9" customHeight="1">
      <c r="A4" s="130" t="inlineStr">
        <is>
          <t>SP-1</t>
        </is>
      </c>
      <c r="B4" s="6" t="inlineStr">
        <is>
          <t>Consultoría estratégica para el sector público</t>
        </is>
      </c>
      <c r="C4" s="5" t="inlineStr">
        <is>
          <t>Negocio</t>
        </is>
      </c>
      <c r="D4" s="6" t="inlineStr">
        <is>
          <t>SP-Servicios a clientes</t>
        </is>
      </c>
      <c r="E4" s="6" t="inlineStr">
        <is>
          <t>Análisis de procedimientos de gestión, estudios específicos, planes de acción, planes estratégicos, etc, vinculados con el despliegue de la IA en las organizaciones públicas.</t>
        </is>
      </c>
      <c r="F4" s="6" t="n"/>
      <c r="G4" s="151" t="inlineStr">
        <is>
          <t>Jordi Roca</t>
        </is>
      </c>
      <c r="H4" s="152" t="inlineStr">
        <is>
          <t>1s</t>
        </is>
      </c>
      <c r="I4" s="153" t="inlineStr">
        <is>
          <t>2s</t>
        </is>
      </c>
      <c r="J4" s="136" t="n"/>
      <c r="K4" s="137" t="n"/>
      <c r="L4" s="35" t="n">
        <v>2</v>
      </c>
      <c r="M4" s="137" t="n"/>
      <c r="N4" s="137" t="n"/>
      <c r="O4" s="9">
        <f>IF(OR(J4&lt;&gt;"",K4&lt;&gt;"",L4&lt;&gt;"",N4&lt;&gt;"",M4&lt;&gt;""),MAX(J4:N4),"")</f>
        <v/>
      </c>
      <c r="P4" s="138">
        <f>IF(J4="","",VLOOKUP(J4,Valor_Actiu_NivellENS,2,FALSE))</f>
        <v/>
      </c>
      <c r="Q4" s="138">
        <f>IF(K4="","",VLOOKUP(K4,Valor_Actiu_NivellENS,2,FALSE))</f>
        <v/>
      </c>
      <c r="R4" s="76">
        <f>IF(L4="","",VLOOKUP(L4,Valor_Actiu_NivellENS,2,FALSE))</f>
        <v/>
      </c>
      <c r="S4" s="138">
        <f>IF(M4="","",VLOOKUP(M4,Valor_Actiu_NivellENS,2,FALSE))</f>
        <v/>
      </c>
      <c r="T4" s="138">
        <f>IF(N4="","",VLOOKUP(N4,Valor_Actiu_NivellENS,2,FALSE))</f>
        <v/>
      </c>
      <c r="U4" s="72">
        <f>IF(OR(P4&lt;&gt;"",Q4&lt;&gt;"",R4&lt;&gt;"",T4&lt;&gt;"",S4&lt;&gt;""),MAX(P4:T4),"")</f>
        <v/>
      </c>
      <c r="V4" s="73">
        <f>VLOOKUP(U4,NivellENS_Categoria,2,FALSE)</f>
        <v/>
      </c>
      <c r="W4" s="33" t="n"/>
      <c r="X4" s="10" t="n"/>
      <c r="Y4" s="10" t="n"/>
      <c r="Z4" s="10" t="n"/>
      <c r="AA4" s="10" t="n"/>
      <c r="AB4" s="10" t="n"/>
      <c r="AC4" s="10" t="n"/>
      <c r="AD4" s="10" t="n"/>
      <c r="AE4" s="10" t="n"/>
      <c r="AF4" s="10" t="n"/>
      <c r="AG4" s="10" t="n"/>
      <c r="AH4" s="10" t="n"/>
    </row>
    <row r="5" ht="28.9" customHeight="1">
      <c r="A5" s="130" t="inlineStr">
        <is>
          <t>SP-2</t>
        </is>
      </c>
      <c r="B5" s="6" t="inlineStr">
        <is>
          <t>Desarrollo de soluciones IA</t>
        </is>
      </c>
      <c r="C5" s="5" t="inlineStr">
        <is>
          <t>Negocio</t>
        </is>
      </c>
      <c r="D5" s="6" t="inlineStr">
        <is>
          <t>SP-Servicios a clientes</t>
        </is>
      </c>
      <c r="E5" s="6" t="inlineStr">
        <is>
          <t>Servicios de desarrollo de aplicaciones ad-hoc basadas en LLM y otras tecnologias de Inteligencia Artificial, principalmente para la mejora de procesos en el sector público</t>
        </is>
      </c>
      <c r="F5" s="6" t="n"/>
      <c r="G5" s="151" t="inlineStr">
        <is>
          <t>Marc Muixí</t>
        </is>
      </c>
      <c r="H5" s="152" t="inlineStr">
        <is>
          <t>1s</t>
        </is>
      </c>
      <c r="I5" s="153" t="inlineStr">
        <is>
          <t>2s</t>
        </is>
      </c>
      <c r="J5" s="136" t="n"/>
      <c r="K5" s="137" t="n"/>
      <c r="L5" s="35" t="n">
        <v>2</v>
      </c>
      <c r="M5" s="137" t="n"/>
      <c r="N5" s="137" t="n"/>
      <c r="O5" s="9">
        <f>IF(OR(J5&lt;&gt;"",K5&lt;&gt;"",L5&lt;&gt;"",N5&lt;&gt;"",M5&lt;&gt;""),MAX(J5:N5),"")</f>
        <v/>
      </c>
      <c r="P5" s="138">
        <f>IF(J5="","",VLOOKUP(J5,Valor_Actiu_NivellENS,2,FALSE))</f>
        <v/>
      </c>
      <c r="Q5" s="138">
        <f>IF(K5="","",VLOOKUP(K5,Valor_Actiu_NivellENS,2,FALSE))</f>
        <v/>
      </c>
      <c r="R5" s="76">
        <f>IF(L5="","",VLOOKUP(L5,Valor_Actiu_NivellENS,2,FALSE))</f>
        <v/>
      </c>
      <c r="S5" s="138">
        <f>IF(M5="","",VLOOKUP(M5,Valor_Actiu_NivellENS,2,FALSE))</f>
        <v/>
      </c>
      <c r="T5" s="138">
        <f>IF(N5="","",VLOOKUP(N5,Valor_Actiu_NivellENS,2,FALSE))</f>
        <v/>
      </c>
      <c r="U5" s="72">
        <f>IF(OR(P5&lt;&gt;"",Q5&lt;&gt;"",R5&lt;&gt;"",T5&lt;&gt;"",S5&lt;&gt;""),MAX(P5:T5),"")</f>
        <v/>
      </c>
      <c r="V5" s="73">
        <f>VLOOKUP(U5,NivellENS_Categoria,2,FALSE)</f>
        <v/>
      </c>
      <c r="W5" s="33" t="n"/>
      <c r="X5" s="10" t="n"/>
      <c r="Y5" s="10" t="n"/>
      <c r="Z5" s="10" t="n"/>
      <c r="AA5" s="10" t="n"/>
      <c r="AB5" s="10" t="n"/>
      <c r="AC5" s="10" t="n"/>
      <c r="AD5" s="10" t="n"/>
      <c r="AE5" s="10" t="n"/>
      <c r="AF5" s="10" t="n"/>
      <c r="AG5" s="10" t="n"/>
      <c r="AH5" s="10" t="n"/>
    </row>
    <row r="6" ht="28.9" customHeight="1">
      <c r="A6" s="130" t="inlineStr">
        <is>
          <t>SP-3</t>
        </is>
      </c>
      <c r="B6" s="6" t="inlineStr">
        <is>
          <t>Explotación de plataformas tecnológicas de soluciones IA</t>
        </is>
      </c>
      <c r="C6" s="5" t="inlineStr">
        <is>
          <t>Negocio</t>
        </is>
      </c>
      <c r="D6" s="6" t="inlineStr">
        <is>
          <t>SP-Servicios a clientes
SP-Soluciones tecnológicas</t>
        </is>
      </c>
      <c r="E6" s="6" t="inlineStr">
        <is>
          <t xml:space="preserve">Servicios de desarrollo de plataforma SaaS, con agregación de diferentes funcionalidades, y comercialización y explotación de las mismas. </t>
        </is>
      </c>
      <c r="F6" s="6" t="n"/>
      <c r="G6" s="151" t="inlineStr">
        <is>
          <t>Marc Muixí</t>
        </is>
      </c>
      <c r="H6" s="152" t="inlineStr">
        <is>
          <t>1d</t>
        </is>
      </c>
      <c r="I6" s="153" t="inlineStr">
        <is>
          <t>4d</t>
        </is>
      </c>
      <c r="J6" s="136" t="n"/>
      <c r="K6" s="137" t="n"/>
      <c r="L6" s="35" t="n">
        <v>3</v>
      </c>
      <c r="M6" s="137" t="n"/>
      <c r="N6" s="137" t="n"/>
      <c r="O6" s="9">
        <f>IF(OR(J6&lt;&gt;"",K6&lt;&gt;"",L6&lt;&gt;"",N6&lt;&gt;"",M6&lt;&gt;""),MAX(J6:N6),"")</f>
        <v/>
      </c>
      <c r="P6" s="138">
        <f>IF(J6="","",VLOOKUP(J6,Valor_Actiu_NivellENS,2,FALSE))</f>
        <v/>
      </c>
      <c r="Q6" s="138">
        <f>IF(K6="","",VLOOKUP(K6,Valor_Actiu_NivellENS,2,FALSE))</f>
        <v/>
      </c>
      <c r="R6" s="76">
        <f>IF(L6="","",VLOOKUP(L6,Valor_Actiu_NivellENS,2,FALSE))</f>
        <v/>
      </c>
      <c r="S6" s="138">
        <f>IF(M6="","",VLOOKUP(M6,Valor_Actiu_NivellENS,2,FALSE))</f>
        <v/>
      </c>
      <c r="T6" s="138">
        <f>IF(N6="","",VLOOKUP(N6,Valor_Actiu_NivellENS,2,FALSE))</f>
        <v/>
      </c>
      <c r="U6" s="72">
        <f>IF(OR(P6&lt;&gt;"",Q6&lt;&gt;"",R6&lt;&gt;"",T6&lt;&gt;"",S6&lt;&gt;""),MAX(P6:T6),"")</f>
        <v/>
      </c>
      <c r="V6" s="73">
        <f>VLOOKUP(U6,NivellENS_Categoria,2,FALSE)</f>
        <v/>
      </c>
      <c r="W6" s="33" t="n"/>
      <c r="X6" s="10" t="n"/>
      <c r="Y6" s="10" t="n"/>
      <c r="Z6" s="10" t="n"/>
      <c r="AA6" s="10" t="n"/>
      <c r="AB6" s="10" t="n"/>
      <c r="AC6" s="10" t="n"/>
      <c r="AD6" s="10" t="n"/>
      <c r="AE6" s="10" t="n"/>
      <c r="AF6" s="10" t="n"/>
      <c r="AG6" s="10" t="n"/>
      <c r="AH6" s="10" t="n"/>
    </row>
    <row r="7" ht="28.9" customHeight="1">
      <c r="A7" s="130" t="inlineStr">
        <is>
          <t>SP-4</t>
        </is>
      </c>
      <c r="B7" s="6" t="inlineStr">
        <is>
          <t>Soporte y mantenimiento de las soluciones IA</t>
        </is>
      </c>
      <c r="C7" s="5" t="inlineStr">
        <is>
          <t>Negocio</t>
        </is>
      </c>
      <c r="D7" s="6" t="inlineStr">
        <is>
          <t>SP-Servicios a clientes
SP-Soluciones tecnológicas</t>
        </is>
      </c>
      <c r="E7" s="6" t="inlineStr">
        <is>
          <t>Soporte a las consultas e incidentes de los clientes y mantenimiento de la instalación.</t>
        </is>
      </c>
      <c r="F7" s="6" t="n"/>
      <c r="G7" s="151" t="inlineStr">
        <is>
          <t>Marc Muixí</t>
        </is>
      </c>
      <c r="H7" s="152" t="inlineStr">
        <is>
          <t>1d</t>
        </is>
      </c>
      <c r="I7" s="153" t="inlineStr">
        <is>
          <t>4d</t>
        </is>
      </c>
      <c r="J7" s="136" t="n"/>
      <c r="K7" s="137" t="n"/>
      <c r="L7" s="35" t="n">
        <v>3</v>
      </c>
      <c r="M7" s="137" t="n"/>
      <c r="N7" s="137" t="n"/>
      <c r="O7" s="9">
        <f>IF(OR(J7&lt;&gt;"",K7&lt;&gt;"",L7&lt;&gt;"",N7&lt;&gt;"",M7&lt;&gt;""),MAX(J7:N7),"")</f>
        <v/>
      </c>
      <c r="P7" s="138">
        <f>IF(J7="","",VLOOKUP(J7,Valor_Actiu_NivellENS,2,FALSE))</f>
        <v/>
      </c>
      <c r="Q7" s="138">
        <f>IF(K7="","",VLOOKUP(K7,Valor_Actiu_NivellENS,2,FALSE))</f>
        <v/>
      </c>
      <c r="R7" s="76">
        <f>IF(L7="","",VLOOKUP(L7,Valor_Actiu_NivellENS,2,FALSE))</f>
        <v/>
      </c>
      <c r="S7" s="138">
        <f>IF(M7="","",VLOOKUP(M7,Valor_Actiu_NivellENS,2,FALSE))</f>
        <v/>
      </c>
      <c r="T7" s="138">
        <f>IF(N7="","",VLOOKUP(N7,Valor_Actiu_NivellENS,2,FALSE))</f>
        <v/>
      </c>
      <c r="U7" s="72">
        <f>IF(OR(P7&lt;&gt;"",Q7&lt;&gt;"",R7&lt;&gt;"",T7&lt;&gt;"",S7&lt;&gt;""),MAX(P7:T7),"")</f>
        <v/>
      </c>
      <c r="V7" s="73">
        <f>VLOOKUP(U7,NivellENS_Categoria,2,FALSE)</f>
        <v/>
      </c>
      <c r="W7" s="33" t="n"/>
      <c r="X7" s="10" t="n"/>
      <c r="Y7" s="10" t="n"/>
      <c r="Z7" s="10" t="n"/>
      <c r="AA7" s="10" t="n"/>
      <c r="AB7" s="10" t="n"/>
      <c r="AC7" s="10" t="n"/>
      <c r="AD7" s="10" t="n"/>
      <c r="AE7" s="10" t="n"/>
      <c r="AF7" s="10" t="n"/>
      <c r="AG7" s="10" t="n"/>
      <c r="AH7" s="10" t="n"/>
    </row>
    <row r="8" ht="55.15" customHeight="1">
      <c r="A8" s="130" t="inlineStr">
        <is>
          <t>SP-6</t>
        </is>
      </c>
      <c r="B8" s="6" t="inlineStr">
        <is>
          <t>Servicios internos de gestión comercial, administración y de soporte</t>
        </is>
      </c>
      <c r="C8" s="5" t="inlineStr">
        <is>
          <t>Servicios Internos</t>
        </is>
      </c>
      <c r="D8" s="6" t="inlineStr">
        <is>
          <t>SP-Servicios corporativos</t>
        </is>
      </c>
      <c r="E8" s="6" t="inlineStr">
        <is>
          <t>Servicios de soporte a la gestión de los servicios de  la empresa, que incluye los procesos comercial, contratación, facturación, cobros, etc.
Si bien directamente no están dentro del alcance, en algunos casos pueden ser de apoyo, por ejemplo, por el hecho de que los contratos determinan las condiciones del servicio.</t>
        </is>
      </c>
      <c r="F8" s="6" t="n"/>
      <c r="G8" s="151" t="inlineStr">
        <is>
          <t>Jordi Roca</t>
        </is>
      </c>
      <c r="H8" s="152" t="inlineStr">
        <is>
          <t>1s</t>
        </is>
      </c>
      <c r="I8" s="153" t="inlineStr">
        <is>
          <t>1m</t>
        </is>
      </c>
      <c r="J8" s="136" t="n"/>
      <c r="K8" s="137" t="n"/>
      <c r="L8" s="35" t="n">
        <v>2</v>
      </c>
      <c r="M8" s="137" t="n"/>
      <c r="N8" s="137" t="n"/>
      <c r="O8" s="9">
        <f>IF(OR(J8&lt;&gt;"",K8&lt;&gt;"",L8&lt;&gt;"",N8&lt;&gt;"",M8&lt;&gt;""),MAX(J8:N8),"")</f>
        <v/>
      </c>
      <c r="P8" s="138">
        <f>IF(J8="","",VLOOKUP(J8,Valor_Actiu_NivellENS,2,FALSE))</f>
        <v/>
      </c>
      <c r="Q8" s="138">
        <f>IF(K8="","",VLOOKUP(K8,Valor_Actiu_NivellENS,2,FALSE))</f>
        <v/>
      </c>
      <c r="R8" s="76">
        <f>IF(L8="","",VLOOKUP(L8,Valor_Actiu_NivellENS,2,FALSE))</f>
        <v/>
      </c>
      <c r="S8" s="138">
        <f>IF(M8="","",VLOOKUP(M8,Valor_Actiu_NivellENS,2,FALSE))</f>
        <v/>
      </c>
      <c r="T8" s="138">
        <f>IF(N8="","",VLOOKUP(N8,Valor_Actiu_NivellENS,2,FALSE))</f>
        <v/>
      </c>
      <c r="U8" s="72">
        <f>IF(OR(P8&lt;&gt;"",Q8&lt;&gt;"",R8&lt;&gt;"",T8&lt;&gt;"",S8&lt;&gt;""),MAX(P8:T8),"")</f>
        <v/>
      </c>
      <c r="V8" s="73">
        <f>VLOOKUP(U8,NivellENS_Categoria,2,FALSE)</f>
        <v/>
      </c>
      <c r="W8" s="33" t="n"/>
      <c r="X8" s="10" t="n"/>
      <c r="Y8" s="10" t="n"/>
      <c r="Z8" s="10" t="n"/>
      <c r="AA8" s="10" t="n"/>
      <c r="AB8" s="10" t="n"/>
      <c r="AC8" s="10" t="n"/>
      <c r="AD8" s="10" t="n"/>
      <c r="AE8" s="10" t="n"/>
      <c r="AF8" s="10" t="n"/>
      <c r="AG8" s="10" t="n"/>
      <c r="AH8" s="10" t="n"/>
    </row>
    <row r="9" ht="28.9" customHeight="1">
      <c r="A9" s="130" t="inlineStr">
        <is>
          <t>SP-7</t>
        </is>
      </c>
      <c r="B9" s="6" t="inlineStr">
        <is>
          <t>Gestión de infraestructura de plataformas tecnológicas</t>
        </is>
      </c>
      <c r="C9" s="5" t="inlineStr">
        <is>
          <t>Servicios Internos</t>
        </is>
      </c>
      <c r="D9" s="6" t="inlineStr">
        <is>
          <t>SP-Servicios IT</t>
        </is>
      </c>
      <c r="E9" s="6" t="inlineStr">
        <is>
          <t>Gestión de la infraestructura de la plataforma tecnológica de soluciones IA</t>
        </is>
      </c>
      <c r="F9" s="6" t="inlineStr">
        <is>
          <t>SP-3 Explotación de plataformas tecnológicas de soluciones IA</t>
        </is>
      </c>
      <c r="G9" s="151" t="inlineStr">
        <is>
          <t>Marc Muixí</t>
        </is>
      </c>
      <c r="H9" s="152" t="inlineStr">
        <is>
          <t>1d</t>
        </is>
      </c>
      <c r="I9" s="153" t="inlineStr">
        <is>
          <t>4d</t>
        </is>
      </c>
      <c r="J9" s="136" t="n"/>
      <c r="K9" s="137" t="n"/>
      <c r="L9" s="35" t="n">
        <v>3</v>
      </c>
      <c r="M9" s="137" t="n"/>
      <c r="N9" s="137" t="n"/>
      <c r="O9" s="9">
        <f>IF(OR(J9&lt;&gt;"",K9&lt;&gt;"",L9&lt;&gt;"",N9&lt;&gt;"",M9&lt;&gt;""),MAX(J9:N9),"")</f>
        <v/>
      </c>
      <c r="P9" s="138">
        <f>IF(J9="","",VLOOKUP(J9,Valor_Actiu_NivellENS,2,FALSE))</f>
        <v/>
      </c>
      <c r="Q9" s="138">
        <f>IF(K9="","",VLOOKUP(K9,Valor_Actiu_NivellENS,2,FALSE))</f>
        <v/>
      </c>
      <c r="R9" s="76">
        <f>IF(L9="","",VLOOKUP(L9,Valor_Actiu_NivellENS,2,FALSE))</f>
        <v/>
      </c>
      <c r="S9" s="138">
        <f>IF(M9="","",VLOOKUP(M9,Valor_Actiu_NivellENS,2,FALSE))</f>
        <v/>
      </c>
      <c r="T9" s="138">
        <f>IF(N9="","",VLOOKUP(N9,Valor_Actiu_NivellENS,2,FALSE))</f>
        <v/>
      </c>
      <c r="U9" s="72">
        <f>IF(OR(P9&lt;&gt;"",Q9&lt;&gt;"",R9&lt;&gt;"",T9&lt;&gt;"",S9&lt;&gt;""),MAX(P9:T9),"")</f>
        <v/>
      </c>
      <c r="V9" s="73">
        <f>VLOOKUP(U9,NivellENS_Categoria,2,FALSE)</f>
        <v/>
      </c>
      <c r="W9" s="33" t="n"/>
      <c r="X9" s="10" t="n"/>
      <c r="Y9" s="10" t="n"/>
      <c r="Z9" s="10" t="n"/>
      <c r="AA9" s="10" t="n"/>
      <c r="AB9" s="10" t="n"/>
      <c r="AC9" s="10" t="n"/>
      <c r="AD9" s="10" t="n"/>
      <c r="AE9" s="10" t="n"/>
      <c r="AF9" s="10" t="n"/>
      <c r="AG9" s="10" t="n"/>
      <c r="AH9" s="10" t="n"/>
    </row>
    <row r="10" ht="34.15" customHeight="1">
      <c r="A10" s="130" t="inlineStr">
        <is>
          <t>SP-8</t>
        </is>
      </c>
      <c r="B10" s="6" t="inlineStr">
        <is>
          <t>Servicios informática interna</t>
        </is>
      </c>
      <c r="C10" s="5" t="inlineStr">
        <is>
          <t>Servicios Internos</t>
        </is>
      </c>
      <c r="D10" s="6" t="inlineStr">
        <is>
          <t>SP-Servicios IT</t>
        </is>
      </c>
      <c r="E10" s="6" t="inlineStr">
        <is>
          <t>Servicios de informática a usuarios internos (correo electrónico, equipos de trabajo, ofimática, ...)</t>
        </is>
      </c>
      <c r="F10" s="6" t="inlineStr">
        <is>
          <t>SP-Servicios a clientes
SP-Servicios corporativos</t>
        </is>
      </c>
      <c r="G10" s="151" t="inlineStr">
        <is>
          <t>Marc Muixí</t>
        </is>
      </c>
      <c r="H10" s="152" t="inlineStr">
        <is>
          <t>1s</t>
        </is>
      </c>
      <c r="I10" s="153" t="inlineStr">
        <is>
          <t>2s</t>
        </is>
      </c>
      <c r="J10" s="136" t="n"/>
      <c r="K10" s="137" t="n"/>
      <c r="L10" s="35" t="n">
        <v>2</v>
      </c>
      <c r="M10" s="137" t="n"/>
      <c r="N10" s="137" t="n"/>
      <c r="O10" s="9">
        <f>IF(OR(J10&lt;&gt;"",K10&lt;&gt;"",L10&lt;&gt;"",N10&lt;&gt;"",M10&lt;&gt;""),MAX(J10:N10),"")</f>
        <v/>
      </c>
      <c r="P10" s="138">
        <f>IF(J10="","",VLOOKUP(J10,Valor_Actiu_NivellENS,2,FALSE))</f>
        <v/>
      </c>
      <c r="Q10" s="138">
        <f>IF(K10="","",VLOOKUP(K10,Valor_Actiu_NivellENS,2,FALSE))</f>
        <v/>
      </c>
      <c r="R10" s="76">
        <f>IF(L10="","",VLOOKUP(L10,Valor_Actiu_NivellENS,2,FALSE))</f>
        <v/>
      </c>
      <c r="S10" s="138">
        <f>IF(M10="","",VLOOKUP(M10,Valor_Actiu_NivellENS,2,FALSE))</f>
        <v/>
      </c>
      <c r="T10" s="138">
        <f>IF(N10="","",VLOOKUP(N10,Valor_Actiu_NivellENS,2,FALSE))</f>
        <v/>
      </c>
      <c r="U10" s="72">
        <f>IF(OR(P10&lt;&gt;"",Q10&lt;&gt;"",R10&lt;&gt;"",T10&lt;&gt;"",S10&lt;&gt;""),MAX(P10:T10),"")</f>
        <v/>
      </c>
      <c r="V10" s="74">
        <f>VLOOKUP(U10,NivellENS_Categoria,2,FALSE)</f>
        <v/>
      </c>
      <c r="W10" s="33" t="n"/>
      <c r="X10" s="10" t="n"/>
      <c r="Y10" s="10" t="n"/>
      <c r="Z10" s="10" t="n"/>
      <c r="AA10" s="10" t="n"/>
      <c r="AB10" s="10" t="n"/>
      <c r="AC10" s="10" t="n"/>
      <c r="AD10" s="10" t="n"/>
      <c r="AE10" s="10" t="n"/>
      <c r="AF10" s="10" t="n"/>
      <c r="AG10" s="10" t="n"/>
      <c r="AH10" s="10" t="n"/>
    </row>
  </sheetData>
  <mergeCells count="7">
    <mergeCell ref="J1:O1"/>
    <mergeCell ref="J2:O2"/>
    <mergeCell ref="C1:G1"/>
    <mergeCell ref="H1:I1"/>
    <mergeCell ref="A1:B1"/>
    <mergeCell ref="P1:V1"/>
    <mergeCell ref="P2:V2"/>
  </mergeCells>
  <conditionalFormatting sqref="O4:O10">
    <cfRule type="colorScale" priority="4">
      <colorScale>
        <cfvo type="num" val="0"/>
        <cfvo type="num" val="3"/>
        <color rgb="FFFFEF9C"/>
        <color theme="5"/>
      </colorScale>
    </cfRule>
  </conditionalFormatting>
  <conditionalFormatting sqref="V4:V10">
    <cfRule type="cellIs" priority="1" operator="equal" dxfId="2">
      <formula>"ALTA"</formula>
    </cfRule>
    <cfRule type="cellIs" priority="2" operator="equal" dxfId="1">
      <formula>"BAJA"</formula>
    </cfRule>
    <cfRule type="cellIs" priority="3" operator="equal" dxfId="0">
      <formula>"MEDIA"</formula>
    </cfRule>
  </conditionalFormatting>
  <dataValidations count="2">
    <dataValidation sqref="C4:C10" showDropDown="0" showInputMessage="0" showErrorMessage="1" allowBlank="1" type="list">
      <formula1>Capa</formula1>
    </dataValidation>
    <dataValidation sqref="J4:N10" showDropDown="0" showInputMessage="0" showErrorMessage="1" allowBlank="1" type="list">
      <formula1>Impacte</formula1>
    </dataValidation>
  </dataValidations>
  <pageMargins left="0.7" right="0.7" top="0.75" bottom="0.75" header="0" footer="0"/>
  <pageSetup orientation="landscape" scale="31" fitToHeight="0"/>
</worksheet>
</file>

<file path=xl/worksheets/sheet4.xml><?xml version="1.0" encoding="utf-8"?>
<worksheet xmlns="http://schemas.openxmlformats.org/spreadsheetml/2006/main">
  <sheetPr>
    <outlinePr summaryBelow="1" summaryRight="1"/>
    <pageSetUpPr fitToPage="1"/>
  </sheetPr>
  <dimension ref="A1:AH22"/>
  <sheetViews>
    <sheetView topLeftCell="A3" zoomScale="80" zoomScaleNormal="80" workbookViewId="0">
      <selection activeCell="C9" sqref="C9:C15"/>
    </sheetView>
  </sheetViews>
  <sheetFormatPr baseColWidth="8" defaultColWidth="14.28515625" defaultRowHeight="15" customHeight="1"/>
  <cols>
    <col width="9.140625" customWidth="1" min="1" max="1"/>
    <col width="53.28515625" customWidth="1" min="2" max="2"/>
    <col width="28.28515625" customWidth="1" min="3" max="3"/>
    <col width="17.140625" customWidth="1" min="4" max="4"/>
    <col width="50.140625" customWidth="1" min="5" max="5"/>
    <col width="54" customWidth="1" min="6" max="6"/>
    <col width="23.42578125" customWidth="1" min="7" max="7"/>
    <col width="10.85546875" customWidth="1" style="29" min="8" max="8"/>
    <col width="17.28515625" customWidth="1" min="9" max="9"/>
    <col width="9.140625" customWidth="1" min="10" max="10"/>
    <col width="8.140625" customWidth="1" min="11" max="11"/>
    <col width="8" customWidth="1" min="12" max="12"/>
    <col width="8.140625" customWidth="1" min="13" max="14"/>
    <col width="14.140625" customWidth="1" min="15" max="15"/>
    <col width="7.7109375" customWidth="1" style="63" min="16" max="20"/>
    <col width="11.28515625" customWidth="1" style="63" min="21" max="22"/>
    <col width="42.28515625" customWidth="1" min="23" max="23"/>
    <col width="9.140625" customWidth="1" min="24" max="34"/>
  </cols>
  <sheetData>
    <row r="1" ht="52.9" customHeight="1">
      <c r="A1" s="147" t="n"/>
      <c r="B1" s="286" t="n"/>
      <c r="C1" s="211" t="inlineStr">
        <is>
          <t>VALORACIÓN DE ACTIVOS DE DATOS</t>
        </is>
      </c>
      <c r="D1" s="282" t="n"/>
      <c r="E1" s="282" t="n"/>
      <c r="F1" s="282" t="n"/>
      <c r="G1" s="8" t="n"/>
      <c r="H1" s="254" t="n"/>
      <c r="I1" s="254" t="n"/>
      <c r="J1" s="262" t="n"/>
      <c r="K1" s="215" t="n"/>
      <c r="L1" s="287" t="n"/>
      <c r="M1" s="287" t="n"/>
      <c r="N1" s="287" t="n"/>
      <c r="O1" s="287" t="n"/>
      <c r="P1" s="209" t="n"/>
      <c r="Q1" s="283" t="n"/>
      <c r="R1" s="283" t="n"/>
      <c r="S1" s="283" t="n"/>
      <c r="T1" s="283" t="n"/>
      <c r="U1" s="283" t="n"/>
      <c r="V1" s="283" t="n"/>
      <c r="W1" s="46" t="n"/>
    </row>
    <row r="2" ht="52.9" customHeight="1">
      <c r="A2" s="211" t="n"/>
      <c r="B2" s="254" t="n"/>
      <c r="C2" s="212" t="n"/>
      <c r="D2" s="254" t="n"/>
      <c r="E2" s="254" t="n"/>
      <c r="F2" s="254" t="n"/>
      <c r="G2" s="8" t="n"/>
      <c r="H2" s="254" t="n"/>
      <c r="I2" s="254" t="n"/>
      <c r="J2" s="213" t="inlineStr">
        <is>
          <t>Valoración del Activo</t>
        </is>
      </c>
      <c r="K2" s="284" t="n"/>
      <c r="L2" s="284" t="n"/>
      <c r="M2" s="284" t="n"/>
      <c r="N2" s="284" t="n"/>
      <c r="O2" s="288" t="n"/>
      <c r="P2" s="214" t="inlineStr">
        <is>
          <t>Categorización ENS</t>
        </is>
      </c>
      <c r="Q2" s="284" t="n"/>
      <c r="R2" s="284" t="n"/>
      <c r="S2" s="284" t="n"/>
      <c r="T2" s="284" t="n"/>
      <c r="U2" s="284" t="n"/>
      <c r="V2" s="288" t="n"/>
      <c r="W2" s="46" t="n"/>
    </row>
    <row r="3" ht="94.90000000000001" customFormat="1" customHeight="1" s="2">
      <c r="A3" s="99" t="inlineStr">
        <is>
          <t>ID</t>
        </is>
      </c>
      <c r="B3" s="99" t="inlineStr">
        <is>
          <t>Nombre</t>
        </is>
      </c>
      <c r="C3" s="99" t="inlineStr">
        <is>
          <t>Grupo</t>
        </is>
      </c>
      <c r="D3" s="99" t="inlineStr">
        <is>
          <t>Personales</t>
        </is>
      </c>
      <c r="E3" s="99" t="inlineStr">
        <is>
          <t>Descripción</t>
        </is>
      </c>
      <c r="F3" s="99" t="inlineStr">
        <is>
          <t>Activos Relacionados</t>
        </is>
      </c>
      <c r="G3" s="103" t="inlineStr">
        <is>
          <t>Responsable</t>
        </is>
      </c>
      <c r="H3" s="104" t="inlineStr">
        <is>
          <t>RPO (h)</t>
        </is>
      </c>
      <c r="I3" s="156" t="inlineStr">
        <is>
          <t>Clasificación de Confidencialidad</t>
        </is>
      </c>
      <c r="J3" s="160" t="inlineStr">
        <is>
          <t>Confidencialidad</t>
        </is>
      </c>
      <c r="K3" s="161" t="inlineStr">
        <is>
          <t>Integridad</t>
        </is>
      </c>
      <c r="L3" s="161" t="inlineStr">
        <is>
          <t>Disponibilidad</t>
        </is>
      </c>
      <c r="M3" s="161" t="inlineStr">
        <is>
          <t>Autenticidad</t>
        </is>
      </c>
      <c r="N3" s="161" t="inlineStr">
        <is>
          <t>Trazabilidad</t>
        </is>
      </c>
      <c r="O3" s="162" t="inlineStr">
        <is>
          <t>VALOR
ACTIVO</t>
        </is>
      </c>
      <c r="P3" s="108" t="inlineStr">
        <is>
          <t>Confidencialidad</t>
        </is>
      </c>
      <c r="Q3" s="109" t="inlineStr">
        <is>
          <t>Integridad</t>
        </is>
      </c>
      <c r="R3" s="109" t="inlineStr">
        <is>
          <t>Disponibilidad</t>
        </is>
      </c>
      <c r="S3" s="109" t="inlineStr">
        <is>
          <t>Autenticidad</t>
        </is>
      </c>
      <c r="T3" s="109" t="inlineStr">
        <is>
          <t>Trazabilidad</t>
        </is>
      </c>
      <c r="U3" s="110" t="inlineStr">
        <is>
          <t>NIVEL
ACTIVO</t>
        </is>
      </c>
      <c r="V3" s="159" t="inlineStr">
        <is>
          <t>CATEGORIA
ACTIVO</t>
        </is>
      </c>
      <c r="W3" s="119" t="inlineStr">
        <is>
          <t>Notas</t>
        </is>
      </c>
      <c r="X3" s="3" t="n"/>
      <c r="Y3" s="3" t="n"/>
      <c r="Z3" s="3" t="n"/>
      <c r="AA3" s="3" t="n"/>
      <c r="AB3" s="3" t="n"/>
      <c r="AC3" s="3" t="n"/>
      <c r="AD3" s="3" t="n"/>
      <c r="AE3" s="3" t="n"/>
      <c r="AF3" s="3" t="n"/>
      <c r="AG3" s="3" t="n"/>
      <c r="AH3" s="3" t="n"/>
    </row>
    <row r="4" ht="30.6" customFormat="1" customHeight="1" s="45">
      <c r="A4" s="42" t="inlineStr">
        <is>
          <t>D-1</t>
        </is>
      </c>
      <c r="B4" s="14" t="inlineStr">
        <is>
          <t>Documentación y datos públicos</t>
        </is>
      </c>
      <c r="C4" s="30" t="inlineStr">
        <is>
          <t>D-Datos Consultoria</t>
        </is>
      </c>
      <c r="D4" s="14" t="inlineStr">
        <is>
          <t>No</t>
        </is>
      </c>
      <c r="E4" s="30" t="inlineStr">
        <is>
          <t xml:space="preserve">Datos abiertos y públicos para la evaluación o generación de documentación de anàlisis y consultoria. </t>
        </is>
      </c>
      <c r="F4" s="30" t="inlineStr">
        <is>
          <t>SP-1 Consultoría estratégica para el sector público</t>
        </is>
      </c>
      <c r="G4" s="32" t="inlineStr">
        <is>
          <t>Jordi Roca</t>
        </is>
      </c>
      <c r="H4" s="34" t="inlineStr">
        <is>
          <t>N/A</t>
        </is>
      </c>
      <c r="I4" s="157" t="inlineStr">
        <is>
          <t>Pública (C0)</t>
        </is>
      </c>
      <c r="J4" s="34" t="n">
        <v>0</v>
      </c>
      <c r="K4" s="35" t="n">
        <v>1</v>
      </c>
      <c r="L4" s="137" t="n"/>
      <c r="M4" s="35" t="n">
        <v>2</v>
      </c>
      <c r="N4" s="35" t="n">
        <v>1</v>
      </c>
      <c r="O4" s="9">
        <f>IF(OR(J4&lt;&gt;"",K4&lt;&gt;"",L4&lt;&gt;"",N4&lt;&gt;"",M4&lt;&gt;""),MAX(J4:N4),"")</f>
        <v/>
      </c>
      <c r="P4" s="76">
        <f>IF(J4="","",VLOOKUP(J4,Valor_Actiu_NivellENS,2,FALSE))</f>
        <v/>
      </c>
      <c r="Q4" s="76">
        <f>IF(K4="","",VLOOKUP(K4,Valor_Actiu_NivellENS,2,FALSE))</f>
        <v/>
      </c>
      <c r="R4" s="138">
        <f>IF(L4="","",VLOOKUP(L4,Valor_Actiu_NivellENS,2,FALSE))</f>
        <v/>
      </c>
      <c r="S4" s="76">
        <f>IF(M4="","",VLOOKUP(M4,Valor_Actiu_NivellENS,2,FALSE))</f>
        <v/>
      </c>
      <c r="T4" s="76">
        <f>IF(N4="","",VLOOKUP(N4,Valor_Actiu_NivellENS,2,FALSE))</f>
        <v/>
      </c>
      <c r="U4" s="72">
        <f>IF(OR(P4&lt;&gt;"",Q4&lt;&gt;"",R4&lt;&gt;"",T4&lt;&gt;"",S4&lt;&gt;""),MAX(P4:T4),"")</f>
        <v/>
      </c>
      <c r="V4" s="73">
        <f>VLOOKUP(U4,NivellENS_Categoria,2,FALSE)</f>
        <v/>
      </c>
      <c r="W4" s="14" t="n"/>
      <c r="X4" s="44" t="n"/>
      <c r="Y4" s="44" t="n"/>
      <c r="Z4" s="44" t="n"/>
      <c r="AA4" s="44" t="n"/>
      <c r="AB4" s="44" t="n"/>
      <c r="AC4" s="44" t="n"/>
      <c r="AD4" s="44" t="n"/>
      <c r="AE4" s="44" t="n"/>
      <c r="AF4" s="44" t="n"/>
      <c r="AG4" s="44" t="n"/>
      <c r="AH4" s="44" t="n"/>
    </row>
    <row r="5" ht="30.6" customFormat="1" customHeight="1" s="45">
      <c r="A5" s="42" t="inlineStr">
        <is>
          <t>D-2</t>
        </is>
      </c>
      <c r="B5" s="14" t="inlineStr">
        <is>
          <t>Información propia de la entidad contratante</t>
        </is>
      </c>
      <c r="C5" s="30" t="inlineStr">
        <is>
          <t>D-Datos Consultoria</t>
        </is>
      </c>
      <c r="D5" s="14" t="inlineStr">
        <is>
          <t>Básicas</t>
        </is>
      </c>
      <c r="E5" s="30" t="inlineStr">
        <is>
          <t>Datos agregados estadísticos o de funcionamiento interno, sin referencias a datos personales de personas concretas. Datos públicos de la propia entidad (NIF, dirección, contacto, etc.)</t>
        </is>
      </c>
      <c r="F5" s="30" t="inlineStr">
        <is>
          <t>SP-1 Consultoría estratégica para el sector público</t>
        </is>
      </c>
      <c r="G5" s="32" t="inlineStr">
        <is>
          <t>Jordi Roca</t>
        </is>
      </c>
      <c r="H5" s="34" t="inlineStr">
        <is>
          <t>1s</t>
        </is>
      </c>
      <c r="I5" s="157" t="inlineStr">
        <is>
          <t>Restricted (C2)</t>
        </is>
      </c>
      <c r="J5" s="34" t="n">
        <v>2</v>
      </c>
      <c r="K5" s="35" t="n">
        <v>3</v>
      </c>
      <c r="L5" s="137" t="n"/>
      <c r="M5" s="35" t="n">
        <v>3</v>
      </c>
      <c r="N5" s="35" t="n">
        <v>2</v>
      </c>
      <c r="O5" s="9">
        <f>IF(OR(J5&lt;&gt;"",K5&lt;&gt;"",L5&lt;&gt;"",N5&lt;&gt;"",M5&lt;&gt;""),MAX(J5:N5),"")</f>
        <v/>
      </c>
      <c r="P5" s="76">
        <f>IF(J5="","",VLOOKUP(J5,Valor_Actiu_NivellENS,2,FALSE))</f>
        <v/>
      </c>
      <c r="Q5" s="76">
        <f>IF(K5="","",VLOOKUP(K5,Valor_Actiu_NivellENS,2,FALSE))</f>
        <v/>
      </c>
      <c r="R5" s="138">
        <f>IF(L5="","",VLOOKUP(L5,Valor_Actiu_NivellENS,2,FALSE))</f>
        <v/>
      </c>
      <c r="S5" s="76">
        <f>IF(M5="","",VLOOKUP(M5,Valor_Actiu_NivellENS,2,FALSE))</f>
        <v/>
      </c>
      <c r="T5" s="76">
        <f>IF(N5="","",VLOOKUP(N5,Valor_Actiu_NivellENS,2,FALSE))</f>
        <v/>
      </c>
      <c r="U5" s="72">
        <f>IF(OR(P5&lt;&gt;"",Q5&lt;&gt;"",R5&lt;&gt;"",T5&lt;&gt;"",S5&lt;&gt;""),MAX(P5:T5),"")</f>
        <v/>
      </c>
      <c r="V5" s="73">
        <f>VLOOKUP(U5,NivellENS_Categoria,2,FALSE)</f>
        <v/>
      </c>
      <c r="W5" s="14" t="n"/>
      <c r="X5" s="44" t="n"/>
      <c r="Y5" s="44" t="n"/>
      <c r="Z5" s="44" t="n"/>
      <c r="AA5" s="44" t="n"/>
      <c r="AB5" s="44" t="n"/>
      <c r="AC5" s="44" t="n"/>
      <c r="AD5" s="44" t="n"/>
      <c r="AE5" s="44" t="n"/>
      <c r="AF5" s="44" t="n"/>
      <c r="AG5" s="44" t="n"/>
      <c r="AH5" s="44" t="n"/>
    </row>
    <row r="6" ht="30.6" customFormat="1" customHeight="1" s="45">
      <c r="A6" s="42" t="inlineStr">
        <is>
          <t>D-3</t>
        </is>
      </c>
      <c r="B6" s="14" t="inlineStr">
        <is>
          <t>Informes y resultados de la consultoria</t>
        </is>
      </c>
      <c r="C6" s="30" t="inlineStr">
        <is>
          <t>D-Datos Consultoria</t>
        </is>
      </c>
      <c r="D6" s="14" t="inlineStr">
        <is>
          <t>Básicas</t>
        </is>
      </c>
      <c r="E6" s="30" t="inlineStr">
        <is>
          <t>Conclusiones númericas y/o estratégicas y propuestas concretas</t>
        </is>
      </c>
      <c r="F6" s="30" t="inlineStr">
        <is>
          <t>SP-1 Consultoría estratégica para el sector público</t>
        </is>
      </c>
      <c r="G6" s="32" t="inlineStr">
        <is>
          <t>Jordi Roca</t>
        </is>
      </c>
      <c r="H6" s="34" t="inlineStr">
        <is>
          <t>1s</t>
        </is>
      </c>
      <c r="I6" s="157" t="inlineStr">
        <is>
          <t>Restricted (C2)</t>
        </is>
      </c>
      <c r="J6" s="34" t="n">
        <v>2</v>
      </c>
      <c r="K6" s="35" t="n">
        <v>3</v>
      </c>
      <c r="L6" s="137" t="n"/>
      <c r="M6" s="35" t="n">
        <v>3</v>
      </c>
      <c r="N6" s="35" t="n">
        <v>3</v>
      </c>
      <c r="O6" s="9">
        <f>IF(OR(J6&lt;&gt;"",K6&lt;&gt;"",L6&lt;&gt;"",N6&lt;&gt;"",M6&lt;&gt;""),MAX(J6:N6),"")</f>
        <v/>
      </c>
      <c r="P6" s="76">
        <f>IF(J6="","",VLOOKUP(J6,Valor_Actiu_NivellENS,2,FALSE))</f>
        <v/>
      </c>
      <c r="Q6" s="76">
        <f>IF(K6="","",VLOOKUP(K6,Valor_Actiu_NivellENS,2,FALSE))</f>
        <v/>
      </c>
      <c r="R6" s="138">
        <f>IF(L6="","",VLOOKUP(L6,Valor_Actiu_NivellENS,2,FALSE))</f>
        <v/>
      </c>
      <c r="S6" s="76">
        <f>IF(M6="","",VLOOKUP(M6,Valor_Actiu_NivellENS,2,FALSE))</f>
        <v/>
      </c>
      <c r="T6" s="76">
        <f>IF(N6="","",VLOOKUP(N6,Valor_Actiu_NivellENS,2,FALSE))</f>
        <v/>
      </c>
      <c r="U6" s="72">
        <f>IF(OR(P6&lt;&gt;"",Q6&lt;&gt;"",R6&lt;&gt;"",T6&lt;&gt;"",S6&lt;&gt;""),MAX(P6:T6),"")</f>
        <v/>
      </c>
      <c r="V6" s="73">
        <f>VLOOKUP(U6,NivellENS_Categoria,2,FALSE)</f>
        <v/>
      </c>
      <c r="W6" s="14" t="n"/>
      <c r="X6" s="44" t="n"/>
      <c r="Y6" s="44" t="n"/>
      <c r="Z6" s="44" t="n"/>
      <c r="AA6" s="44" t="n"/>
      <c r="AB6" s="44" t="n"/>
      <c r="AC6" s="44" t="n"/>
      <c r="AD6" s="44" t="n"/>
      <c r="AE6" s="44" t="n"/>
      <c r="AF6" s="44" t="n"/>
      <c r="AG6" s="44" t="n"/>
      <c r="AH6" s="44" t="n"/>
    </row>
    <row r="7" ht="30.6" customFormat="1" customHeight="1" s="45">
      <c r="A7" s="42" t="inlineStr">
        <is>
          <t>D-4</t>
        </is>
      </c>
      <c r="B7" s="14" t="inlineStr">
        <is>
          <t>Documentación interna datos intermedios</t>
        </is>
      </c>
      <c r="C7" s="30" t="inlineStr">
        <is>
          <t>D-Datos Consultoria</t>
        </is>
      </c>
      <c r="D7" s="14" t="inlineStr">
        <is>
          <t>No</t>
        </is>
      </c>
      <c r="E7" s="30" t="inlineStr">
        <is>
          <t xml:space="preserve">Documentació durante el proceso de consultoría, que se genera con el propio trabajo encargado. </t>
        </is>
      </c>
      <c r="F7" s="30" t="inlineStr">
        <is>
          <t>SP-1 Consultoría estratégica para el sector público</t>
        </is>
      </c>
      <c r="G7" s="32" t="inlineStr">
        <is>
          <t>Jordi Roca</t>
        </is>
      </c>
      <c r="H7" s="34" t="inlineStr">
        <is>
          <t>1s</t>
        </is>
      </c>
      <c r="I7" s="157" t="inlineStr">
        <is>
          <t>Restricted (C2)</t>
        </is>
      </c>
      <c r="J7" s="34" t="n">
        <v>2</v>
      </c>
      <c r="K7" s="35" t="n">
        <v>2</v>
      </c>
      <c r="L7" s="137" t="n"/>
      <c r="M7" s="35" t="n">
        <v>2</v>
      </c>
      <c r="N7" s="35" t="n">
        <v>2</v>
      </c>
      <c r="O7" s="9">
        <f>IF(OR(J7&lt;&gt;"",K7&lt;&gt;"",L7&lt;&gt;"",N7&lt;&gt;"",M7&lt;&gt;""),MAX(J7:N7),"")</f>
        <v/>
      </c>
      <c r="P7" s="76">
        <f>IF(J7="","",VLOOKUP(J7,Valor_Actiu_NivellENS,2,FALSE))</f>
        <v/>
      </c>
      <c r="Q7" s="76">
        <f>IF(K7="","",VLOOKUP(K7,Valor_Actiu_NivellENS,2,FALSE))</f>
        <v/>
      </c>
      <c r="R7" s="138">
        <f>IF(L7="","",VLOOKUP(L7,Valor_Actiu_NivellENS,2,FALSE))</f>
        <v/>
      </c>
      <c r="S7" s="76">
        <f>IF(M7="","",VLOOKUP(M7,Valor_Actiu_NivellENS,2,FALSE))</f>
        <v/>
      </c>
      <c r="T7" s="76">
        <f>IF(N7="","",VLOOKUP(N7,Valor_Actiu_NivellENS,2,FALSE))</f>
        <v/>
      </c>
      <c r="U7" s="72">
        <f>IF(OR(P7&lt;&gt;"",Q7&lt;&gt;"",R7&lt;&gt;"",T7&lt;&gt;"",S7&lt;&gt;""),MAX(P7:T7),"")</f>
        <v/>
      </c>
      <c r="V7" s="73">
        <f>VLOOKUP(U7,NivellENS_Categoria,2,FALSE)</f>
        <v/>
      </c>
      <c r="W7" s="14" t="n"/>
      <c r="X7" s="44" t="n"/>
      <c r="Y7" s="44" t="n"/>
      <c r="Z7" s="44" t="n"/>
      <c r="AA7" s="44" t="n"/>
      <c r="AB7" s="44" t="n"/>
      <c r="AC7" s="44" t="n"/>
      <c r="AD7" s="44" t="n"/>
      <c r="AE7" s="44" t="n"/>
      <c r="AF7" s="44" t="n"/>
      <c r="AG7" s="44" t="n"/>
      <c r="AH7" s="44" t="n"/>
    </row>
    <row r="8" ht="30.6" customFormat="1" customHeight="1" s="45">
      <c r="A8" s="42" t="inlineStr">
        <is>
          <t>D-5</t>
        </is>
      </c>
      <c r="B8" s="14" t="inlineStr">
        <is>
          <t>Contratos y condiciones de servicio</t>
        </is>
      </c>
      <c r="C8" s="30" t="inlineStr">
        <is>
          <t>D-Datos Consultoria</t>
        </is>
      </c>
      <c r="D8" s="14" t="inlineStr">
        <is>
          <t>Básicas</t>
        </is>
      </c>
      <c r="E8" s="30" t="inlineStr">
        <is>
          <t>Datos que facilita el cliente con información específica, en la que puede aparecer datos de personas con roles de interventor, dirección general, gerencia o presidencia, quienes firman dichos contratos.</t>
        </is>
      </c>
      <c r="F8" s="30" t="inlineStr">
        <is>
          <t>SP-1 Consultoría estratégica para el sector público</t>
        </is>
      </c>
      <c r="G8" s="32" t="inlineStr">
        <is>
          <t>Jordi Roca</t>
        </is>
      </c>
      <c r="H8" s="34" t="inlineStr">
        <is>
          <t>1s</t>
        </is>
      </c>
      <c r="I8" s="157" t="inlineStr">
        <is>
          <t>Restricted (C2)</t>
        </is>
      </c>
      <c r="J8" s="34" t="n">
        <v>2</v>
      </c>
      <c r="K8" s="35" t="n">
        <v>3</v>
      </c>
      <c r="L8" s="137" t="n"/>
      <c r="M8" s="35" t="n">
        <v>3</v>
      </c>
      <c r="N8" s="35" t="n">
        <v>3</v>
      </c>
      <c r="O8" s="9">
        <f>IF(OR(J8&lt;&gt;"",K8&lt;&gt;"",L8&lt;&gt;"",N8&lt;&gt;"",M8&lt;&gt;""),MAX(J8:N8),"")</f>
        <v/>
      </c>
      <c r="P8" s="76">
        <f>IF(J8="","",VLOOKUP(J8,Valor_Actiu_NivellENS,2,FALSE))</f>
        <v/>
      </c>
      <c r="Q8" s="76">
        <f>IF(K8="","",VLOOKUP(K8,Valor_Actiu_NivellENS,2,FALSE))</f>
        <v/>
      </c>
      <c r="R8" s="138">
        <f>IF(L8="","",VLOOKUP(L8,Valor_Actiu_NivellENS,2,FALSE))</f>
        <v/>
      </c>
      <c r="S8" s="76">
        <f>IF(M8="","",VLOOKUP(M8,Valor_Actiu_NivellENS,2,FALSE))</f>
        <v/>
      </c>
      <c r="T8" s="76">
        <f>IF(N8="","",VLOOKUP(N8,Valor_Actiu_NivellENS,2,FALSE))</f>
        <v/>
      </c>
      <c r="U8" s="72">
        <f>IF(OR(P8&lt;&gt;"",Q8&lt;&gt;"",R8&lt;&gt;"",T8&lt;&gt;"",S8&lt;&gt;""),MAX(P8:T8),"")</f>
        <v/>
      </c>
      <c r="V8" s="73">
        <f>VLOOKUP(U8,NivellENS_Categoria,2,FALSE)</f>
        <v/>
      </c>
      <c r="W8" s="14" t="n"/>
      <c r="X8" s="44" t="n"/>
      <c r="Y8" s="44" t="n"/>
      <c r="Z8" s="44" t="n"/>
      <c r="AA8" s="44" t="n"/>
      <c r="AB8" s="44" t="n"/>
      <c r="AC8" s="44" t="n"/>
      <c r="AD8" s="44" t="n"/>
      <c r="AE8" s="44" t="n"/>
      <c r="AF8" s="44" t="n"/>
      <c r="AG8" s="44" t="n"/>
      <c r="AH8" s="44" t="n"/>
    </row>
    <row r="9" ht="30.6" customFormat="1" customHeight="1" s="45">
      <c r="A9" s="42" t="inlineStr">
        <is>
          <t>D-6</t>
        </is>
      </c>
      <c r="B9" s="14" t="inlineStr">
        <is>
          <t>Especificaciones de las soluciones (Breafing)</t>
        </is>
      </c>
      <c r="C9" s="30" t="inlineStr">
        <is>
          <t>D-Dados de Desarrollo</t>
        </is>
      </c>
      <c r="D9" s="14" t="inlineStr">
        <is>
          <t>No</t>
        </is>
      </c>
      <c r="E9" s="30" t="inlineStr">
        <is>
          <t>Descripcion de las tareas que se realizaran en el marco de un proyecto de desarrollo. Puede incluir datos de cilente, pero no datos personales.</t>
        </is>
      </c>
      <c r="F9" s="30" t="inlineStr">
        <is>
          <t>SP-2 Desarrollo de soluciones IA</t>
        </is>
      </c>
      <c r="G9" s="32" t="inlineStr">
        <is>
          <t>Marc Muixí</t>
        </is>
      </c>
      <c r="H9" s="34" t="inlineStr">
        <is>
          <t>2s</t>
        </is>
      </c>
      <c r="I9" s="157" t="inlineStr">
        <is>
          <t>Restricted (C2)</t>
        </is>
      </c>
      <c r="J9" s="34" t="n">
        <v>2</v>
      </c>
      <c r="K9" s="35" t="n">
        <v>2</v>
      </c>
      <c r="L9" s="137" t="n"/>
      <c r="M9" s="35" t="n">
        <v>2</v>
      </c>
      <c r="N9" s="35" t="n">
        <v>1</v>
      </c>
      <c r="O9" s="9">
        <f>IF(OR(J9&lt;&gt;"",K9&lt;&gt;"",L9&lt;&gt;"",N9&lt;&gt;"",M9&lt;&gt;""),MAX(J9:N9),"")</f>
        <v/>
      </c>
      <c r="P9" s="76">
        <f>IF(J9="","",VLOOKUP(J9,Valor_Actiu_NivellENS,2,FALSE))</f>
        <v/>
      </c>
      <c r="Q9" s="76">
        <f>IF(K9="","",VLOOKUP(K9,Valor_Actiu_NivellENS,2,FALSE))</f>
        <v/>
      </c>
      <c r="R9" s="138">
        <f>IF(L9="","",VLOOKUP(L9,Valor_Actiu_NivellENS,2,FALSE))</f>
        <v/>
      </c>
      <c r="S9" s="76">
        <f>IF(M9="","",VLOOKUP(M9,Valor_Actiu_NivellENS,2,FALSE))</f>
        <v/>
      </c>
      <c r="T9" s="76">
        <f>IF(N9="","",VLOOKUP(N9,Valor_Actiu_NivellENS,2,FALSE))</f>
        <v/>
      </c>
      <c r="U9" s="72">
        <f>IF(OR(P9&lt;&gt;"",Q9&lt;&gt;"",R9&lt;&gt;"",T9&lt;&gt;"",S9&lt;&gt;""),MAX(P9:T9),"")</f>
        <v/>
      </c>
      <c r="V9" s="73">
        <f>VLOOKUP(U9,NivellENS_Categoria,2,FALSE)</f>
        <v/>
      </c>
      <c r="W9" s="14" t="n"/>
      <c r="X9" s="44" t="n"/>
      <c r="Y9" s="44" t="n"/>
      <c r="Z9" s="44" t="n"/>
      <c r="AA9" s="44" t="n"/>
      <c r="AB9" s="44" t="n"/>
      <c r="AC9" s="44" t="n"/>
      <c r="AD9" s="44" t="n"/>
      <c r="AE9" s="44" t="n"/>
      <c r="AF9" s="44" t="n"/>
      <c r="AG9" s="44" t="n"/>
      <c r="AH9" s="44" t="n"/>
    </row>
    <row r="10" ht="30.6" customFormat="1" customHeight="1" s="45">
      <c r="A10" s="42" t="inlineStr">
        <is>
          <t>D-7</t>
        </is>
      </c>
      <c r="B10" s="14" t="inlineStr">
        <is>
          <t>Registros de proceso de desarrollo</t>
        </is>
      </c>
      <c r="C10" s="30" t="inlineStr">
        <is>
          <t>D-Dados de Desarrollo</t>
        </is>
      </c>
      <c r="D10" s="14" t="inlineStr">
        <is>
          <t>No</t>
        </is>
      </c>
      <c r="E10" s="30" t="inlineStr">
        <is>
          <t>Planificación, tickets de tareas, control de cambios en github</t>
        </is>
      </c>
      <c r="F10" s="30" t="inlineStr">
        <is>
          <t>SP-2 Desarrollo de soluciones IA</t>
        </is>
      </c>
      <c r="G10" s="32" t="inlineStr">
        <is>
          <t>Marc Muixí</t>
        </is>
      </c>
      <c r="H10" s="34" t="inlineStr">
        <is>
          <t>1d</t>
        </is>
      </c>
      <c r="I10" s="157" t="inlineStr">
        <is>
          <t>Restricted (C2)</t>
        </is>
      </c>
      <c r="J10" s="34" t="n">
        <v>2</v>
      </c>
      <c r="K10" s="35" t="n">
        <v>2</v>
      </c>
      <c r="L10" s="137" t="n"/>
      <c r="M10" s="35" t="n">
        <v>2</v>
      </c>
      <c r="N10" s="35" t="n">
        <v>3</v>
      </c>
      <c r="O10" s="9">
        <f>IF(OR(J10&lt;&gt;"",K10&lt;&gt;"",L10&lt;&gt;"",N10&lt;&gt;"",M10&lt;&gt;""),MAX(J10:N10),"")</f>
        <v/>
      </c>
      <c r="P10" s="76">
        <f>IF(J10="","",VLOOKUP(J10,Valor_Actiu_NivellENS,2,FALSE))</f>
        <v/>
      </c>
      <c r="Q10" s="76">
        <f>IF(K10="","",VLOOKUP(K10,Valor_Actiu_NivellENS,2,FALSE))</f>
        <v/>
      </c>
      <c r="R10" s="138">
        <f>IF(L10="","",VLOOKUP(L10,Valor_Actiu_NivellENS,2,FALSE))</f>
        <v/>
      </c>
      <c r="S10" s="76">
        <f>IF(M10="","",VLOOKUP(M10,Valor_Actiu_NivellENS,2,FALSE))</f>
        <v/>
      </c>
      <c r="T10" s="76">
        <f>IF(N10="","",VLOOKUP(N10,Valor_Actiu_NivellENS,2,FALSE))</f>
        <v/>
      </c>
      <c r="U10" s="72">
        <f>IF(OR(P10&lt;&gt;"",Q10&lt;&gt;"",R10&lt;&gt;"",T10&lt;&gt;"",S10&lt;&gt;""),MAX(P10:T10),"")</f>
        <v/>
      </c>
      <c r="V10" s="73">
        <f>VLOOKUP(U10,NivellENS_Categoria,2,FALSE)</f>
        <v/>
      </c>
      <c r="W10" s="14" t="n"/>
      <c r="X10" s="44" t="n"/>
      <c r="Y10" s="44" t="n"/>
      <c r="Z10" s="44" t="n"/>
      <c r="AA10" s="44" t="n"/>
      <c r="AB10" s="44" t="n"/>
      <c r="AC10" s="44" t="n"/>
      <c r="AD10" s="44" t="n"/>
      <c r="AE10" s="44" t="n"/>
      <c r="AF10" s="44" t="n"/>
      <c r="AG10" s="44" t="n"/>
      <c r="AH10" s="44" t="n"/>
    </row>
    <row r="11" ht="30.6" customFormat="1" customHeight="1" s="45">
      <c r="A11" s="42" t="inlineStr">
        <is>
          <t>D-8</t>
        </is>
      </c>
      <c r="B11" s="14" t="inlineStr">
        <is>
          <t>Código fuente de las soluciones</t>
        </is>
      </c>
      <c r="C11" s="30" t="inlineStr">
        <is>
          <t>D-Dados de Desarrollo</t>
        </is>
      </c>
      <c r="D11" s="14" t="inlineStr">
        <is>
          <t>No</t>
        </is>
      </c>
      <c r="E11" s="30" t="inlineStr">
        <is>
          <t xml:space="preserve">Codigo utilizado y desarrollado por el equipo interno de desarrollo. </t>
        </is>
      </c>
      <c r="F11" s="30" t="inlineStr">
        <is>
          <t>SP-2 Desarrollo de soluciones IA</t>
        </is>
      </c>
      <c r="G11" s="32" t="inlineStr">
        <is>
          <t>Marc Muixí</t>
        </is>
      </c>
      <c r="H11" s="34" t="inlineStr">
        <is>
          <t>2d</t>
        </is>
      </c>
      <c r="I11" s="157" t="inlineStr">
        <is>
          <t>Restricted (C2)</t>
        </is>
      </c>
      <c r="J11" s="34" t="n">
        <v>3</v>
      </c>
      <c r="K11" s="35" t="n">
        <v>2</v>
      </c>
      <c r="L11" s="137" t="n"/>
      <c r="M11" s="35" t="n">
        <v>2</v>
      </c>
      <c r="N11" s="35" t="n">
        <v>2</v>
      </c>
      <c r="O11" s="9">
        <f>IF(OR(J11&lt;&gt;"",K11&lt;&gt;"",L11&lt;&gt;"",N11&lt;&gt;"",M11&lt;&gt;""),MAX(J11:N11),"")</f>
        <v/>
      </c>
      <c r="P11" s="76">
        <f>IF(J11="","",VLOOKUP(J11,Valor_Actiu_NivellENS,2,FALSE))</f>
        <v/>
      </c>
      <c r="Q11" s="76">
        <f>IF(K11="","",VLOOKUP(K11,Valor_Actiu_NivellENS,2,FALSE))</f>
        <v/>
      </c>
      <c r="R11" s="138">
        <f>IF(L11="","",VLOOKUP(L11,Valor_Actiu_NivellENS,2,FALSE))</f>
        <v/>
      </c>
      <c r="S11" s="76">
        <f>IF(M11="","",VLOOKUP(M11,Valor_Actiu_NivellENS,2,FALSE))</f>
        <v/>
      </c>
      <c r="T11" s="76">
        <f>IF(N11="","",VLOOKUP(N11,Valor_Actiu_NivellENS,2,FALSE))</f>
        <v/>
      </c>
      <c r="U11" s="72">
        <f>IF(OR(P11&lt;&gt;"",Q11&lt;&gt;"",R11&lt;&gt;"",T11&lt;&gt;"",S11&lt;&gt;""),MAX(P11:T11),"")</f>
        <v/>
      </c>
      <c r="V11" s="73">
        <f>VLOOKUP(U11,NivellENS_Categoria,2,FALSE)</f>
        <v/>
      </c>
      <c r="W11" s="14" t="n"/>
      <c r="X11" s="44" t="n"/>
      <c r="Y11" s="44" t="n"/>
      <c r="Z11" s="44" t="n"/>
      <c r="AA11" s="44" t="n"/>
      <c r="AB11" s="44" t="n"/>
      <c r="AC11" s="44" t="n"/>
      <c r="AD11" s="44" t="n"/>
      <c r="AE11" s="44" t="n"/>
      <c r="AF11" s="44" t="n"/>
      <c r="AG11" s="44" t="n"/>
      <c r="AH11" s="44" t="n"/>
    </row>
    <row r="12" ht="30.6" customFormat="1" customHeight="1" s="45">
      <c r="A12" s="42" t="inlineStr">
        <is>
          <t>D-9</t>
        </is>
      </c>
      <c r="B12" s="14" t="inlineStr">
        <is>
          <t>Juegos de pruebas</t>
        </is>
      </c>
      <c r="C12" s="30" t="inlineStr">
        <is>
          <t>D-Dados de Desarrollo</t>
        </is>
      </c>
      <c r="D12" s="14" t="inlineStr">
        <is>
          <t>No</t>
        </is>
      </c>
      <c r="E12" s="30" t="inlineStr">
        <is>
          <t>Conjunto de tests aplicados a los desarrollos en la fase de CI/CD</t>
        </is>
      </c>
      <c r="F12" s="30" t="inlineStr">
        <is>
          <t>SP-2 Desarrollo de soluciones IA</t>
        </is>
      </c>
      <c r="G12" s="32" t="inlineStr">
        <is>
          <t>Marc Muixí</t>
        </is>
      </c>
      <c r="H12" s="34" t="inlineStr">
        <is>
          <t>1s</t>
        </is>
      </c>
      <c r="I12" s="157" t="inlineStr">
        <is>
          <t>Internal Use (C1)</t>
        </is>
      </c>
      <c r="J12" s="34" t="n">
        <v>1</v>
      </c>
      <c r="K12" s="35" t="n">
        <v>2</v>
      </c>
      <c r="L12" s="137" t="n"/>
      <c r="M12" s="35" t="n">
        <v>2</v>
      </c>
      <c r="N12" s="35" t="n">
        <v>2</v>
      </c>
      <c r="O12" s="9">
        <f>IF(OR(J12&lt;&gt;"",K12&lt;&gt;"",L12&lt;&gt;"",N12&lt;&gt;"",M12&lt;&gt;""),MAX(J12:N12),"")</f>
        <v/>
      </c>
      <c r="P12" s="76">
        <f>IF(J12="","",VLOOKUP(J12,Valor_Actiu_NivellENS,2,FALSE))</f>
        <v/>
      </c>
      <c r="Q12" s="76">
        <f>IF(K12="","",VLOOKUP(K12,Valor_Actiu_NivellENS,2,FALSE))</f>
        <v/>
      </c>
      <c r="R12" s="138">
        <f>IF(L12="","",VLOOKUP(L12,Valor_Actiu_NivellENS,2,FALSE))</f>
        <v/>
      </c>
      <c r="S12" s="76">
        <f>IF(M12="","",VLOOKUP(M12,Valor_Actiu_NivellENS,2,FALSE))</f>
        <v/>
      </c>
      <c r="T12" s="76">
        <f>IF(N12="","",VLOOKUP(N12,Valor_Actiu_NivellENS,2,FALSE))</f>
        <v/>
      </c>
      <c r="U12" s="72">
        <f>IF(OR(P12&lt;&gt;"",Q12&lt;&gt;"",R12&lt;&gt;"",T12&lt;&gt;"",S12&lt;&gt;""),MAX(P12:T12),"")</f>
        <v/>
      </c>
      <c r="V12" s="73">
        <f>VLOOKUP(U12,NivellENS_Categoria,2,FALSE)</f>
        <v/>
      </c>
      <c r="W12" s="14" t="n"/>
      <c r="X12" s="44" t="n"/>
      <c r="Y12" s="44" t="n"/>
      <c r="Z12" s="44" t="n"/>
      <c r="AA12" s="44" t="n"/>
      <c r="AB12" s="44" t="n"/>
      <c r="AC12" s="44" t="n"/>
      <c r="AD12" s="44" t="n"/>
      <c r="AE12" s="44" t="n"/>
      <c r="AF12" s="44" t="n"/>
      <c r="AG12" s="44" t="n"/>
      <c r="AH12" s="44" t="n"/>
    </row>
    <row r="13" ht="30.6" customFormat="1" customHeight="1" s="45">
      <c r="A13" s="42" t="inlineStr">
        <is>
          <t>D-10</t>
        </is>
      </c>
      <c r="B13" s="14" t="inlineStr">
        <is>
          <t>Documentación interna de la solución</t>
        </is>
      </c>
      <c r="C13" s="30" t="inlineStr">
        <is>
          <t>D-Dados de Desarrollo</t>
        </is>
      </c>
      <c r="D13" s="14" t="inlineStr">
        <is>
          <t>No</t>
        </is>
      </c>
      <c r="E13" s="30" t="inlineStr">
        <is>
          <t>Arquitectura, diseño, configuración de la infraestructura</t>
        </is>
      </c>
      <c r="F13" s="30" t="inlineStr">
        <is>
          <t>SP-2 Desarrollo de soluciones IA</t>
        </is>
      </c>
      <c r="G13" s="32" t="inlineStr">
        <is>
          <t>Marc Muixí</t>
        </is>
      </c>
      <c r="H13" s="34" t="inlineStr">
        <is>
          <t>1s</t>
        </is>
      </c>
      <c r="I13" s="157" t="inlineStr">
        <is>
          <t>Restricted (C2)</t>
        </is>
      </c>
      <c r="J13" s="34" t="n">
        <v>2</v>
      </c>
      <c r="K13" s="35" t="n">
        <v>2</v>
      </c>
      <c r="L13" s="137" t="n"/>
      <c r="M13" s="35" t="n">
        <v>2</v>
      </c>
      <c r="N13" s="35" t="n">
        <v>2</v>
      </c>
      <c r="O13" s="9">
        <f>IF(OR(J13&lt;&gt;"",K13&lt;&gt;"",L13&lt;&gt;"",N13&lt;&gt;"",M13&lt;&gt;""),MAX(J13:N13),"")</f>
        <v/>
      </c>
      <c r="P13" s="76">
        <f>IF(J13="","",VLOOKUP(J13,Valor_Actiu_NivellENS,2,FALSE))</f>
        <v/>
      </c>
      <c r="Q13" s="76">
        <f>IF(K13="","",VLOOKUP(K13,Valor_Actiu_NivellENS,2,FALSE))</f>
        <v/>
      </c>
      <c r="R13" s="138">
        <f>IF(L13="","",VLOOKUP(L13,Valor_Actiu_NivellENS,2,FALSE))</f>
        <v/>
      </c>
      <c r="S13" s="76">
        <f>IF(M13="","",VLOOKUP(M13,Valor_Actiu_NivellENS,2,FALSE))</f>
        <v/>
      </c>
      <c r="T13" s="76">
        <f>IF(N13="","",VLOOKUP(N13,Valor_Actiu_NivellENS,2,FALSE))</f>
        <v/>
      </c>
      <c r="U13" s="72">
        <f>IF(OR(P13&lt;&gt;"",Q13&lt;&gt;"",R13&lt;&gt;"",T13&lt;&gt;"",S13&lt;&gt;""),MAX(P13:T13),"")</f>
        <v/>
      </c>
      <c r="V13" s="73">
        <f>VLOOKUP(U13,NivellENS_Categoria,2,FALSE)</f>
        <v/>
      </c>
      <c r="W13" s="14" t="n"/>
      <c r="X13" s="44" t="n"/>
      <c r="Y13" s="44" t="n"/>
      <c r="Z13" s="44" t="n"/>
      <c r="AA13" s="44" t="n"/>
      <c r="AB13" s="44" t="n"/>
      <c r="AC13" s="44" t="n"/>
      <c r="AD13" s="44" t="n"/>
      <c r="AE13" s="44" t="n"/>
      <c r="AF13" s="44" t="n"/>
      <c r="AG13" s="44" t="n"/>
      <c r="AH13" s="44" t="n"/>
    </row>
    <row r="14" ht="30.6" customFormat="1" customHeight="1" s="45">
      <c r="A14" s="42" t="inlineStr">
        <is>
          <t>D-11</t>
        </is>
      </c>
      <c r="B14" s="14" t="inlineStr">
        <is>
          <t>Manuales y documentación del producto</t>
        </is>
      </c>
      <c r="C14" s="30" t="inlineStr">
        <is>
          <t>D-Dados de Desarrollo</t>
        </is>
      </c>
      <c r="D14" s="14" t="inlineStr">
        <is>
          <t>No</t>
        </is>
      </c>
      <c r="E14" s="30" t="inlineStr">
        <is>
          <t>Guías de uso para el cliente y documentación del código</t>
        </is>
      </c>
      <c r="F14" s="30" t="inlineStr">
        <is>
          <t>SP-2 Desarrollo de soluciones IA</t>
        </is>
      </c>
      <c r="G14" s="32" t="inlineStr">
        <is>
          <t>Marc Muixí</t>
        </is>
      </c>
      <c r="H14" s="34" t="inlineStr">
        <is>
          <t>1s</t>
        </is>
      </c>
      <c r="I14" s="157" t="inlineStr">
        <is>
          <t>Internal Use (C1)</t>
        </is>
      </c>
      <c r="J14" s="34" t="n">
        <v>1</v>
      </c>
      <c r="K14" s="35" t="n">
        <v>2</v>
      </c>
      <c r="L14" s="137" t="n"/>
      <c r="M14" s="35" t="n">
        <v>2</v>
      </c>
      <c r="N14" s="35" t="n">
        <v>2</v>
      </c>
      <c r="O14" s="9">
        <f>IF(OR(J14&lt;&gt;"",K14&lt;&gt;"",L14&lt;&gt;"",N14&lt;&gt;"",M14&lt;&gt;""),MAX(J14:N14),"")</f>
        <v/>
      </c>
      <c r="P14" s="76">
        <f>IF(J14="","",VLOOKUP(J14,Valor_Actiu_NivellENS,2,FALSE))</f>
        <v/>
      </c>
      <c r="Q14" s="76">
        <f>IF(K14="","",VLOOKUP(K14,Valor_Actiu_NivellENS,2,FALSE))</f>
        <v/>
      </c>
      <c r="R14" s="138">
        <f>IF(L14="","",VLOOKUP(L14,Valor_Actiu_NivellENS,2,FALSE))</f>
        <v/>
      </c>
      <c r="S14" s="76">
        <f>IF(M14="","",VLOOKUP(M14,Valor_Actiu_NivellENS,2,FALSE))</f>
        <v/>
      </c>
      <c r="T14" s="76">
        <f>IF(N14="","",VLOOKUP(N14,Valor_Actiu_NivellENS,2,FALSE))</f>
        <v/>
      </c>
      <c r="U14" s="72">
        <f>IF(OR(P14&lt;&gt;"",Q14&lt;&gt;"",R14&lt;&gt;"",T14&lt;&gt;"",S14&lt;&gt;""),MAX(P14:T14),"")</f>
        <v/>
      </c>
      <c r="V14" s="73">
        <f>VLOOKUP(U14,NivellENS_Categoria,2,FALSE)</f>
        <v/>
      </c>
      <c r="W14" s="14" t="n"/>
      <c r="X14" s="44" t="n"/>
      <c r="Y14" s="44" t="n"/>
      <c r="Z14" s="44" t="n"/>
      <c r="AA14" s="44" t="n"/>
      <c r="AB14" s="44" t="n"/>
      <c r="AC14" s="44" t="n"/>
      <c r="AD14" s="44" t="n"/>
      <c r="AE14" s="44" t="n"/>
      <c r="AF14" s="44" t="n"/>
      <c r="AG14" s="44" t="n"/>
      <c r="AH14" s="44" t="n"/>
    </row>
    <row r="15" ht="30.6" customFormat="1" customHeight="1" s="45">
      <c r="A15" s="42" t="inlineStr">
        <is>
          <t>D-12</t>
        </is>
      </c>
      <c r="B15" s="14" t="inlineStr">
        <is>
          <t>Información de configuración de la infraestructura</t>
        </is>
      </c>
      <c r="C15" s="30" t="inlineStr">
        <is>
          <t>D-Dados de Desarrollo</t>
        </is>
      </c>
      <c r="D15" s="14" t="inlineStr">
        <is>
          <t>No</t>
        </is>
      </c>
      <c r="E15" s="30" t="inlineStr">
        <is>
          <t>Guía de presentación de las capas de uso de infraestructura por cada solución</t>
        </is>
      </c>
      <c r="F15" s="30" t="inlineStr">
        <is>
          <t>SP-2 Desarrollo de soluciones IA
SP-3 Explotación de plataformas tecnológicas de soluciones IA</t>
        </is>
      </c>
      <c r="G15" s="32" t="inlineStr">
        <is>
          <t>Marc Muixí</t>
        </is>
      </c>
      <c r="H15" s="34" t="inlineStr">
        <is>
          <t>1s</t>
        </is>
      </c>
      <c r="I15" s="157" t="inlineStr">
        <is>
          <t>Internal Use (C1)</t>
        </is>
      </c>
      <c r="J15" s="34" t="n">
        <v>1</v>
      </c>
      <c r="K15" s="35" t="n">
        <v>2</v>
      </c>
      <c r="L15" s="137" t="n"/>
      <c r="M15" s="35" t="n">
        <v>2</v>
      </c>
      <c r="N15" s="35" t="n">
        <v>2</v>
      </c>
      <c r="O15" s="9">
        <f>IF(OR(J15&lt;&gt;"",K15&lt;&gt;"",L15&lt;&gt;"",N15&lt;&gt;"",M15&lt;&gt;""),MAX(J15:N15),"")</f>
        <v/>
      </c>
      <c r="P15" s="76">
        <f>IF(J15="","",VLOOKUP(J15,Valor_Actiu_NivellENS,2,FALSE))</f>
        <v/>
      </c>
      <c r="Q15" s="76">
        <f>IF(K15="","",VLOOKUP(K15,Valor_Actiu_NivellENS,2,FALSE))</f>
        <v/>
      </c>
      <c r="R15" s="138">
        <f>IF(L15="","",VLOOKUP(L15,Valor_Actiu_NivellENS,2,FALSE))</f>
        <v/>
      </c>
      <c r="S15" s="76">
        <f>IF(M15="","",VLOOKUP(M15,Valor_Actiu_NivellENS,2,FALSE))</f>
        <v/>
      </c>
      <c r="T15" s="76">
        <f>IF(N15="","",VLOOKUP(N15,Valor_Actiu_NivellENS,2,FALSE))</f>
        <v/>
      </c>
      <c r="U15" s="72">
        <f>IF(OR(P15&lt;&gt;"",Q15&lt;&gt;"",R15&lt;&gt;"",T15&lt;&gt;"",S15&lt;&gt;""),MAX(P15:T15),"")</f>
        <v/>
      </c>
      <c r="V15" s="73">
        <f>VLOOKUP(U15,NivellENS_Categoria,2,FALSE)</f>
        <v/>
      </c>
      <c r="W15" s="14" t="n"/>
      <c r="X15" s="44" t="n"/>
      <c r="Y15" s="44" t="n"/>
      <c r="Z15" s="44" t="n"/>
      <c r="AA15" s="44" t="n"/>
      <c r="AB15" s="44" t="n"/>
      <c r="AC15" s="44" t="n"/>
      <c r="AD15" s="44" t="n"/>
      <c r="AE15" s="44" t="n"/>
      <c r="AF15" s="44" t="n"/>
      <c r="AG15" s="44" t="n"/>
      <c r="AH15" s="44" t="n"/>
    </row>
    <row r="16" ht="30.6" customFormat="1" customHeight="1" s="45">
      <c r="A16" s="42" t="inlineStr">
        <is>
          <t>D-13</t>
        </is>
      </c>
      <c r="B16" s="14" t="inlineStr">
        <is>
          <t>Registros de tareas IT</t>
        </is>
      </c>
      <c r="C16" s="30" t="inlineStr">
        <is>
          <t xml:space="preserve">D-GestiónTIC </t>
        </is>
      </c>
      <c r="D16" s="14" t="inlineStr">
        <is>
          <t>Básicas</t>
        </is>
      </c>
      <c r="E16" s="30" t="inlineStr">
        <is>
          <t>Gestión y registro de cualquier actividad relacionada al desarrollo y la explotación de los sistemas</t>
        </is>
      </c>
      <c r="F16" s="30" t="inlineStr">
        <is>
          <t>SP-3 Explotación de plataformas tecnológicas de soluciones IA
SP-7 Gestión de infraestructura IT</t>
        </is>
      </c>
      <c r="G16" s="32" t="inlineStr">
        <is>
          <t>Marc Muixí</t>
        </is>
      </c>
      <c r="H16" s="34" t="inlineStr">
        <is>
          <t>2d</t>
        </is>
      </c>
      <c r="I16" s="157" t="inlineStr">
        <is>
          <t>Restricted (C2)</t>
        </is>
      </c>
      <c r="J16" s="34" t="n">
        <v>2</v>
      </c>
      <c r="K16" s="35" t="n">
        <v>2</v>
      </c>
      <c r="L16" s="137" t="n"/>
      <c r="M16" s="35" t="n">
        <v>2</v>
      </c>
      <c r="N16" s="35" t="n">
        <v>2</v>
      </c>
      <c r="O16" s="9">
        <f>IF(OR(J16&lt;&gt;"",K16&lt;&gt;"",L16&lt;&gt;"",N16&lt;&gt;"",M16&lt;&gt;""),MAX(J16:N16),"")</f>
        <v/>
      </c>
      <c r="P16" s="76">
        <f>IF(J16="","",VLOOKUP(J16,Valor_Actiu_NivellENS,2,FALSE))</f>
        <v/>
      </c>
      <c r="Q16" s="76">
        <f>IF(K16="","",VLOOKUP(K16,Valor_Actiu_NivellENS,2,FALSE))</f>
        <v/>
      </c>
      <c r="R16" s="138">
        <f>IF(L16="","",VLOOKUP(L16,Valor_Actiu_NivellENS,2,FALSE))</f>
        <v/>
      </c>
      <c r="S16" s="76">
        <f>IF(M16="","",VLOOKUP(M16,Valor_Actiu_NivellENS,2,FALSE))</f>
        <v/>
      </c>
      <c r="T16" s="76">
        <f>IF(N16="","",VLOOKUP(N16,Valor_Actiu_NivellENS,2,FALSE))</f>
        <v/>
      </c>
      <c r="U16" s="72">
        <f>IF(OR(P16&lt;&gt;"",Q16&lt;&gt;"",R16&lt;&gt;"",T16&lt;&gt;"",S16&lt;&gt;""),MAX(P16:T16),"")</f>
        <v/>
      </c>
      <c r="V16" s="73">
        <f>VLOOKUP(U16,NivellENS_Categoria,2,FALSE)</f>
        <v/>
      </c>
      <c r="W16" s="14" t="n"/>
      <c r="X16" s="44" t="n"/>
      <c r="Y16" s="44" t="n"/>
      <c r="Z16" s="44" t="n"/>
      <c r="AA16" s="44" t="n"/>
      <c r="AB16" s="44" t="n"/>
      <c r="AC16" s="44" t="n"/>
      <c r="AD16" s="44" t="n"/>
      <c r="AE16" s="44" t="n"/>
      <c r="AF16" s="44" t="n"/>
      <c r="AG16" s="44" t="n"/>
      <c r="AH16" s="44" t="n"/>
    </row>
    <row r="17" ht="30.6" customFormat="1" customHeight="1" s="45">
      <c r="A17" s="42" t="inlineStr">
        <is>
          <t>D-14</t>
        </is>
      </c>
      <c r="B17" s="14" t="inlineStr">
        <is>
          <t>Registros de soporte a clientes</t>
        </is>
      </c>
      <c r="C17" s="30" t="inlineStr">
        <is>
          <t>D-Gestión interna</t>
        </is>
      </c>
      <c r="D17" s="14" t="inlineStr">
        <is>
          <t>Básicas</t>
        </is>
      </c>
      <c r="E17" s="30" t="inlineStr">
        <is>
          <t>Mantenimiento y respuesta en los canales de comunicación contra clientes y creación / gestión de tickets relacionados con incidencias</t>
        </is>
      </c>
      <c r="F17" s="30" t="inlineStr">
        <is>
          <t>SP-4 Soporte y mantenimiento de las soluciones</t>
        </is>
      </c>
      <c r="G17" s="32" t="inlineStr">
        <is>
          <t>Marc Muixí</t>
        </is>
      </c>
      <c r="H17" s="34" t="inlineStr">
        <is>
          <t>2d</t>
        </is>
      </c>
      <c r="I17" s="157" t="inlineStr">
        <is>
          <t>Restricted (C2)</t>
        </is>
      </c>
      <c r="J17" s="34" t="n">
        <v>2</v>
      </c>
      <c r="K17" s="35" t="n">
        <v>2</v>
      </c>
      <c r="L17" s="137" t="n"/>
      <c r="M17" s="35" t="n">
        <v>2</v>
      </c>
      <c r="N17" s="35" t="n">
        <v>2</v>
      </c>
      <c r="O17" s="9">
        <f>IF(OR(J17&lt;&gt;"",K17&lt;&gt;"",L17&lt;&gt;"",N17&lt;&gt;"",M17&lt;&gt;""),MAX(J17:N17),"")</f>
        <v/>
      </c>
      <c r="P17" s="76">
        <f>IF(J17="","",VLOOKUP(J17,Valor_Actiu_NivellENS,2,FALSE))</f>
        <v/>
      </c>
      <c r="Q17" s="76">
        <f>IF(K17="","",VLOOKUP(K17,Valor_Actiu_NivellENS,2,FALSE))</f>
        <v/>
      </c>
      <c r="R17" s="138">
        <f>IF(L17="","",VLOOKUP(L17,Valor_Actiu_NivellENS,2,FALSE))</f>
        <v/>
      </c>
      <c r="S17" s="76">
        <f>IF(M17="","",VLOOKUP(M17,Valor_Actiu_NivellENS,2,FALSE))</f>
        <v/>
      </c>
      <c r="T17" s="76">
        <f>IF(N17="","",VLOOKUP(N17,Valor_Actiu_NivellENS,2,FALSE))</f>
        <v/>
      </c>
      <c r="U17" s="72">
        <f>IF(OR(P17&lt;&gt;"",Q17&lt;&gt;"",R17&lt;&gt;"",T17&lt;&gt;"",S17&lt;&gt;""),MAX(P17:T17),"")</f>
        <v/>
      </c>
      <c r="V17" s="73">
        <f>VLOOKUP(U17,NivellENS_Categoria,2,FALSE)</f>
        <v/>
      </c>
      <c r="W17" s="14" t="n"/>
      <c r="X17" s="44" t="n"/>
      <c r="Y17" s="44" t="n"/>
      <c r="Z17" s="44" t="n"/>
      <c r="AA17" s="44" t="n"/>
      <c r="AB17" s="44" t="n"/>
      <c r="AC17" s="44" t="n"/>
      <c r="AD17" s="44" t="n"/>
      <c r="AE17" s="44" t="n"/>
      <c r="AF17" s="44" t="n"/>
      <c r="AG17" s="44" t="n"/>
      <c r="AH17" s="44" t="n"/>
    </row>
    <row r="18" ht="30.6" customFormat="1" customHeight="1" s="45">
      <c r="A18" s="42" t="inlineStr">
        <is>
          <t>D-15</t>
        </is>
      </c>
      <c r="B18" s="14" t="inlineStr">
        <is>
          <t>Credenciales de acceso a entornos propios</t>
        </is>
      </c>
      <c r="C18" s="30" t="inlineStr">
        <is>
          <t xml:space="preserve">D-GestiónTIC </t>
        </is>
      </c>
      <c r="D18" s="14" t="inlineStr">
        <is>
          <t>Básicas</t>
        </is>
      </c>
      <c r="E18" s="30" t="inlineStr">
        <is>
          <t xml:space="preserve">Gestión y control de los accessos a sistemas </t>
        </is>
      </c>
      <c r="F18" s="30" t="inlineStr">
        <is>
          <t>SP-3 Explotación de plataformas tecnológicas de soluciones IA
SP-7 Gestión de infraestructura de plataforma tecnológica</t>
        </is>
      </c>
      <c r="G18" s="32" t="inlineStr">
        <is>
          <t>Marc Muixí</t>
        </is>
      </c>
      <c r="H18" s="34" t="inlineStr">
        <is>
          <t>1d</t>
        </is>
      </c>
      <c r="I18" s="157" t="inlineStr">
        <is>
          <t>Restricted (C2)</t>
        </is>
      </c>
      <c r="J18" s="34" t="n">
        <v>3</v>
      </c>
      <c r="K18" s="35" t="n">
        <v>3</v>
      </c>
      <c r="L18" s="137" t="n"/>
      <c r="M18" s="35" t="n">
        <v>3</v>
      </c>
      <c r="N18" s="35" t="n">
        <v>3</v>
      </c>
      <c r="O18" s="9">
        <f>IF(OR(J18&lt;&gt;"",K18&lt;&gt;"",L18&lt;&gt;"",N18&lt;&gt;"",M18&lt;&gt;""),MAX(J18:N18),"")</f>
        <v/>
      </c>
      <c r="P18" s="76">
        <f>IF(J18="","",VLOOKUP(J18,Valor_Actiu_NivellENS,2,FALSE))</f>
        <v/>
      </c>
      <c r="Q18" s="76">
        <f>IF(K18="","",VLOOKUP(K18,Valor_Actiu_NivellENS,2,FALSE))</f>
        <v/>
      </c>
      <c r="R18" s="138">
        <f>IF(L18="","",VLOOKUP(L18,Valor_Actiu_NivellENS,2,FALSE))</f>
        <v/>
      </c>
      <c r="S18" s="76">
        <f>IF(M18="","",VLOOKUP(M18,Valor_Actiu_NivellENS,2,FALSE))</f>
        <v/>
      </c>
      <c r="T18" s="76">
        <f>IF(N18="","",VLOOKUP(N18,Valor_Actiu_NivellENS,2,FALSE))</f>
        <v/>
      </c>
      <c r="U18" s="72">
        <f>IF(OR(P18&lt;&gt;"",Q18&lt;&gt;"",R18&lt;&gt;"",T18&lt;&gt;"",S18&lt;&gt;""),MAX(P18:T18),"")</f>
        <v/>
      </c>
      <c r="V18" s="73">
        <f>VLOOKUP(U18,NivellENS_Categoria,2,FALSE)</f>
        <v/>
      </c>
      <c r="W18" s="14" t="n"/>
      <c r="X18" s="44" t="n"/>
      <c r="Y18" s="44" t="n"/>
      <c r="Z18" s="44" t="n"/>
      <c r="AA18" s="44" t="n"/>
      <c r="AB18" s="44" t="n"/>
      <c r="AC18" s="44" t="n"/>
      <c r="AD18" s="44" t="n"/>
      <c r="AE18" s="44" t="n"/>
      <c r="AF18" s="44" t="n"/>
      <c r="AG18" s="44" t="n"/>
      <c r="AH18" s="44" t="n"/>
    </row>
    <row r="19" ht="30.6" customFormat="1" customHeight="1" s="45">
      <c r="A19" s="42" t="inlineStr">
        <is>
          <t>D-16</t>
        </is>
      </c>
      <c r="B19" s="14" t="inlineStr">
        <is>
          <t>Registros de monitorización</t>
        </is>
      </c>
      <c r="C19" s="30" t="inlineStr">
        <is>
          <t xml:space="preserve">D-GestiónTIC </t>
        </is>
      </c>
      <c r="D19" s="14" t="inlineStr">
        <is>
          <t>Básicas</t>
        </is>
      </c>
      <c r="E19" s="30" t="inlineStr">
        <is>
          <t>Accesso y control de los registros de monitorización de las soluciones y el sistema</t>
        </is>
      </c>
      <c r="F19" s="30" t="inlineStr">
        <is>
          <t>SP-3 Explotación de plataformas tecnológicas de soluciones IA
SP-7 Gestión de infraestructura de plataformas tecnológicas</t>
        </is>
      </c>
      <c r="G19" s="32" t="inlineStr">
        <is>
          <t>Marc Muixí</t>
        </is>
      </c>
      <c r="H19" s="34" t="inlineStr">
        <is>
          <t>1d</t>
        </is>
      </c>
      <c r="I19" s="157" t="inlineStr">
        <is>
          <t>Restricted (C2)</t>
        </is>
      </c>
      <c r="J19" s="34" t="n">
        <v>2</v>
      </c>
      <c r="K19" s="35" t="n">
        <v>2</v>
      </c>
      <c r="L19" s="137" t="n"/>
      <c r="M19" s="35" t="n">
        <v>2</v>
      </c>
      <c r="N19" s="35" t="n">
        <v>2</v>
      </c>
      <c r="O19" s="9">
        <f>IF(OR(J19&lt;&gt;"",K19&lt;&gt;"",L19&lt;&gt;"",N19&lt;&gt;"",M19&lt;&gt;""),MAX(J19:N19),"")</f>
        <v/>
      </c>
      <c r="P19" s="76">
        <f>IF(J19="","",VLOOKUP(J19,Valor_Actiu_NivellENS,2,FALSE))</f>
        <v/>
      </c>
      <c r="Q19" s="76">
        <f>IF(K19="","",VLOOKUP(K19,Valor_Actiu_NivellENS,2,FALSE))</f>
        <v/>
      </c>
      <c r="R19" s="138">
        <f>IF(L19="","",VLOOKUP(L19,Valor_Actiu_NivellENS,2,FALSE))</f>
        <v/>
      </c>
      <c r="S19" s="76">
        <f>IF(M19="","",VLOOKUP(M19,Valor_Actiu_NivellENS,2,FALSE))</f>
        <v/>
      </c>
      <c r="T19" s="76">
        <f>IF(N19="","",VLOOKUP(N19,Valor_Actiu_NivellENS,2,FALSE))</f>
        <v/>
      </c>
      <c r="U19" s="72">
        <f>IF(OR(P19&lt;&gt;"",Q19&lt;&gt;"",R19&lt;&gt;"",T19&lt;&gt;"",S19&lt;&gt;""),MAX(P19:T19),"")</f>
        <v/>
      </c>
      <c r="V19" s="73">
        <f>VLOOKUP(U19,NivellENS_Categoria,2,FALSE)</f>
        <v/>
      </c>
      <c r="W19" s="14" t="n"/>
      <c r="X19" s="44" t="n"/>
      <c r="Y19" s="44" t="n"/>
      <c r="Z19" s="44" t="n"/>
      <c r="AA19" s="44" t="n"/>
      <c r="AB19" s="44" t="n"/>
      <c r="AC19" s="44" t="n"/>
      <c r="AD19" s="44" t="n"/>
      <c r="AE19" s="44" t="n"/>
      <c r="AF19" s="44" t="n"/>
      <c r="AG19" s="44" t="n"/>
      <c r="AH19" s="44" t="n"/>
    </row>
    <row r="20" ht="30.6" customFormat="1" customHeight="1" s="45">
      <c r="A20" s="42" t="inlineStr">
        <is>
          <t>D-17</t>
        </is>
      </c>
      <c r="B20" s="14" t="inlineStr">
        <is>
          <t>Datos de los clientes en soluciones en explotación</t>
        </is>
      </c>
      <c r="C20" s="30" t="inlineStr">
        <is>
          <t>D-Datos propios de clientes</t>
        </is>
      </c>
      <c r="D20" s="14" t="inlineStr">
        <is>
          <t>Básicas</t>
        </is>
      </c>
      <c r="E20" s="30" t="inlineStr">
        <is>
          <t>Datos propios de los clientes contenidos en las BBDD de las soluciones en explotación</t>
        </is>
      </c>
      <c r="F20" s="30" t="inlineStr">
        <is>
          <t>SP-3 Explotación de plataformas tecnológicas de soluciones IA
SP-7 Gestión de infraestructura de plataformas tecnológicas</t>
        </is>
      </c>
      <c r="G20" s="32" t="inlineStr">
        <is>
          <t>Marc Muixí</t>
        </is>
      </c>
      <c r="H20" s="34" t="inlineStr">
        <is>
          <t>1d</t>
        </is>
      </c>
      <c r="I20" s="157" t="inlineStr">
        <is>
          <t>Restricted (C2)</t>
        </is>
      </c>
      <c r="J20" s="34" t="n">
        <v>2</v>
      </c>
      <c r="K20" s="35" t="n">
        <v>2</v>
      </c>
      <c r="L20" s="137" t="n"/>
      <c r="M20" s="35" t="n">
        <v>2</v>
      </c>
      <c r="N20" s="35" t="n">
        <v>2</v>
      </c>
      <c r="O20" s="9">
        <f>IF(OR(J20&lt;&gt;"",K20&lt;&gt;"",L20&lt;&gt;"",N20&lt;&gt;"",M20&lt;&gt;""),MAX(J20:N20),"")</f>
        <v/>
      </c>
      <c r="P20" s="76">
        <f>IF(J20="","",VLOOKUP(J20,Valor_Actiu_NivellENS,2,FALSE))</f>
        <v/>
      </c>
      <c r="Q20" s="76">
        <f>IF(K20="","",VLOOKUP(K20,Valor_Actiu_NivellENS,2,FALSE))</f>
        <v/>
      </c>
      <c r="R20" s="138">
        <f>IF(L20="","",VLOOKUP(L20,Valor_Actiu_NivellENS,2,FALSE))</f>
        <v/>
      </c>
      <c r="S20" s="76">
        <f>IF(M20="","",VLOOKUP(M20,Valor_Actiu_NivellENS,2,FALSE))</f>
        <v/>
      </c>
      <c r="T20" s="76">
        <f>IF(N20="","",VLOOKUP(N20,Valor_Actiu_NivellENS,2,FALSE))</f>
        <v/>
      </c>
      <c r="U20" s="72">
        <f>IF(OR(P20&lt;&gt;"",Q20&lt;&gt;"",R20&lt;&gt;"",T20&lt;&gt;"",S20&lt;&gt;""),MAX(P20:T20),"")</f>
        <v/>
      </c>
      <c r="V20" s="73">
        <f>VLOOKUP(U20,NivellENS_Categoria,2,FALSE)</f>
        <v/>
      </c>
      <c r="W20" s="14" t="n"/>
      <c r="X20" s="44" t="n"/>
      <c r="Y20" s="44" t="n"/>
      <c r="Z20" s="44" t="n"/>
      <c r="AA20" s="44" t="n"/>
      <c r="AB20" s="44" t="n"/>
      <c r="AC20" s="44" t="n"/>
      <c r="AD20" s="44" t="n"/>
      <c r="AE20" s="44" t="n"/>
      <c r="AF20" s="44" t="n"/>
      <c r="AG20" s="44" t="n"/>
      <c r="AH20" s="44" t="n"/>
    </row>
    <row r="21" ht="30.6" customFormat="1" customHeight="1" s="45">
      <c r="A21" s="42" t="inlineStr">
        <is>
          <t>D-18</t>
        </is>
      </c>
      <c r="B21" s="14" t="inlineStr">
        <is>
          <t>Documentación de gestión interna</t>
        </is>
      </c>
      <c r="C21" s="30" t="inlineStr">
        <is>
          <t>D-Gestión interna</t>
        </is>
      </c>
      <c r="D21" s="14" t="inlineStr">
        <is>
          <t>Básicas</t>
        </is>
      </c>
      <c r="E21" s="30" t="inlineStr">
        <is>
          <t>Datos vinculados a los procesos comercial, contratación, facturación, cobros. Facilitados por cliente. En el caso de datos para procesos comerciales, obtenidos a partir de datos públicos o de campañas de captación.</t>
        </is>
      </c>
      <c r="F21" s="30" t="inlineStr">
        <is>
          <t>SP-6 Servicios de gestión comercial, administración y de soporte</t>
        </is>
      </c>
      <c r="G21" s="32" t="inlineStr">
        <is>
          <t>Jordi Roca</t>
        </is>
      </c>
      <c r="H21" s="34" t="inlineStr">
        <is>
          <t>1s</t>
        </is>
      </c>
      <c r="I21" s="157" t="inlineStr">
        <is>
          <t>Restricted (C2)</t>
        </is>
      </c>
      <c r="J21" s="34" t="n">
        <v>2</v>
      </c>
      <c r="K21" s="35" t="n">
        <v>2</v>
      </c>
      <c r="L21" s="137" t="n"/>
      <c r="M21" s="35" t="n">
        <v>2</v>
      </c>
      <c r="N21" s="35" t="n">
        <v>2</v>
      </c>
      <c r="O21" s="9">
        <f>IF(OR(J21&lt;&gt;"",K21&lt;&gt;"",L21&lt;&gt;"",N21&lt;&gt;"",M21&lt;&gt;""),MAX(J21:N21),"")</f>
        <v/>
      </c>
      <c r="P21" s="76">
        <f>IF(J21="","",VLOOKUP(J21,Valor_Actiu_NivellENS,2,FALSE))</f>
        <v/>
      </c>
      <c r="Q21" s="76">
        <f>IF(K21="","",VLOOKUP(K21,Valor_Actiu_NivellENS,2,FALSE))</f>
        <v/>
      </c>
      <c r="R21" s="138">
        <f>IF(L21="","",VLOOKUP(L21,Valor_Actiu_NivellENS,2,FALSE))</f>
        <v/>
      </c>
      <c r="S21" s="76">
        <f>IF(M21="","",VLOOKUP(M21,Valor_Actiu_NivellENS,2,FALSE))</f>
        <v/>
      </c>
      <c r="T21" s="76">
        <f>IF(N21="","",VLOOKUP(N21,Valor_Actiu_NivellENS,2,FALSE))</f>
        <v/>
      </c>
      <c r="U21" s="72">
        <f>IF(OR(P21&lt;&gt;"",Q21&lt;&gt;"",R21&lt;&gt;"",T21&lt;&gt;"",S21&lt;&gt;""),MAX(P21:T21),"")</f>
        <v/>
      </c>
      <c r="V21" s="73">
        <f>VLOOKUP(U21,NivellENS_Categoria,2,FALSE)</f>
        <v/>
      </c>
      <c r="W21" s="14" t="n"/>
      <c r="X21" s="44" t="n"/>
      <c r="Y21" s="44" t="n"/>
      <c r="Z21" s="44" t="n"/>
      <c r="AA21" s="44" t="n"/>
      <c r="AB21" s="44" t="n"/>
      <c r="AC21" s="44" t="n"/>
      <c r="AD21" s="44" t="n"/>
      <c r="AE21" s="44" t="n"/>
      <c r="AF21" s="44" t="n"/>
      <c r="AG21" s="44" t="n"/>
      <c r="AH21" s="44" t="n"/>
    </row>
    <row r="22" ht="30.6" customFormat="1" customHeight="1" s="45">
      <c r="A22" s="42" t="inlineStr">
        <is>
          <t>D-19</t>
        </is>
      </c>
      <c r="B22" s="14" t="inlineStr">
        <is>
          <t>Información de domínios</t>
        </is>
      </c>
      <c r="C22" s="30" t="inlineStr">
        <is>
          <t xml:space="preserve">D-GestiónTIC </t>
        </is>
      </c>
      <c r="D22" s="14" t="inlineStr">
        <is>
          <t>Básicas</t>
        </is>
      </c>
      <c r="E22" s="30" t="inlineStr">
        <is>
          <t>gestionados internamente y redireccionados desde SaaS</t>
        </is>
      </c>
      <c r="F22" s="30" t="inlineStr">
        <is>
          <t>SP-3 Explotación de plataformas tecnológicas de soluciones IA</t>
        </is>
      </c>
      <c r="G22" s="32" t="inlineStr">
        <is>
          <t>Marc Muixí</t>
        </is>
      </c>
      <c r="H22" s="34" t="inlineStr">
        <is>
          <t>1s</t>
        </is>
      </c>
      <c r="I22" s="157" t="inlineStr">
        <is>
          <t>Internal Use (C1)</t>
        </is>
      </c>
      <c r="J22" s="34" t="n">
        <v>1</v>
      </c>
      <c r="K22" s="35" t="n">
        <v>2</v>
      </c>
      <c r="L22" s="137" t="n"/>
      <c r="M22" s="35" t="n">
        <v>2</v>
      </c>
      <c r="N22" s="35" t="n">
        <v>1</v>
      </c>
      <c r="O22" s="9">
        <f>IF(OR(J22&lt;&gt;"",K22&lt;&gt;"",L22&lt;&gt;"",N22&lt;&gt;"",M22&lt;&gt;""),MAX(J22:N22),"")</f>
        <v/>
      </c>
      <c r="P22" s="76">
        <f>IF(J22="","",VLOOKUP(J22,Valor_Actiu_NivellENS,2,FALSE))</f>
        <v/>
      </c>
      <c r="Q22" s="76">
        <f>IF(K22="","",VLOOKUP(K22,Valor_Actiu_NivellENS,2,FALSE))</f>
        <v/>
      </c>
      <c r="R22" s="138">
        <f>IF(L22="","",VLOOKUP(L22,Valor_Actiu_NivellENS,2,FALSE))</f>
        <v/>
      </c>
      <c r="S22" s="76">
        <f>IF(M22="","",VLOOKUP(M22,Valor_Actiu_NivellENS,2,FALSE))</f>
        <v/>
      </c>
      <c r="T22" s="76">
        <f>IF(N22="","",VLOOKUP(N22,Valor_Actiu_NivellENS,2,FALSE))</f>
        <v/>
      </c>
      <c r="U22" s="72">
        <f>IF(OR(P22&lt;&gt;"",Q22&lt;&gt;"",R22&lt;&gt;"",T22&lt;&gt;"",S22&lt;&gt;""),MAX(P22:T22),"")</f>
        <v/>
      </c>
      <c r="V22" s="73">
        <f>VLOOKUP(U22,NivellENS_Categoria,2,FALSE)</f>
        <v/>
      </c>
      <c r="W22" s="14" t="n"/>
      <c r="X22" s="44" t="n"/>
      <c r="Y22" s="44" t="n"/>
      <c r="Z22" s="44" t="n"/>
      <c r="AA22" s="44" t="n"/>
      <c r="AB22" s="44" t="n"/>
      <c r="AC22" s="44" t="n"/>
      <c r="AD22" s="44" t="n"/>
      <c r="AE22" s="44" t="n"/>
      <c r="AF22" s="44" t="n"/>
      <c r="AG22" s="44" t="n"/>
      <c r="AH22" s="44" t="n"/>
    </row>
  </sheetData>
  <mergeCells count="6">
    <mergeCell ref="J2:O2"/>
    <mergeCell ref="K1:O1"/>
    <mergeCell ref="C1:F1"/>
    <mergeCell ref="A1:B1"/>
    <mergeCell ref="P1:V1"/>
    <mergeCell ref="P2:V2"/>
  </mergeCells>
  <conditionalFormatting sqref="O4:O22">
    <cfRule type="colorScale" priority="7">
      <colorScale>
        <cfvo type="num" val="0"/>
        <cfvo type="num" val="3"/>
        <color rgb="FFFFEF9C"/>
        <color theme="5"/>
      </colorScale>
    </cfRule>
  </conditionalFormatting>
  <conditionalFormatting sqref="V4:V22">
    <cfRule type="cellIs" priority="1" operator="equal" dxfId="2">
      <formula>"ALTA"</formula>
    </cfRule>
    <cfRule type="cellIs" priority="2" operator="equal" dxfId="1">
      <formula>"BAJA"</formula>
    </cfRule>
    <cfRule type="cellIs" priority="3" operator="equal" dxfId="0">
      <formula>"MEDIA"</formula>
    </cfRule>
  </conditionalFormatting>
  <dataValidations count="3">
    <dataValidation sqref="J4:K22 M4:N22" showDropDown="0" showInputMessage="0" showErrorMessage="1" allowBlank="1" type="list">
      <formula1>Impacte</formula1>
    </dataValidation>
    <dataValidation sqref="D4:D22" showDropDown="0" showInputMessage="0" showErrorMessage="1" allowBlank="1" type="list">
      <formula1>dades_personals</formula1>
    </dataValidation>
    <dataValidation sqref="I4:I22" showDropDown="0" showInputMessage="0" showErrorMessage="1" allowBlank="1" type="list">
      <formula1>Classificacio_informacio</formula1>
    </dataValidation>
  </dataValidations>
  <pageMargins left="0.7" right="0.7" top="0.75" bottom="0.75" header="0" footer="0"/>
  <pageSetup orientation="landscape" scale="36" fitToHeight="0"/>
</worksheet>
</file>

<file path=xl/worksheets/sheet5.xml><?xml version="1.0" encoding="utf-8"?>
<worksheet xmlns="http://schemas.openxmlformats.org/spreadsheetml/2006/main">
  <sheetPr>
    <outlinePr summaryBelow="1" summaryRight="1"/>
    <pageSetUpPr fitToPage="1"/>
  </sheetPr>
  <dimension ref="A1:AI11"/>
  <sheetViews>
    <sheetView tabSelected="1" topLeftCell="A2" zoomScale="80" zoomScaleNormal="80" workbookViewId="0">
      <selection activeCell="V6" sqref="V6"/>
    </sheetView>
  </sheetViews>
  <sheetFormatPr baseColWidth="8" defaultColWidth="14.28515625" defaultRowHeight="15" customHeight="1"/>
  <cols>
    <col width="9.140625" customWidth="1" min="1" max="1"/>
    <col width="41.7109375" customWidth="1" min="2" max="2"/>
    <col width="16.7109375" customWidth="1" min="3" max="3"/>
    <col width="52" bestFit="1" customWidth="1" min="4" max="4"/>
    <col width="54.140625" customWidth="1" min="5" max="5"/>
    <col width="16.28515625" customWidth="1" min="6" max="6"/>
    <col width="8.140625" customWidth="1" min="7" max="7"/>
    <col width="8.85546875" customWidth="1" min="8" max="8"/>
    <col width="7.85546875" customWidth="1" min="9" max="10"/>
    <col width="8" customWidth="1" min="11" max="11"/>
    <col width="11.42578125" customWidth="1" min="12" max="12"/>
    <col width="7.7109375" customWidth="1" style="63" min="13" max="17"/>
    <col width="11.28515625" customWidth="1" style="63" min="18" max="18"/>
    <col width="13.28515625" customWidth="1" style="63" min="19" max="19"/>
    <col width="42.28515625" customWidth="1" min="20" max="20"/>
    <col width="9.140625" customWidth="1" min="21" max="35"/>
  </cols>
  <sheetData>
    <row r="1" ht="62.65" customHeight="1">
      <c r="A1" s="289" t="n"/>
      <c r="B1" s="290" t="n"/>
      <c r="C1" s="289" t="inlineStr">
        <is>
          <t>VALORACIÓN DE ACTIVOS DE SERVICIOS EXTERNOS</t>
        </is>
      </c>
      <c r="D1" s="287" t="n"/>
      <c r="E1" s="287" t="n"/>
      <c r="F1" s="290" t="n"/>
      <c r="G1" s="291" t="n"/>
      <c r="H1" s="287" t="n"/>
      <c r="I1" s="287" t="n"/>
      <c r="J1" s="287" t="n"/>
      <c r="K1" s="287" t="n"/>
      <c r="L1" s="287" t="n"/>
      <c r="M1" s="287" t="n"/>
      <c r="N1" s="287" t="n"/>
      <c r="O1" s="287" t="n"/>
      <c r="P1" s="287" t="n"/>
      <c r="Q1" s="287" t="n"/>
      <c r="R1" s="287" t="n"/>
      <c r="S1" s="287" t="n"/>
      <c r="T1" s="290" t="n"/>
      <c r="U1" s="2" t="n"/>
      <c r="V1" s="2" t="n"/>
      <c r="W1" s="2" t="n"/>
      <c r="X1" s="2" t="n"/>
      <c r="Y1" s="2" t="n"/>
      <c r="Z1" s="2" t="n"/>
      <c r="AA1" s="2" t="n"/>
      <c r="AB1" s="2" t="n"/>
      <c r="AC1" s="2" t="n"/>
      <c r="AD1" s="2" t="n"/>
      <c r="AE1" s="2" t="n"/>
      <c r="AF1" s="2" t="n"/>
      <c r="AG1" s="2" t="n"/>
      <c r="AH1" s="2" t="n"/>
      <c r="AI1" s="2" t="n"/>
    </row>
    <row r="2" ht="46.9" customHeight="1">
      <c r="A2" s="147" t="n"/>
      <c r="B2" s="142" t="n"/>
      <c r="C2" s="147" t="n"/>
      <c r="D2" s="147" t="n"/>
      <c r="E2" s="147" t="n"/>
      <c r="F2" s="211" t="n"/>
      <c r="G2" s="221" t="inlineStr">
        <is>
          <t>Valoración del Activo</t>
        </is>
      </c>
      <c r="H2" s="282" t="n"/>
      <c r="I2" s="282" t="n"/>
      <c r="J2" s="282" t="n"/>
      <c r="K2" s="282" t="n"/>
      <c r="L2" s="286" t="n"/>
      <c r="M2" s="220" t="inlineStr">
        <is>
          <t>Categorización ENS</t>
        </is>
      </c>
      <c r="N2" s="282" t="n"/>
      <c r="O2" s="282" t="n"/>
      <c r="P2" s="282" t="n"/>
      <c r="Q2" s="282" t="n"/>
      <c r="R2" s="282" t="n"/>
      <c r="S2" s="286" t="n"/>
      <c r="T2" s="258" t="n"/>
      <c r="U2" s="2" t="n"/>
      <c r="V2" s="2" t="n"/>
      <c r="W2" s="2" t="n"/>
      <c r="X2" s="2" t="n"/>
      <c r="Y2" s="2" t="n"/>
      <c r="Z2" s="2" t="n"/>
      <c r="AA2" s="2" t="n"/>
      <c r="AB2" s="2" t="n"/>
      <c r="AC2" s="2" t="n"/>
      <c r="AD2" s="2" t="n"/>
      <c r="AE2" s="2" t="n"/>
      <c r="AF2" s="2" t="n"/>
      <c r="AG2" s="2" t="n"/>
      <c r="AH2" s="2" t="n"/>
      <c r="AI2" s="2" t="n"/>
    </row>
    <row r="3" ht="93.75" customHeight="1">
      <c r="A3" s="99" t="inlineStr">
        <is>
          <t>ID</t>
        </is>
      </c>
      <c r="B3" s="99" t="inlineStr">
        <is>
          <t>Nombre</t>
        </is>
      </c>
      <c r="C3" s="99" t="inlineStr">
        <is>
          <t>Grupo</t>
        </is>
      </c>
      <c r="D3" s="99" t="inlineStr">
        <is>
          <t>Descripción</t>
        </is>
      </c>
      <c r="E3" s="99" t="inlineStr">
        <is>
          <t>Activos Relacionados</t>
        </is>
      </c>
      <c r="F3" s="103" t="inlineStr">
        <is>
          <t>Responsable</t>
        </is>
      </c>
      <c r="G3" s="121" t="inlineStr">
        <is>
          <t>Disponibilidad</t>
        </is>
      </c>
      <c r="H3" s="100" t="inlineStr">
        <is>
          <t>Integridad</t>
        </is>
      </c>
      <c r="I3" s="100" t="inlineStr">
        <is>
          <t>Confidencialidad</t>
        </is>
      </c>
      <c r="J3" s="100" t="inlineStr">
        <is>
          <t>Autenticidad</t>
        </is>
      </c>
      <c r="K3" s="100" t="inlineStr">
        <is>
          <t>Trazabilidad</t>
        </is>
      </c>
      <c r="L3" s="176" t="inlineStr">
        <is>
          <t>VALOR
ACTIVO</t>
        </is>
      </c>
      <c r="M3" s="163" t="inlineStr">
        <is>
          <t>Disponibilidad</t>
        </is>
      </c>
      <c r="N3" s="143" t="inlineStr">
        <is>
          <t>Integridad</t>
        </is>
      </c>
      <c r="O3" s="143" t="inlineStr">
        <is>
          <t>Confidencialidad</t>
        </is>
      </c>
      <c r="P3" s="143" t="inlineStr">
        <is>
          <t>Autenticidad</t>
        </is>
      </c>
      <c r="Q3" s="143" t="inlineStr">
        <is>
          <t>Trazabilidad</t>
        </is>
      </c>
      <c r="R3" s="144" t="inlineStr">
        <is>
          <t>NIVEL
ACTIVO</t>
        </is>
      </c>
      <c r="S3" s="164" t="inlineStr">
        <is>
          <t>CATEGORIA
ACTIVO</t>
        </is>
      </c>
      <c r="T3" s="112" t="inlineStr">
        <is>
          <t>Notas</t>
        </is>
      </c>
      <c r="U3" s="3" t="n"/>
      <c r="V3" s="3" t="n"/>
      <c r="W3" s="3" t="n"/>
      <c r="X3" s="3" t="n"/>
      <c r="Y3" s="3" t="n"/>
      <c r="Z3" s="3" t="n"/>
      <c r="AA3" s="3" t="n"/>
      <c r="AB3" s="3" t="n"/>
      <c r="AC3" s="3" t="n"/>
      <c r="AD3" s="3" t="n"/>
      <c r="AE3" s="3" t="n"/>
      <c r="AF3" s="3" t="n"/>
      <c r="AG3" s="3" t="n"/>
      <c r="AH3" s="3" t="n"/>
      <c r="AI3" s="3" t="n"/>
    </row>
    <row r="4" ht="45" customFormat="1" customHeight="1" s="171">
      <c r="A4" s="42" t="inlineStr">
        <is>
          <t>SE-1</t>
        </is>
      </c>
      <c r="B4" s="30" t="inlineStr">
        <is>
          <t>Contratación y mantenimiento de dominios, DNS</t>
        </is>
      </c>
      <c r="C4" s="30" t="inlineStr">
        <is>
          <t>SE-Servicios IT</t>
        </is>
      </c>
      <c r="D4" s="30" t="inlineStr">
        <is>
          <t>Servicios necesarios para proporcionar acceso en Internet a las web corporativas o paneles de gestión de los servicios de los clientes</t>
        </is>
      </c>
      <c r="E4" s="30" t="inlineStr">
        <is>
          <t>D-19 Información de domínios</t>
        </is>
      </c>
      <c r="F4" s="151" t="inlineStr">
        <is>
          <t>Marc Muixí</t>
        </is>
      </c>
      <c r="G4" s="34" t="n">
        <v>2</v>
      </c>
      <c r="H4" s="35" t="n"/>
      <c r="I4" s="35" t="n"/>
      <c r="J4" s="35" t="n"/>
      <c r="K4" s="35" t="n"/>
      <c r="L4" s="9">
        <f>IF(OR(G4&lt;&gt;"",H4&lt;&gt;"",I4&lt;&gt;"",K4&lt;&gt;"",J4&lt;&gt;""),MAX(G4:K4),"")</f>
        <v/>
      </c>
      <c r="M4" s="165">
        <f>IF(G4="","",VLOOKUP(G4,Valor_Actiu_NivellENS,2,FALSE))</f>
        <v/>
      </c>
      <c r="N4" s="76">
        <f>IF(H4="","",VLOOKUP(H4,Valor_Actiu_NivellENS,2,FALSE))</f>
        <v/>
      </c>
      <c r="O4" s="76">
        <f>IF(I4="","",VLOOKUP(I4,Valor_Actiu_NivellENS,2,FALSE))</f>
        <v/>
      </c>
      <c r="P4" s="76">
        <f>IF(J4="","",VLOOKUP(J4,Valor_Actiu_NivellENS,2,FALSE))</f>
        <v/>
      </c>
      <c r="Q4" s="76">
        <f>IF(K4="","",VLOOKUP(K4,Valor_Actiu_NivellENS,2,FALSE))</f>
        <v/>
      </c>
      <c r="R4" s="72">
        <f>IF(OR(M4&lt;&gt;"",N4&lt;&gt;"",O4&lt;&gt;"",Q4&lt;&gt;"",P4&lt;&gt;""),MAX(M4:Q4),"")</f>
        <v/>
      </c>
      <c r="S4" s="73">
        <f>VLOOKUP(R4,NivellENS_Categoria,2,FALSE)</f>
        <v/>
      </c>
      <c r="T4" s="177" t="n"/>
      <c r="U4" s="170" t="n"/>
      <c r="V4" s="14" t="n"/>
      <c r="W4" s="14" t="n"/>
      <c r="X4" s="44" t="n"/>
      <c r="Y4" s="44" t="n"/>
      <c r="Z4" s="44" t="n"/>
      <c r="AA4" s="44" t="n"/>
      <c r="AB4" s="44" t="n"/>
      <c r="AC4" s="44" t="n"/>
      <c r="AD4" s="44" t="n"/>
      <c r="AE4" s="44" t="n"/>
      <c r="AF4" s="44" t="n"/>
      <c r="AG4" s="44" t="n"/>
      <c r="AH4" s="44" t="n"/>
      <c r="AI4" s="44" t="n"/>
    </row>
    <row r="5" ht="35.45" customFormat="1" customHeight="1" s="171">
      <c r="A5" s="42" t="inlineStr">
        <is>
          <t>SE-2</t>
        </is>
      </c>
      <c r="B5" s="30" t="inlineStr">
        <is>
          <t>Google</t>
        </is>
      </c>
      <c r="C5" s="30" t="inlineStr">
        <is>
          <t>SE-Servicios IT</t>
        </is>
      </c>
      <c r="D5" s="30" t="inlineStr">
        <is>
          <t>Proveedor de Google Cloud</t>
        </is>
      </c>
      <c r="E5" s="30" t="inlineStr">
        <is>
          <t>SP-3 Explotación de plataformas tecnológicas de soluciones IA
SP-7 Gestión de infraestructura de plataformas tecnológicas</t>
        </is>
      </c>
      <c r="F5" s="151" t="inlineStr">
        <is>
          <t>Marc Muixí</t>
        </is>
      </c>
      <c r="G5" s="34" t="n">
        <v>3</v>
      </c>
      <c r="H5" s="35" t="n"/>
      <c r="I5" s="35" t="n"/>
      <c r="J5" s="35" t="n"/>
      <c r="K5" s="35" t="n"/>
      <c r="L5" s="9">
        <f>IF(OR(G5&lt;&gt;"",H5&lt;&gt;"",I5&lt;&gt;"",K5&lt;&gt;"",J5&lt;&gt;""),MAX(G5:K5),"")</f>
        <v/>
      </c>
      <c r="M5" s="165">
        <f>IF(G5="","",VLOOKUP(G5,Valor_Actiu_NivellENS,2,FALSE))</f>
        <v/>
      </c>
      <c r="N5" s="76">
        <f>IF(H5="","",VLOOKUP(H5,Valor_Actiu_NivellENS,2,FALSE))</f>
        <v/>
      </c>
      <c r="O5" s="76">
        <f>IF(I5="","",VLOOKUP(I5,Valor_Actiu_NivellENS,2,FALSE))</f>
        <v/>
      </c>
      <c r="P5" s="76">
        <f>IF(J5="","",VLOOKUP(J5,Valor_Actiu_NivellENS,2,FALSE))</f>
        <v/>
      </c>
      <c r="Q5" s="76">
        <f>IF(K5="","",VLOOKUP(K5,Valor_Actiu_NivellENS,2,FALSE))</f>
        <v/>
      </c>
      <c r="R5" s="72">
        <f>IF(OR(M5&lt;&gt;"",N5&lt;&gt;"",O5&lt;&gt;"",Q5&lt;&gt;"",P5&lt;&gt;""),MAX(M5:Q5),"")</f>
        <v/>
      </c>
      <c r="S5" s="73">
        <f>VLOOKUP(R5,NivellENS_Categoria,2,FALSE)</f>
        <v/>
      </c>
      <c r="T5" s="177" t="inlineStr">
        <is>
          <t xml:space="preserve">No està actiu encara. Pendent revisió. </t>
        </is>
      </c>
      <c r="U5" s="172" t="n"/>
      <c r="V5" s="173" t="n"/>
      <c r="W5" s="173" t="n"/>
      <c r="X5" s="44" t="n"/>
      <c r="Y5" s="44" t="n"/>
      <c r="Z5" s="44" t="n"/>
      <c r="AA5" s="44" t="n"/>
      <c r="AB5" s="44" t="n"/>
      <c r="AC5" s="44" t="n"/>
      <c r="AD5" s="44" t="n"/>
      <c r="AE5" s="44" t="n"/>
      <c r="AF5" s="44" t="n"/>
      <c r="AG5" s="44" t="n"/>
      <c r="AH5" s="44" t="n"/>
      <c r="AI5" s="44" t="n"/>
    </row>
    <row r="6" ht="75" customFormat="1" customHeight="1" s="171">
      <c r="A6" s="42" t="inlineStr">
        <is>
          <t>SE-3</t>
        </is>
      </c>
      <c r="B6" s="30" t="inlineStr">
        <is>
          <t>Microsoft</t>
        </is>
      </c>
      <c r="C6" s="30" t="inlineStr">
        <is>
          <t>SE-Servicios IT</t>
        </is>
      </c>
      <c r="D6" s="30" t="inlineStr">
        <is>
          <t>Proveedor de Micrsoft Azure i Microsoftt 365</t>
        </is>
      </c>
      <c r="E6" s="30" t="inlineStr">
        <is>
          <t>SP-Servicios a clientes
SP-Servicios corporativos
SP-3 Explotación de plataformas tecnológicas de soluciones IA
SP-7 Gestión de infraestructura de plataformas tecnológicas
SS-2 Servicios Microsoft365</t>
        </is>
      </c>
      <c r="F6" s="151" t="inlineStr">
        <is>
          <t>Marc Muixí</t>
        </is>
      </c>
      <c r="G6" s="34" t="n">
        <v>3</v>
      </c>
      <c r="H6" s="35" t="n"/>
      <c r="I6" s="35" t="n"/>
      <c r="J6" s="35" t="n"/>
      <c r="K6" s="35" t="n"/>
      <c r="L6" s="9">
        <f>IF(OR(G6&lt;&gt;"",H6&lt;&gt;"",I6&lt;&gt;"",K6&lt;&gt;"",J6&lt;&gt;""),MAX(G6:K6),"")</f>
        <v/>
      </c>
      <c r="M6" s="165">
        <f>IF(G6="","",VLOOKUP(G6,Valor_Actiu_NivellENS,2,FALSE))</f>
        <v/>
      </c>
      <c r="N6" s="76">
        <f>IF(H6="","",VLOOKUP(H6,Valor_Actiu_NivellENS,2,FALSE))</f>
        <v/>
      </c>
      <c r="O6" s="76">
        <f>IF(I6="","",VLOOKUP(I6,Valor_Actiu_NivellENS,2,FALSE))</f>
        <v/>
      </c>
      <c r="P6" s="76">
        <f>IF(J6="","",VLOOKUP(J6,Valor_Actiu_NivellENS,2,FALSE))</f>
        <v/>
      </c>
      <c r="Q6" s="76">
        <f>IF(K6="","",VLOOKUP(K6,Valor_Actiu_NivellENS,2,FALSE))</f>
        <v/>
      </c>
      <c r="R6" s="72">
        <f>IF(OR(M6&lt;&gt;"",N6&lt;&gt;"",O6&lt;&gt;"",Q6&lt;&gt;"",P6&lt;&gt;""),MAX(M6:Q6),"")</f>
        <v/>
      </c>
      <c r="S6" s="73">
        <f>VLOOKUP(R6,NivellENS_Categoria,2,FALSE)</f>
        <v/>
      </c>
      <c r="T6" s="177" t="n"/>
      <c r="U6" s="172" t="n"/>
      <c r="V6" s="173" t="n"/>
      <c r="W6" s="173" t="n"/>
      <c r="X6" s="44" t="n"/>
      <c r="Y6" s="44" t="n"/>
      <c r="Z6" s="44" t="n"/>
      <c r="AA6" s="44" t="n"/>
      <c r="AB6" s="44" t="n"/>
      <c r="AC6" s="44" t="n"/>
      <c r="AD6" s="44" t="n"/>
      <c r="AE6" s="44" t="n"/>
      <c r="AF6" s="44" t="n"/>
      <c r="AG6" s="44" t="n"/>
      <c r="AH6" s="44" t="n"/>
      <c r="AI6" s="44" t="n"/>
    </row>
    <row r="11" ht="15" customHeight="1">
      <c r="L11" s="21" t="n"/>
    </row>
  </sheetData>
  <mergeCells count="5">
    <mergeCell ref="G2:L2"/>
    <mergeCell ref="M2:S2"/>
    <mergeCell ref="G1:T1"/>
    <mergeCell ref="C1:F1"/>
    <mergeCell ref="A1:B1"/>
  </mergeCells>
  <conditionalFormatting sqref="L4:L6">
    <cfRule type="colorScale" priority="1">
      <colorScale>
        <cfvo type="num" val="0"/>
        <cfvo type="num" val="3"/>
        <color rgb="FFFFEF9C"/>
        <color theme="5"/>
      </colorScale>
    </cfRule>
  </conditionalFormatting>
  <conditionalFormatting sqref="S4:S6">
    <cfRule type="cellIs" priority="3" operator="equal" dxfId="2">
      <formula>"ALTA"</formula>
    </cfRule>
    <cfRule type="cellIs" priority="4" operator="equal" dxfId="1">
      <formula>"BAJA"</formula>
    </cfRule>
    <cfRule type="cellIs" priority="5" operator="equal" dxfId="0">
      <formula>"MEDIA"</formula>
    </cfRule>
  </conditionalFormatting>
  <conditionalFormatting sqref="U4:U6">
    <cfRule type="colorScale" priority="24">
      <colorScale>
        <cfvo type="formula" val="0"/>
        <cfvo type="formula" val="5"/>
        <color rgb="FFFFFFFF"/>
        <color rgb="FFE36C09"/>
      </colorScale>
    </cfRule>
    <cfRule type="colorScale" priority="25">
      <colorScale>
        <cfvo type="min"/>
        <cfvo type="max"/>
        <color rgb="FFFDE9D9"/>
        <color rgb="FFCC3300"/>
      </colorScale>
    </cfRule>
    <cfRule type="colorScale" priority="26">
      <colorScale>
        <cfvo type="min"/>
        <cfvo type="max"/>
        <color rgb="FFFFEF9C"/>
        <color rgb="FFFF7128"/>
      </colorScale>
    </cfRule>
    <cfRule type="colorScale" priority="27">
      <colorScale>
        <cfvo type="formula" val="0"/>
        <cfvo type="formula" val="5"/>
        <color rgb="FFFFFFFF"/>
        <color rgb="FFE36C09"/>
      </colorScale>
    </cfRule>
    <cfRule type="colorScale" priority="28">
      <colorScale>
        <cfvo type="min"/>
        <cfvo type="max"/>
        <color rgb="FFFDE9D9"/>
        <color rgb="FFCC3300"/>
      </colorScale>
    </cfRule>
    <cfRule type="colorScale" priority="29">
      <colorScale>
        <cfvo type="min"/>
        <cfvo type="max"/>
        <color rgb="FFFFEF9C"/>
        <color rgb="FFFF7128"/>
      </colorScale>
    </cfRule>
  </conditionalFormatting>
  <dataValidations count="1">
    <dataValidation sqref="G4:K6" showDropDown="0" showInputMessage="0" showErrorMessage="1" allowBlank="1" type="list">
      <formula1>Impacte</formula1>
    </dataValidation>
  </dataValidations>
  <pageMargins left="0.7" right="0.7" top="0.75" bottom="0.75" header="0" footer="0"/>
  <pageSetup orientation="landscape" scale="48" fitToHeight="0"/>
</worksheet>
</file>

<file path=xl/worksheets/sheet6.xml><?xml version="1.0" encoding="utf-8"?>
<worksheet xmlns="http://schemas.openxmlformats.org/spreadsheetml/2006/main">
  <sheetPr>
    <outlinePr summaryBelow="1" summaryRight="1"/>
    <pageSetUpPr fitToPage="1"/>
  </sheetPr>
  <dimension ref="A1:AI8"/>
  <sheetViews>
    <sheetView zoomScale="80" zoomScaleNormal="80" workbookViewId="0">
      <selection activeCell="C15" sqref="C15"/>
    </sheetView>
  </sheetViews>
  <sheetFormatPr baseColWidth="8" defaultColWidth="14.28515625" defaultRowHeight="15" customHeight="1"/>
  <cols>
    <col width="9.28515625" customWidth="1" min="1" max="1"/>
    <col width="28.7109375" bestFit="1" customWidth="1" min="2" max="2"/>
    <col width="25.85546875" bestFit="1" customWidth="1" min="3" max="3"/>
    <col width="53.7109375" customWidth="1" min="4" max="4"/>
    <col width="30.140625" bestFit="1" customWidth="1" min="5" max="5"/>
    <col width="22.85546875" customWidth="1" min="6" max="6"/>
    <col width="7.7109375" customWidth="1" min="7" max="7"/>
    <col width="7.28515625" customWidth="1" min="8" max="10"/>
    <col width="8.140625" customWidth="1" min="11" max="11"/>
    <col width="9.140625" customWidth="1" min="12" max="12"/>
    <col width="7.7109375" customWidth="1" style="63" min="13" max="17"/>
    <col width="11.28515625" customWidth="1" style="63" min="18" max="19"/>
    <col width="52.7109375" customWidth="1" min="20" max="20"/>
    <col width="9.140625" customWidth="1" min="21" max="35"/>
  </cols>
  <sheetData>
    <row r="1" ht="55.15" customHeight="1">
      <c r="A1" s="292" t="n"/>
      <c r="B1" s="293" t="n"/>
      <c r="C1" s="294" t="inlineStr">
        <is>
          <t>VALORACIÓ DE ACTIVOS SOFTWARE Y APLICACIONES (INTERNAS  Y EXTERNAS)</t>
        </is>
      </c>
      <c r="F1" s="293" t="n"/>
      <c r="G1" s="295" t="n"/>
      <c r="H1" s="287" t="n"/>
      <c r="I1" s="287" t="n"/>
      <c r="J1" s="287" t="n"/>
      <c r="K1" s="287" t="n"/>
      <c r="L1" s="287" t="n"/>
      <c r="M1" s="287" t="n"/>
      <c r="N1" s="287" t="n"/>
      <c r="O1" s="287" t="n"/>
      <c r="P1" s="287" t="n"/>
      <c r="Q1" s="287" t="n"/>
      <c r="R1" s="287" t="n"/>
      <c r="S1" s="287" t="n"/>
      <c r="T1" s="290" t="n"/>
    </row>
    <row r="2" ht="44.1" customHeight="1">
      <c r="A2" s="227" t="n"/>
      <c r="B2" s="282" t="n"/>
      <c r="C2" s="282" t="n"/>
      <c r="D2" s="282" t="n"/>
      <c r="E2" s="282" t="n"/>
      <c r="F2" s="282" t="n"/>
      <c r="G2" s="221" t="inlineStr">
        <is>
          <t>Valoración del Activo</t>
        </is>
      </c>
      <c r="H2" s="282" t="n"/>
      <c r="I2" s="282" t="n"/>
      <c r="J2" s="282" t="n"/>
      <c r="K2" s="282" t="n"/>
      <c r="L2" s="286" t="n"/>
      <c r="M2" s="220" t="inlineStr">
        <is>
          <t>Categorización ENS</t>
        </is>
      </c>
      <c r="N2" s="282" t="n"/>
      <c r="O2" s="282" t="n"/>
      <c r="P2" s="282" t="n"/>
      <c r="Q2" s="282" t="n"/>
      <c r="R2" s="282" t="n"/>
      <c r="S2" s="286" t="n"/>
      <c r="T2" s="258" t="n"/>
    </row>
    <row r="3" ht="93.59999999999999" customFormat="1" customHeight="1" s="2">
      <c r="A3" s="99" t="inlineStr">
        <is>
          <t>ID</t>
        </is>
      </c>
      <c r="B3" s="99" t="inlineStr">
        <is>
          <t>Nombre</t>
        </is>
      </c>
      <c r="C3" s="99" t="inlineStr">
        <is>
          <t>Grupo</t>
        </is>
      </c>
      <c r="D3" s="99" t="inlineStr">
        <is>
          <t>Descripción</t>
        </is>
      </c>
      <c r="E3" s="99" t="inlineStr">
        <is>
          <t>Activos Relacionados</t>
        </is>
      </c>
      <c r="F3" s="103" t="inlineStr">
        <is>
          <t>Responsable</t>
        </is>
      </c>
      <c r="G3" s="121" t="inlineStr">
        <is>
          <t>Confidencialidad</t>
        </is>
      </c>
      <c r="H3" s="100" t="inlineStr">
        <is>
          <t>Integridad</t>
        </is>
      </c>
      <c r="I3" s="100" t="inlineStr">
        <is>
          <t>Disponibilidad</t>
        </is>
      </c>
      <c r="J3" s="100" t="inlineStr">
        <is>
          <t>Autenticidad</t>
        </is>
      </c>
      <c r="K3" s="100" t="inlineStr">
        <is>
          <t>Trazabilidad</t>
        </is>
      </c>
      <c r="L3" s="122" t="inlineStr">
        <is>
          <t>VALOR
ACTIVO</t>
        </is>
      </c>
      <c r="M3" s="163" t="inlineStr">
        <is>
          <t>Confidencialidad</t>
        </is>
      </c>
      <c r="N3" s="143" t="inlineStr">
        <is>
          <t>Integridad</t>
        </is>
      </c>
      <c r="O3" s="143" t="inlineStr">
        <is>
          <t>Disponibilidad</t>
        </is>
      </c>
      <c r="P3" s="143" t="inlineStr">
        <is>
          <t>Autenticidad</t>
        </is>
      </c>
      <c r="Q3" s="143" t="inlineStr">
        <is>
          <t>Trazabilidad</t>
        </is>
      </c>
      <c r="R3" s="144" t="inlineStr">
        <is>
          <t>NIVEL
ACTIVO</t>
        </is>
      </c>
      <c r="S3" s="164" t="inlineStr">
        <is>
          <t>CATEGORIA
ACTIVO</t>
        </is>
      </c>
      <c r="T3" s="119" t="inlineStr">
        <is>
          <t>Notas</t>
        </is>
      </c>
      <c r="U3" s="3" t="n"/>
      <c r="V3" s="3" t="n"/>
      <c r="W3" s="3" t="n"/>
      <c r="X3" s="3" t="n"/>
      <c r="Y3" s="3" t="n"/>
      <c r="Z3" s="3" t="n"/>
      <c r="AA3" s="3" t="n"/>
      <c r="AB3" s="3" t="n"/>
      <c r="AC3" s="3" t="n"/>
      <c r="AD3" s="3" t="n"/>
      <c r="AE3" s="3" t="n"/>
      <c r="AF3" s="3" t="n"/>
      <c r="AG3" s="3" t="n"/>
      <c r="AH3" s="3" t="n"/>
      <c r="AI3" s="3" t="n"/>
    </row>
    <row r="4" ht="30" customFormat="1" customHeight="1" s="2">
      <c r="A4" s="4" t="inlineStr">
        <is>
          <t>SW-1</t>
        </is>
      </c>
      <c r="B4" s="5" t="inlineStr">
        <is>
          <t>Herramientas de MSOffice</t>
        </is>
      </c>
      <c r="C4" s="6" t="inlineStr">
        <is>
          <t>SW-Productividad
SW-Soluciones de terceros</t>
        </is>
      </c>
      <c r="D4" s="6" t="inlineStr">
        <is>
          <t>Herramientas vinculadas al paquete Office 365 de Microsoft.</t>
        </is>
      </c>
      <c r="E4" s="6" t="inlineStr">
        <is>
          <t>SP-Servicios a clientes
SP-Servicios corporativos</t>
        </is>
      </c>
      <c r="F4" s="32" t="inlineStr">
        <is>
          <t>Marc Muixi</t>
        </is>
      </c>
      <c r="G4" s="34" t="n"/>
      <c r="H4" s="35" t="n"/>
      <c r="I4" s="35" t="n">
        <v>2</v>
      </c>
      <c r="J4" s="35" t="n"/>
      <c r="K4" s="35" t="n"/>
      <c r="L4" s="9">
        <f>IF(OR(G4&lt;&gt;"",H4&lt;&gt;"",I4&lt;&gt;"",K4&lt;&gt;"",J4&lt;&gt;""),MAX(G4:K4),"")</f>
        <v/>
      </c>
      <c r="M4" s="76">
        <f>IF(G4="","",VLOOKUP(G4,Valor_Actiu_NivellENS,2,FALSE))</f>
        <v/>
      </c>
      <c r="N4" s="76">
        <f>IF(H4="","",VLOOKUP(H4,Valor_Actiu_NivellENS,2,FALSE))</f>
        <v/>
      </c>
      <c r="O4" s="76">
        <f>IF(I4="","",VLOOKUP(I4,Valor_Actiu_NivellENS,2,FALSE))</f>
        <v/>
      </c>
      <c r="P4" s="76">
        <f>IF(J4="","",VLOOKUP(J4,Valor_Actiu_NivellENS,2,FALSE))</f>
        <v/>
      </c>
      <c r="Q4" s="76">
        <f>IF(K4="","",VLOOKUP(K4,Valor_Actiu_NivellENS,2,FALSE))</f>
        <v/>
      </c>
      <c r="R4" s="72">
        <f>IF(OR(M4&lt;&gt;"",N4&lt;&gt;"",O4&lt;&gt;"",Q4&lt;&gt;"",P4&lt;&gt;""),MAX(M4:Q4),"")</f>
        <v/>
      </c>
      <c r="S4" s="73">
        <f>VLOOKUP(R4,NivellENS_Categoria,2,FALSE)</f>
        <v/>
      </c>
      <c r="T4" s="79" t="n"/>
      <c r="U4" s="10" t="n"/>
      <c r="V4" s="10" t="n"/>
      <c r="W4" s="10" t="n"/>
      <c r="X4" s="10" t="n"/>
      <c r="Y4" s="10" t="n"/>
      <c r="Z4" s="10" t="n"/>
      <c r="AA4" s="10" t="n"/>
      <c r="AB4" s="10" t="n"/>
      <c r="AC4" s="10" t="n"/>
      <c r="AD4" s="10" t="n"/>
      <c r="AE4" s="10" t="n"/>
      <c r="AF4" s="10" t="n"/>
      <c r="AG4" s="10" t="n"/>
      <c r="AH4" s="10" t="n"/>
      <c r="AI4" s="10" t="n"/>
    </row>
    <row r="5" ht="28.15" customFormat="1" customHeight="1" s="2">
      <c r="A5" s="4" t="inlineStr">
        <is>
          <t>SW-2</t>
        </is>
      </c>
      <c r="B5" s="5" t="inlineStr">
        <is>
          <t>Antivirus equipos de trabajo</t>
        </is>
      </c>
      <c r="C5" s="6" t="inlineStr">
        <is>
          <t>SW-Seguridad
SW-Soluciones de terceros</t>
        </is>
      </c>
      <c r="D5" s="6" t="inlineStr">
        <is>
          <t>cojunto de capas de seguridad aplicadas al SO para la detección y erradicación de malware</t>
        </is>
      </c>
      <c r="E5" s="6" t="inlineStr">
        <is>
          <t>SP-Servicios a clientes
SP-Servicios corporativos</t>
        </is>
      </c>
      <c r="F5" s="32" t="inlineStr">
        <is>
          <t>Marc Muixi</t>
        </is>
      </c>
      <c r="G5" s="34" t="n"/>
      <c r="H5" s="35" t="n"/>
      <c r="I5" s="35" t="n">
        <v>3</v>
      </c>
      <c r="J5" s="35" t="n"/>
      <c r="K5" s="35" t="n"/>
      <c r="L5" s="9">
        <f>IF(OR(G5&lt;&gt;"",H5&lt;&gt;"",I5&lt;&gt;"",K5&lt;&gt;"",J5&lt;&gt;""),MAX(G5:K5),"")</f>
        <v/>
      </c>
      <c r="M5" s="76">
        <f>IF(G5="","",VLOOKUP(G5,Valor_Actiu_NivellENS,2,FALSE))</f>
        <v/>
      </c>
      <c r="N5" s="76">
        <f>IF(H5="","",VLOOKUP(H5,Valor_Actiu_NivellENS,2,FALSE))</f>
        <v/>
      </c>
      <c r="O5" s="76">
        <f>IF(I5="","",VLOOKUP(I5,Valor_Actiu_NivellENS,2,FALSE))</f>
        <v/>
      </c>
      <c r="P5" s="76">
        <f>IF(J5="","",VLOOKUP(J5,Valor_Actiu_NivellENS,2,FALSE))</f>
        <v/>
      </c>
      <c r="Q5" s="76">
        <f>IF(K5="","",VLOOKUP(K5,Valor_Actiu_NivellENS,2,FALSE))</f>
        <v/>
      </c>
      <c r="R5" s="72">
        <f>IF(OR(M5&lt;&gt;"",N5&lt;&gt;"",O5&lt;&gt;"",Q5&lt;&gt;"",P5&lt;&gt;""),MAX(M5:Q5),"")</f>
        <v/>
      </c>
      <c r="S5" s="73">
        <f>VLOOKUP(R5,NivellENS_Categoria,2,FALSE)</f>
        <v/>
      </c>
      <c r="T5" s="79" t="n"/>
      <c r="U5" s="10" t="n"/>
      <c r="V5" s="10" t="n"/>
      <c r="W5" s="10" t="n"/>
      <c r="X5" s="10" t="n"/>
      <c r="Y5" s="10" t="n"/>
      <c r="Z5" s="10" t="n"/>
      <c r="AA5" s="10" t="n"/>
      <c r="AB5" s="10" t="n"/>
      <c r="AC5" s="10" t="n"/>
      <c r="AD5" s="10" t="n"/>
      <c r="AE5" s="10" t="n"/>
      <c r="AF5" s="10" t="n"/>
      <c r="AG5" s="10" t="n"/>
      <c r="AH5" s="10" t="n"/>
      <c r="AI5" s="10" t="n"/>
    </row>
    <row r="6" ht="31.15" customFormat="1" customHeight="1" s="2">
      <c r="A6" s="4" t="inlineStr">
        <is>
          <t>SW-3</t>
        </is>
      </c>
      <c r="B6" s="5" t="inlineStr">
        <is>
          <t>SO Equipos de trabajo</t>
        </is>
      </c>
      <c r="C6" s="6" t="inlineStr">
        <is>
          <t>SW-Ofimática</t>
        </is>
      </c>
      <c r="D6" s="6" t="inlineStr">
        <is>
          <t>Sistemas operativos (Windows y/o MacOS) en portátiles y similares para el uso profesional en entorno de trabajo.</t>
        </is>
      </c>
      <c r="E6" s="6" t="inlineStr">
        <is>
          <t>SP-Servicios a clientes
SP-Servicios corporativos
SP-Servicios IT</t>
        </is>
      </c>
      <c r="F6" s="32" t="inlineStr">
        <is>
          <t>Marc Muixi</t>
        </is>
      </c>
      <c r="G6" s="34" t="n"/>
      <c r="H6" s="35" t="n"/>
      <c r="I6" s="35" t="n">
        <v>2</v>
      </c>
      <c r="J6" s="35" t="n"/>
      <c r="K6" s="35" t="n"/>
      <c r="L6" s="9">
        <f>IF(OR(G6&lt;&gt;"",H6&lt;&gt;"",I6&lt;&gt;"",K6&lt;&gt;"",J6&lt;&gt;""),MAX(G6:K6),"")</f>
        <v/>
      </c>
      <c r="M6" s="76">
        <f>IF(G6="","",VLOOKUP(G6,Valor_Actiu_NivellENS,2,FALSE))</f>
        <v/>
      </c>
      <c r="N6" s="76">
        <f>IF(H6="","",VLOOKUP(H6,Valor_Actiu_NivellENS,2,FALSE))</f>
        <v/>
      </c>
      <c r="O6" s="76">
        <f>IF(I6="","",VLOOKUP(I6,Valor_Actiu_NivellENS,2,FALSE))</f>
        <v/>
      </c>
      <c r="P6" s="76">
        <f>IF(J6="","",VLOOKUP(J6,Valor_Actiu_NivellENS,2,FALSE))</f>
        <v/>
      </c>
      <c r="Q6" s="76">
        <f>IF(K6="","",VLOOKUP(K6,Valor_Actiu_NivellENS,2,FALSE))</f>
        <v/>
      </c>
      <c r="R6" s="72">
        <f>IF(OR(M6&lt;&gt;"",N6&lt;&gt;"",O6&lt;&gt;"",Q6&lt;&gt;"",P6&lt;&gt;""),MAX(M6:Q6),"")</f>
        <v/>
      </c>
      <c r="S6" s="73">
        <f>VLOOKUP(R6,NivellENS_Categoria,2,FALSE)</f>
        <v/>
      </c>
      <c r="T6" s="79" t="n"/>
      <c r="U6" s="10" t="n"/>
      <c r="V6" s="10" t="n"/>
      <c r="W6" s="10" t="n"/>
      <c r="X6" s="10" t="n"/>
      <c r="Y6" s="10" t="n"/>
      <c r="Z6" s="10" t="n"/>
      <c r="AA6" s="10" t="n"/>
      <c r="AB6" s="10" t="n"/>
      <c r="AC6" s="10" t="n"/>
      <c r="AD6" s="10" t="n"/>
      <c r="AE6" s="10" t="n"/>
      <c r="AF6" s="10" t="n"/>
      <c r="AG6" s="10" t="n"/>
      <c r="AH6" s="10" t="n"/>
      <c r="AI6" s="10" t="n"/>
    </row>
    <row r="7" ht="28.15" customFormat="1" customHeight="1" s="2">
      <c r="A7" s="4" t="inlineStr">
        <is>
          <t>SW-4</t>
        </is>
      </c>
      <c r="B7" s="5" t="inlineStr">
        <is>
          <t>Herramientas de desarrollo</t>
        </is>
      </c>
      <c r="C7" s="6" t="inlineStr">
        <is>
          <t>SW-Productividad
SW-Soluciones de terceros</t>
        </is>
      </c>
      <c r="D7" s="6" t="inlineStr">
        <is>
          <t xml:space="preserve">IDEs y librerías de ejecución </t>
        </is>
      </c>
      <c r="E7" s="6" t="inlineStr">
        <is>
          <t>SP-Servicios IT</t>
        </is>
      </c>
      <c r="F7" s="32" t="inlineStr">
        <is>
          <t>Marc Muixi</t>
        </is>
      </c>
      <c r="G7" s="34" t="n"/>
      <c r="H7" s="35" t="n"/>
      <c r="I7" s="35" t="n">
        <v>3</v>
      </c>
      <c r="J7" s="35" t="n"/>
      <c r="K7" s="35" t="n"/>
      <c r="L7" s="9">
        <f>IF(OR(G7&lt;&gt;"",H7&lt;&gt;"",I7&lt;&gt;"",K7&lt;&gt;"",J7&lt;&gt;""),MAX(G7:K7),"")</f>
        <v/>
      </c>
      <c r="M7" s="76">
        <f>IF(G7="","",VLOOKUP(G7,Valor_Actiu_NivellENS,2,FALSE))</f>
        <v/>
      </c>
      <c r="N7" s="76">
        <f>IF(H7="","",VLOOKUP(H7,Valor_Actiu_NivellENS,2,FALSE))</f>
        <v/>
      </c>
      <c r="O7" s="76">
        <f>IF(I7="","",VLOOKUP(I7,Valor_Actiu_NivellENS,2,FALSE))</f>
        <v/>
      </c>
      <c r="P7" s="76">
        <f>IF(J7="","",VLOOKUP(J7,Valor_Actiu_NivellENS,2,FALSE))</f>
        <v/>
      </c>
      <c r="Q7" s="76">
        <f>IF(K7="","",VLOOKUP(K7,Valor_Actiu_NivellENS,2,FALSE))</f>
        <v/>
      </c>
      <c r="R7" s="72">
        <f>IF(OR(M7&lt;&gt;"",N7&lt;&gt;"",O7&lt;&gt;"",Q7&lt;&gt;"",P7&lt;&gt;""),MAX(M7:Q7),"")</f>
        <v/>
      </c>
      <c r="S7" s="73">
        <f>VLOOKUP(R7,NivellENS_Categoria,2,FALSE)</f>
        <v/>
      </c>
      <c r="T7" s="79" t="n"/>
      <c r="U7" s="10" t="n"/>
      <c r="V7" s="10" t="n"/>
      <c r="W7" s="10" t="n"/>
      <c r="X7" s="10" t="n"/>
      <c r="Y7" s="10" t="n"/>
      <c r="Z7" s="10" t="n"/>
      <c r="AA7" s="10" t="n"/>
      <c r="AB7" s="10" t="n"/>
      <c r="AC7" s="10" t="n"/>
      <c r="AD7" s="10" t="n"/>
      <c r="AE7" s="10" t="n"/>
      <c r="AF7" s="10" t="n"/>
      <c r="AG7" s="10" t="n"/>
      <c r="AH7" s="10" t="n"/>
      <c r="AI7" s="10" t="n"/>
    </row>
    <row r="8" ht="21.6" customFormat="1" customHeight="1" s="2">
      <c r="A8" s="4" t="inlineStr">
        <is>
          <t>SW-5</t>
        </is>
      </c>
      <c r="B8" s="5" t="inlineStr">
        <is>
          <t>Soluciones IA para clientes</t>
        </is>
      </c>
      <c r="C8" s="6" t="inlineStr">
        <is>
          <t>SW-Soluciones propias</t>
        </is>
      </c>
      <c r="D8" s="6" t="inlineStr">
        <is>
          <t>Software de soluciones IA desarrollado por la empresa</t>
        </is>
      </c>
      <c r="E8" s="6" t="inlineStr">
        <is>
          <t>SP-Servicios IT</t>
        </is>
      </c>
      <c r="F8" s="32" t="inlineStr">
        <is>
          <t>Marc Muixi</t>
        </is>
      </c>
      <c r="G8" s="34" t="n"/>
      <c r="H8" s="35" t="n">
        <v>3</v>
      </c>
      <c r="I8" s="35" t="n">
        <v>3</v>
      </c>
      <c r="J8" s="35" t="n">
        <v>3</v>
      </c>
      <c r="K8" s="35" t="n"/>
      <c r="L8" s="9">
        <f>IF(OR(G8&lt;&gt;"",H8&lt;&gt;"",I8&lt;&gt;"",K8&lt;&gt;"",J8&lt;&gt;""),MAX(G8:K8),"")</f>
        <v/>
      </c>
      <c r="M8" s="76">
        <f>IF(G8="","",VLOOKUP(G8,Valor_Actiu_NivellENS,2,FALSE))</f>
        <v/>
      </c>
      <c r="N8" s="76">
        <f>IF(H8="","",VLOOKUP(H8,Valor_Actiu_NivellENS,2,FALSE))</f>
        <v/>
      </c>
      <c r="O8" s="76">
        <f>IF(I8="","",VLOOKUP(I8,Valor_Actiu_NivellENS,2,FALSE))</f>
        <v/>
      </c>
      <c r="P8" s="76">
        <f>IF(J8="","",VLOOKUP(J8,Valor_Actiu_NivellENS,2,FALSE))</f>
        <v/>
      </c>
      <c r="Q8" s="76">
        <f>IF(K8="","",VLOOKUP(K8,Valor_Actiu_NivellENS,2,FALSE))</f>
        <v/>
      </c>
      <c r="R8" s="72">
        <f>IF(OR(M8&lt;&gt;"",N8&lt;&gt;"",O8&lt;&gt;"",Q8&lt;&gt;"",P8&lt;&gt;""),MAX(M8:Q8),"")</f>
        <v/>
      </c>
      <c r="S8" s="73">
        <f>VLOOKUP(R8,NivellENS_Categoria,2,FALSE)</f>
        <v/>
      </c>
      <c r="T8" s="79" t="n"/>
      <c r="U8" s="10" t="n"/>
      <c r="V8" s="10" t="n"/>
      <c r="W8" s="10" t="n"/>
      <c r="X8" s="10" t="n"/>
      <c r="Y8" s="10" t="n"/>
      <c r="Z8" s="10" t="n"/>
      <c r="AA8" s="10" t="n"/>
      <c r="AB8" s="10" t="n"/>
      <c r="AC8" s="10" t="n"/>
      <c r="AD8" s="10" t="n"/>
      <c r="AE8" s="10" t="n"/>
      <c r="AF8" s="10" t="n"/>
      <c r="AG8" s="10" t="n"/>
      <c r="AH8" s="10" t="n"/>
      <c r="AI8" s="10" t="n"/>
    </row>
  </sheetData>
  <mergeCells count="6">
    <mergeCell ref="A2:F2"/>
    <mergeCell ref="G2:L2"/>
    <mergeCell ref="M2:S2"/>
    <mergeCell ref="G1:T1"/>
    <mergeCell ref="C1:F1"/>
    <mergeCell ref="A1:B1"/>
  </mergeCells>
  <conditionalFormatting sqref="L4:L8">
    <cfRule type="colorScale" priority="4">
      <colorScale>
        <cfvo type="num" val="0"/>
        <cfvo type="num" val="3"/>
        <color rgb="FFFFEF9C"/>
        <color theme="5"/>
      </colorScale>
    </cfRule>
  </conditionalFormatting>
  <conditionalFormatting sqref="S4:S8">
    <cfRule type="cellIs" priority="1" operator="equal" dxfId="2">
      <formula>"ALTA"</formula>
    </cfRule>
    <cfRule type="cellIs" priority="2" operator="equal" dxfId="1">
      <formula>"BAJA"</formula>
    </cfRule>
    <cfRule type="cellIs" priority="3" operator="equal" dxfId="0">
      <formula>"MEDIA"</formula>
    </cfRule>
  </conditionalFormatting>
  <dataValidations count="1">
    <dataValidation sqref="G4:H8 J4:K8" showDropDown="0" showInputMessage="0" showErrorMessage="1" allowBlank="1" type="list">
      <formula1>Impacte</formula1>
    </dataValidation>
  </dataValidations>
  <pageMargins left="0.7" right="0.7" top="0.75" bottom="0.75" header="0" footer="0"/>
  <pageSetup orientation="landscape" scale="45" fitToHeight="0"/>
</worksheet>
</file>

<file path=xl/worksheets/sheet7.xml><?xml version="1.0" encoding="utf-8"?>
<worksheet xmlns="http://schemas.openxmlformats.org/spreadsheetml/2006/main">
  <sheetPr>
    <outlinePr summaryBelow="1" summaryRight="1"/>
    <pageSetUpPr fitToPage="1"/>
  </sheetPr>
  <dimension ref="A1:AI21"/>
  <sheetViews>
    <sheetView zoomScale="80" zoomScaleNormal="80" workbookViewId="0">
      <selection activeCell="E7" sqref="E7"/>
    </sheetView>
  </sheetViews>
  <sheetFormatPr baseColWidth="8" defaultColWidth="14.28515625" defaultRowHeight="15" customHeight="1"/>
  <cols>
    <col width="7.28515625" customWidth="1" min="1" max="1"/>
    <col width="29.140625" customWidth="1" min="2" max="2"/>
    <col width="30.42578125" customWidth="1" min="3" max="3"/>
    <col width="44" customWidth="1" min="4" max="4"/>
    <col width="52.28515625" customWidth="1" min="5" max="5"/>
    <col width="14.140625" customWidth="1" min="6" max="6"/>
    <col width="6.7109375" customWidth="1" min="7" max="11"/>
    <col width="9.140625" customWidth="1" min="12" max="12"/>
    <col width="7.7109375" customWidth="1" style="63" min="13" max="17"/>
    <col width="11.28515625" customWidth="1" style="63" min="18" max="19"/>
    <col width="52.7109375" customWidth="1" min="20" max="20"/>
    <col width="9.140625" customWidth="1" min="21" max="35"/>
  </cols>
  <sheetData>
    <row r="1" ht="60.4" customHeight="1">
      <c r="A1" s="292" t="n"/>
      <c r="B1" s="293" t="n"/>
      <c r="C1" s="229" t="inlineStr">
        <is>
          <t>VALORACIÓN DE ACTIVOS DE SOFTWARE AS A SERVICE (SaaS)</t>
        </is>
      </c>
      <c r="G1" s="219" t="n"/>
      <c r="H1" s="287" t="n"/>
      <c r="I1" s="287" t="n"/>
      <c r="J1" s="287" t="n"/>
      <c r="K1" s="287" t="n"/>
      <c r="L1" s="287" t="n"/>
      <c r="M1" s="287" t="n"/>
      <c r="N1" s="287" t="n"/>
      <c r="O1" s="287" t="n"/>
      <c r="P1" s="287" t="n"/>
      <c r="Q1" s="287" t="n"/>
      <c r="R1" s="287" t="n"/>
      <c r="S1" s="287" t="n"/>
      <c r="T1" s="290" t="n"/>
    </row>
    <row r="2" ht="46.9" customHeight="1">
      <c r="A2" s="227" t="n"/>
      <c r="B2" s="254" t="n"/>
      <c r="C2" s="212" t="n"/>
      <c r="D2" s="212" t="n"/>
      <c r="E2" s="212" t="n"/>
      <c r="F2" s="174" t="n"/>
      <c r="G2" s="221" t="inlineStr">
        <is>
          <t>Valoración del Activo</t>
        </is>
      </c>
      <c r="H2" s="282" t="n"/>
      <c r="I2" s="282" t="n"/>
      <c r="J2" s="282" t="n"/>
      <c r="K2" s="282" t="n"/>
      <c r="L2" s="286" t="n"/>
      <c r="M2" s="231" t="inlineStr">
        <is>
          <t>Categorización ENS</t>
        </is>
      </c>
      <c r="N2" s="282" t="n"/>
      <c r="O2" s="282" t="n"/>
      <c r="P2" s="282" t="n"/>
      <c r="Q2" s="282" t="n"/>
      <c r="R2" s="282" t="n"/>
      <c r="S2" s="286" t="n"/>
      <c r="T2" s="258" t="n"/>
    </row>
    <row r="3" ht="94.90000000000001" customFormat="1" customHeight="1" s="2">
      <c r="A3" s="99" t="inlineStr">
        <is>
          <t>ID</t>
        </is>
      </c>
      <c r="B3" s="99" t="inlineStr">
        <is>
          <t>Nombre</t>
        </is>
      </c>
      <c r="C3" s="99" t="inlineStr">
        <is>
          <t>Grupo</t>
        </is>
      </c>
      <c r="D3" s="99" t="inlineStr">
        <is>
          <t>Descripción</t>
        </is>
      </c>
      <c r="E3" s="99" t="inlineStr">
        <is>
          <t>Activos Relacionados</t>
        </is>
      </c>
      <c r="F3" s="103" t="inlineStr">
        <is>
          <t>Responsable</t>
        </is>
      </c>
      <c r="G3" s="121" t="inlineStr">
        <is>
          <t>Disponibilidad</t>
        </is>
      </c>
      <c r="H3" s="100" t="inlineStr">
        <is>
          <t>Integridad</t>
        </is>
      </c>
      <c r="I3" s="100" t="inlineStr">
        <is>
          <t>Confidencialidad</t>
        </is>
      </c>
      <c r="J3" s="100" t="inlineStr">
        <is>
          <t>Autenticidad</t>
        </is>
      </c>
      <c r="K3" s="100" t="inlineStr">
        <is>
          <t>Trazabilidad</t>
        </is>
      </c>
      <c r="L3" s="122" t="inlineStr">
        <is>
          <t>VALOR
ACTIVO</t>
        </is>
      </c>
      <c r="M3" s="167" t="inlineStr">
        <is>
          <t>Disponibilidad</t>
        </is>
      </c>
      <c r="N3" s="148" t="inlineStr">
        <is>
          <t>Integridad</t>
        </is>
      </c>
      <c r="O3" s="148" t="inlineStr">
        <is>
          <t>Confidencialidad</t>
        </is>
      </c>
      <c r="P3" s="148" t="inlineStr">
        <is>
          <t>Autenticidad</t>
        </is>
      </c>
      <c r="Q3" s="148" t="inlineStr">
        <is>
          <t>Trazabilidad</t>
        </is>
      </c>
      <c r="R3" s="149" t="inlineStr">
        <is>
          <t>NIVEL
ACTIVO</t>
        </is>
      </c>
      <c r="S3" s="168" t="inlineStr">
        <is>
          <t>CATEGORIA
ACTIVO</t>
        </is>
      </c>
      <c r="T3" s="119" t="inlineStr">
        <is>
          <t>Notas</t>
        </is>
      </c>
      <c r="U3" s="3" t="n"/>
      <c r="V3" s="3" t="n"/>
      <c r="W3" s="3" t="n"/>
      <c r="X3" s="3" t="n"/>
      <c r="Y3" s="3" t="n"/>
      <c r="Z3" s="3" t="n"/>
      <c r="AA3" s="3" t="n"/>
      <c r="AB3" s="3" t="n"/>
      <c r="AC3" s="3" t="n"/>
      <c r="AD3" s="3" t="n"/>
      <c r="AE3" s="3" t="n"/>
      <c r="AF3" s="3" t="n"/>
      <c r="AG3" s="3" t="n"/>
      <c r="AH3" s="3" t="n"/>
      <c r="AI3" s="3" t="n"/>
    </row>
    <row r="4" ht="37.5" customFormat="1" customHeight="1" s="2">
      <c r="A4" s="42" t="inlineStr">
        <is>
          <t>SS-1</t>
        </is>
      </c>
      <c r="B4" s="6" t="inlineStr">
        <is>
          <t>Atlassian</t>
        </is>
      </c>
      <c r="C4" s="6" t="inlineStr">
        <is>
          <t>SW-Soporte
Activos con control de acceso</t>
        </is>
      </c>
      <c r="D4" s="6" t="inlineStr">
        <is>
          <t>Jira y Confluence</t>
        </is>
      </c>
      <c r="E4" s="30" t="inlineStr">
        <is>
          <t>SP-2 Desarrollo de soluciones IA
SP-3 Explotación de plataformas tecnológicas de soluciones IA</t>
        </is>
      </c>
      <c r="F4" s="151" t="inlineStr">
        <is>
          <t>Marc Muixí</t>
        </is>
      </c>
      <c r="G4" s="34" t="n">
        <v>2</v>
      </c>
      <c r="H4" s="35" t="n">
        <v>2</v>
      </c>
      <c r="I4" s="35" t="n">
        <v>2</v>
      </c>
      <c r="J4" s="35" t="n">
        <v>1</v>
      </c>
      <c r="K4" s="35" t="n">
        <v>1</v>
      </c>
      <c r="L4" s="9">
        <f>IF(OR(G4&lt;&gt;"",H4&lt;&gt;"",I4&lt;&gt;"",K4&lt;&gt;"",J4&lt;&gt;""),MAX(G4:K4),"")</f>
        <v/>
      </c>
      <c r="M4" s="165">
        <f>IF(G4="","",VLOOKUP(G4,Valor_Actiu_NivellENS,2,FALSE))</f>
        <v/>
      </c>
      <c r="N4" s="76">
        <f>IF(H4="","",VLOOKUP(H4,Valor_Actiu_NivellENS,2,FALSE))</f>
        <v/>
      </c>
      <c r="O4" s="76">
        <f>IF(I4="","",VLOOKUP(I4,Valor_Actiu_NivellENS,2,FALSE))</f>
        <v/>
      </c>
      <c r="P4" s="76">
        <f>IF(J4="","",VLOOKUP(J4,Valor_Actiu_NivellENS,2,FALSE))</f>
        <v/>
      </c>
      <c r="Q4" s="76">
        <f>IF(K4="","",VLOOKUP(K4,Valor_Actiu_NivellENS,2,FALSE))</f>
        <v/>
      </c>
      <c r="R4" s="72">
        <f>IF(OR(M4&lt;&gt;"",N4&lt;&gt;"",O4&lt;&gt;"",Q4&lt;&gt;"",P4&lt;&gt;""),MAX(M4:Q4),"")</f>
        <v/>
      </c>
      <c r="S4" s="73">
        <f>VLOOKUP(R4,NivellENS_Categoria,2,FALSE)</f>
        <v/>
      </c>
      <c r="T4" s="33" t="n"/>
      <c r="U4" s="10" t="n"/>
      <c r="V4" s="10" t="n"/>
      <c r="W4" s="10" t="n"/>
      <c r="X4" s="10" t="n"/>
      <c r="Y4" s="10" t="n"/>
      <c r="Z4" s="10" t="n"/>
      <c r="AA4" s="10" t="n"/>
      <c r="AB4" s="10" t="n"/>
      <c r="AC4" s="10" t="n"/>
      <c r="AD4" s="10" t="n"/>
      <c r="AE4" s="10" t="n"/>
      <c r="AF4" s="10" t="n"/>
      <c r="AG4" s="10" t="n"/>
      <c r="AH4" s="10" t="n"/>
      <c r="AI4" s="10" t="n"/>
    </row>
    <row r="5" ht="41.45" customFormat="1" customHeight="1" s="115">
      <c r="A5" s="42" t="inlineStr">
        <is>
          <t>SS-2</t>
        </is>
      </c>
      <c r="B5" s="6" t="inlineStr">
        <is>
          <t>Servicios Microsoft365</t>
        </is>
      </c>
      <c r="C5" s="6" t="inlineStr">
        <is>
          <t>SW-Productividad
Activos con control de acceso</t>
        </is>
      </c>
      <c r="D5" s="6" t="inlineStr">
        <is>
          <t>No se incluye el correo electrónico</t>
        </is>
      </c>
      <c r="E5" s="6" t="inlineStr">
        <is>
          <t>SP-Servicios a clientes
SP-Servicios corporativos
SP-8 Servicios informática interna</t>
        </is>
      </c>
      <c r="F5" s="151" t="inlineStr">
        <is>
          <t>Marc Muixí</t>
        </is>
      </c>
      <c r="G5" s="34" t="n">
        <v>3</v>
      </c>
      <c r="H5" s="35" t="n">
        <v>2</v>
      </c>
      <c r="I5" s="35" t="n">
        <v>2</v>
      </c>
      <c r="J5" s="35" t="n">
        <v>2</v>
      </c>
      <c r="K5" s="35" t="n">
        <v>1</v>
      </c>
      <c r="L5" s="9">
        <f>IF(OR(G5&lt;&gt;"",H5&lt;&gt;"",I5&lt;&gt;"",K5&lt;&gt;"",J5&lt;&gt;""),MAX(G5:K5),"")</f>
        <v/>
      </c>
      <c r="M5" s="165">
        <f>IF(G5="","",VLOOKUP(G5,Valor_Actiu_NivellENS,2,FALSE))</f>
        <v/>
      </c>
      <c r="N5" s="76">
        <f>IF(H5="","",VLOOKUP(H5,Valor_Actiu_NivellENS,2,FALSE))</f>
        <v/>
      </c>
      <c r="O5" s="76">
        <f>IF(I5="","",VLOOKUP(I5,Valor_Actiu_NivellENS,2,FALSE))</f>
        <v/>
      </c>
      <c r="P5" s="76">
        <f>IF(J5="","",VLOOKUP(J5,Valor_Actiu_NivellENS,2,FALSE))</f>
        <v/>
      </c>
      <c r="Q5" s="76">
        <f>IF(K5="","",VLOOKUP(K5,Valor_Actiu_NivellENS,2,FALSE))</f>
        <v/>
      </c>
      <c r="R5" s="72">
        <f>IF(OR(M5&lt;&gt;"",N5&lt;&gt;"",O5&lt;&gt;"",Q5&lt;&gt;"",P5&lt;&gt;""),MAX(M5:Q5),"")</f>
        <v/>
      </c>
      <c r="S5" s="74">
        <f>VLOOKUP(R5,NivellENS_Categoria,2,FALSE)</f>
        <v/>
      </c>
      <c r="T5" s="166" t="n"/>
      <c r="U5" s="87" t="n"/>
      <c r="V5" s="87" t="n"/>
      <c r="W5" s="87" t="n"/>
      <c r="X5" s="87" t="n"/>
      <c r="Y5" s="87" t="n"/>
      <c r="Z5" s="87" t="n"/>
      <c r="AA5" s="87" t="n"/>
      <c r="AB5" s="87" t="n"/>
      <c r="AC5" s="87" t="n"/>
      <c r="AD5" s="87" t="n"/>
      <c r="AE5" s="87" t="n"/>
      <c r="AF5" s="87" t="n"/>
      <c r="AG5" s="87" t="n"/>
      <c r="AH5" s="87" t="n"/>
      <c r="AI5" s="87" t="n"/>
    </row>
    <row r="6" ht="55.15" customFormat="1" customHeight="1" s="115">
      <c r="A6" s="42" t="inlineStr">
        <is>
          <t>SS-2</t>
        </is>
      </c>
      <c r="B6" s="6" t="inlineStr">
        <is>
          <t>Correo electrónico</t>
        </is>
      </c>
      <c r="C6" s="6" t="inlineStr">
        <is>
          <t>SW-Productividad
Activos con control de acceso</t>
        </is>
      </c>
      <c r="D6" s="6" t="inlineStr">
        <is>
          <t>Correo electrónico de Microsoft365</t>
        </is>
      </c>
      <c r="E6" s="30" t="inlineStr">
        <is>
          <t>SP-Servicios a clientes
SP-Servicios corporativos
SP-Servicios corporativos
SP-8 Servicios informática interna</t>
        </is>
      </c>
      <c r="F6" s="151" t="inlineStr">
        <is>
          <t>Marc Muixí</t>
        </is>
      </c>
      <c r="G6" s="34" t="n">
        <v>3</v>
      </c>
      <c r="H6" s="35" t="n">
        <v>2</v>
      </c>
      <c r="I6" s="35" t="n">
        <v>2</v>
      </c>
      <c r="J6" s="35" t="n">
        <v>2</v>
      </c>
      <c r="K6" s="35" t="n">
        <v>1</v>
      </c>
      <c r="L6" s="9">
        <f>IF(OR(G6&lt;&gt;"",H6&lt;&gt;"",I6&lt;&gt;"",K6&lt;&gt;"",J6&lt;&gt;""),MAX(G6:K6),"")</f>
        <v/>
      </c>
      <c r="M6" s="165">
        <f>IF(G6="","",VLOOKUP(G6,Valor_Actiu_NivellENS,2,FALSE))</f>
        <v/>
      </c>
      <c r="N6" s="76">
        <f>IF(H6="","",VLOOKUP(H6,Valor_Actiu_NivellENS,2,FALSE))</f>
        <v/>
      </c>
      <c r="O6" s="76">
        <f>IF(I6="","",VLOOKUP(I6,Valor_Actiu_NivellENS,2,FALSE))</f>
        <v/>
      </c>
      <c r="P6" s="76">
        <f>IF(J6="","",VLOOKUP(J6,Valor_Actiu_NivellENS,2,FALSE))</f>
        <v/>
      </c>
      <c r="Q6" s="76">
        <f>IF(K6="","",VLOOKUP(K6,Valor_Actiu_NivellENS,2,FALSE))</f>
        <v/>
      </c>
      <c r="R6" s="72">
        <f>IF(OR(M6&lt;&gt;"",N6&lt;&gt;"",O6&lt;&gt;"",Q6&lt;&gt;"",P6&lt;&gt;""),MAX(M6:Q6),"")</f>
        <v/>
      </c>
      <c r="S6" s="74">
        <f>VLOOKUP(R6,NivellENS_Categoria,2,FALSE)</f>
        <v/>
      </c>
      <c r="T6" s="166" t="n"/>
      <c r="U6" s="87" t="n"/>
      <c r="V6" s="87" t="n"/>
      <c r="W6" s="87" t="n"/>
      <c r="X6" s="87" t="n"/>
      <c r="Y6" s="87" t="n"/>
      <c r="Z6" s="87" t="n"/>
      <c r="AA6" s="87" t="n"/>
      <c r="AB6" s="87" t="n"/>
      <c r="AC6" s="87" t="n"/>
      <c r="AD6" s="87" t="n"/>
      <c r="AE6" s="87" t="n"/>
      <c r="AF6" s="87" t="n"/>
      <c r="AG6" s="87" t="n"/>
      <c r="AH6" s="87" t="n"/>
      <c r="AI6" s="87" t="n"/>
    </row>
    <row r="7" ht="42" customFormat="1" customHeight="1" s="115">
      <c r="A7" s="42" t="inlineStr">
        <is>
          <t>SS-3</t>
        </is>
      </c>
      <c r="B7" s="6" t="inlineStr">
        <is>
          <t>Github</t>
        </is>
      </c>
      <c r="C7" s="6" t="inlineStr">
        <is>
          <t>SW-Desarrollo
Activos con control de acceso</t>
        </is>
      </c>
      <c r="D7" s="6" t="inlineStr">
        <is>
          <t>Repositorio de componentes reutilizables</t>
        </is>
      </c>
      <c r="E7" s="30" t="inlineStr">
        <is>
          <t>SP-2 Desarrollo de soluciones IA</t>
        </is>
      </c>
      <c r="F7" s="151" t="inlineStr">
        <is>
          <t>Marc Muixí</t>
        </is>
      </c>
      <c r="G7" s="34" t="n">
        <v>2</v>
      </c>
      <c r="H7" s="35" t="n">
        <v>2</v>
      </c>
      <c r="I7" s="35" t="n">
        <v>2</v>
      </c>
      <c r="J7" s="35" t="n">
        <v>2</v>
      </c>
      <c r="K7" s="35" t="n">
        <v>2</v>
      </c>
      <c r="L7" s="9">
        <f>IF(OR(G7&lt;&gt;"",H7&lt;&gt;"",I7&lt;&gt;"",K7&lt;&gt;"",J7&lt;&gt;""),MAX(G7:K7),"")</f>
        <v/>
      </c>
      <c r="M7" s="165">
        <f>IF(G7="","",VLOOKUP(G7,Valor_Actiu_NivellENS,2,FALSE))</f>
        <v/>
      </c>
      <c r="N7" s="76">
        <f>IF(H7="","",VLOOKUP(H7,Valor_Actiu_NivellENS,2,FALSE))</f>
        <v/>
      </c>
      <c r="O7" s="76">
        <f>IF(I7="","",VLOOKUP(I7,Valor_Actiu_NivellENS,2,FALSE))</f>
        <v/>
      </c>
      <c r="P7" s="76">
        <f>IF(J7="","",VLOOKUP(J7,Valor_Actiu_NivellENS,2,FALSE))</f>
        <v/>
      </c>
      <c r="Q7" s="76">
        <f>IF(K7="","",VLOOKUP(K7,Valor_Actiu_NivellENS,2,FALSE))</f>
        <v/>
      </c>
      <c r="R7" s="72">
        <f>IF(OR(M7&lt;&gt;"",N7&lt;&gt;"",O7&lt;&gt;"",Q7&lt;&gt;"",P7&lt;&gt;""),MAX(M7:Q7),"")</f>
        <v/>
      </c>
      <c r="S7" s="74">
        <f>VLOOKUP(R7,NivellENS_Categoria,2,FALSE)</f>
        <v/>
      </c>
      <c r="T7" s="166" t="n"/>
      <c r="U7" s="87" t="n"/>
      <c r="V7" s="87" t="n"/>
      <c r="W7" s="87" t="n"/>
      <c r="X7" s="87" t="n"/>
      <c r="Y7" s="87" t="n"/>
      <c r="Z7" s="87" t="n"/>
      <c r="AA7" s="87" t="n"/>
      <c r="AB7" s="87" t="n"/>
      <c r="AC7" s="87" t="n"/>
      <c r="AD7" s="87" t="n"/>
      <c r="AE7" s="87" t="n"/>
      <c r="AF7" s="87" t="n"/>
      <c r="AG7" s="87" t="n"/>
      <c r="AH7" s="87" t="n"/>
      <c r="AI7" s="87" t="n"/>
    </row>
    <row r="8" ht="37.5" customFormat="1" customHeight="1" s="115">
      <c r="A8" s="42" t="inlineStr">
        <is>
          <t>SS-4</t>
        </is>
      </c>
      <c r="B8" s="6" t="inlineStr">
        <is>
          <t>Servicios IA</t>
        </is>
      </c>
      <c r="C8" s="6" t="inlineStr">
        <is>
          <t>SW-Productividad
Activos con control de acceso</t>
        </is>
      </c>
      <c r="D8" s="6" t="inlineStr">
        <is>
          <t>ChatGPT, Copilot, Perplexity, ...</t>
        </is>
      </c>
      <c r="E8" s="6" t="inlineStr">
        <is>
          <t>SP-Servicios corporativos</t>
        </is>
      </c>
      <c r="F8" s="151" t="inlineStr">
        <is>
          <t>Marc Muixí</t>
        </is>
      </c>
      <c r="G8" s="34" t="n">
        <v>1</v>
      </c>
      <c r="H8" s="35" t="n">
        <v>1</v>
      </c>
      <c r="I8" s="35" t="n">
        <v>1</v>
      </c>
      <c r="J8" s="35" t="n">
        <v>1</v>
      </c>
      <c r="K8" s="35" t="n">
        <v>1</v>
      </c>
      <c r="L8" s="9">
        <f>IF(OR(G8&lt;&gt;"",H8&lt;&gt;"",I8&lt;&gt;"",K8&lt;&gt;"",J8&lt;&gt;""),MAX(G8:K8),"")</f>
        <v/>
      </c>
      <c r="M8" s="165">
        <f>IF(G8="","",VLOOKUP(G8,Valor_Actiu_NivellENS,2,FALSE))</f>
        <v/>
      </c>
      <c r="N8" s="76">
        <f>IF(H8="","",VLOOKUP(H8,Valor_Actiu_NivellENS,2,FALSE))</f>
        <v/>
      </c>
      <c r="O8" s="76">
        <f>IF(I8="","",VLOOKUP(I8,Valor_Actiu_NivellENS,2,FALSE))</f>
        <v/>
      </c>
      <c r="P8" s="76">
        <f>IF(J8="","",VLOOKUP(J8,Valor_Actiu_NivellENS,2,FALSE))</f>
        <v/>
      </c>
      <c r="Q8" s="76">
        <f>IF(K8="","",VLOOKUP(K8,Valor_Actiu_NivellENS,2,FALSE))</f>
        <v/>
      </c>
      <c r="R8" s="72">
        <f>IF(OR(M8&lt;&gt;"",N8&lt;&gt;"",O8&lt;&gt;"",Q8&lt;&gt;"",P8&lt;&gt;""),MAX(M8:Q8),"")</f>
        <v/>
      </c>
      <c r="S8" s="74">
        <f>VLOOKUP(R8,NivellENS_Categoria,2,FALSE)</f>
        <v/>
      </c>
      <c r="T8" s="166" t="n"/>
      <c r="U8" s="87" t="n"/>
      <c r="V8" s="87" t="n"/>
      <c r="W8" s="87" t="n"/>
      <c r="X8" s="87" t="n"/>
      <c r="Y8" s="87" t="n"/>
      <c r="Z8" s="87" t="n"/>
      <c r="AA8" s="87" t="n"/>
      <c r="AB8" s="87" t="n"/>
      <c r="AC8" s="87" t="n"/>
      <c r="AD8" s="87" t="n"/>
      <c r="AE8" s="87" t="n"/>
      <c r="AF8" s="87" t="n"/>
      <c r="AG8" s="87" t="n"/>
      <c r="AH8" s="87" t="n"/>
      <c r="AI8" s="87" t="n"/>
    </row>
    <row r="9" ht="37.5" customFormat="1" customHeight="1" s="21">
      <c r="A9" s="4" t="inlineStr">
        <is>
          <t>SS-5</t>
        </is>
      </c>
      <c r="B9" s="6" t="inlineStr">
        <is>
          <t>Azure repos</t>
        </is>
      </c>
      <c r="C9" s="6" t="inlineStr">
        <is>
          <t>SW-Desarrollo
Activos con control de acceso</t>
        </is>
      </c>
      <c r="D9" s="6" t="inlineStr">
        <is>
          <t>repositorio de soluciones de cliente y arquitecturas internas</t>
        </is>
      </c>
      <c r="E9" s="6" t="inlineStr">
        <is>
          <t>SP-2 Desarrollo de soluciones IA
SP-3 Explotación de plataformas tecnológicas de soluciones IA</t>
        </is>
      </c>
      <c r="F9" s="151" t="inlineStr">
        <is>
          <t>Marc Muixí</t>
        </is>
      </c>
      <c r="G9" s="198" t="n">
        <v>3</v>
      </c>
      <c r="H9" s="7" t="n">
        <v>2</v>
      </c>
      <c r="I9" s="7" t="n">
        <v>3</v>
      </c>
      <c r="J9" s="7" t="n">
        <v>3</v>
      </c>
      <c r="K9" s="7" t="n">
        <v>3</v>
      </c>
      <c r="L9" s="9" t="n">
        <v>3</v>
      </c>
      <c r="M9" s="70">
        <f>IF(G9="","",VLOOKUP(G9,Valor_Actiu_NivellENS,2,FALSE))</f>
        <v/>
      </c>
      <c r="N9" s="71">
        <f>IF(H9="","",VLOOKUP(H9,Valor_Actiu_NivellENS,2,FALSE))</f>
        <v/>
      </c>
      <c r="O9" s="71">
        <f>IF(I9="","",VLOOKUP(I9,Valor_Actiu_NivellENS,2,FALSE))</f>
        <v/>
      </c>
      <c r="P9" s="71">
        <f>IF(J9="","",VLOOKUP(J9,Valor_Actiu_NivellENS,2,FALSE))</f>
        <v/>
      </c>
      <c r="Q9" s="71">
        <f>IF(K9="","",VLOOKUP(K9,Valor_Actiu_NivellENS,2,FALSE))</f>
        <v/>
      </c>
      <c r="R9" s="72">
        <f>IF(OR(M9&lt;&gt;"",N9&lt;&gt;"",O9&lt;&gt;"",Q9&lt;&gt;"",P9&lt;&gt;""),MAX(M9:Q9),"")</f>
        <v/>
      </c>
      <c r="S9" s="73">
        <f>VLOOKUP(R9,NivellENS_Categoria,2,FALSE)</f>
        <v/>
      </c>
      <c r="T9" s="33" t="n"/>
      <c r="U9" s="18" t="n"/>
      <c r="V9" s="18" t="n"/>
      <c r="W9" s="18" t="n"/>
      <c r="X9" s="18" t="n"/>
      <c r="Y9" s="18" t="n"/>
      <c r="Z9" s="18" t="n"/>
      <c r="AA9" s="18" t="n"/>
      <c r="AB9" s="18" t="n"/>
      <c r="AC9" s="18" t="n"/>
      <c r="AD9" s="18" t="n"/>
      <c r="AE9" s="18" t="n"/>
      <c r="AF9" s="18" t="n"/>
      <c r="AG9" s="18" t="n"/>
      <c r="AH9" s="18" t="n"/>
      <c r="AI9" s="18" t="n"/>
    </row>
    <row r="10" ht="37.5" customFormat="1" customHeight="1" s="114">
      <c r="A10" s="82" t="inlineStr">
        <is>
          <t>SS-6</t>
        </is>
      </c>
      <c r="B10" s="150" t="n"/>
      <c r="C10" s="6" t="n"/>
      <c r="D10" s="6" t="n"/>
      <c r="E10" s="84" t="n"/>
      <c r="F10" s="151" t="n"/>
      <c r="G10" s="34" t="n"/>
      <c r="H10" s="35" t="n"/>
      <c r="I10" s="35" t="n"/>
      <c r="J10" s="35" t="n"/>
      <c r="K10" s="35" t="n"/>
      <c r="L10" s="9" t="n"/>
      <c r="M10" s="165">
        <f>IF(G10="","",VLOOKUP(G10,Valor_Actiu_NivellENS,2,FALSE))</f>
        <v/>
      </c>
      <c r="N10" s="76">
        <f>IF(H10="","",VLOOKUP(H10,Valor_Actiu_NivellENS,2,FALSE))</f>
        <v/>
      </c>
      <c r="O10" s="76">
        <f>IF(I10="","",VLOOKUP(I10,Valor_Actiu_NivellENS,2,FALSE))</f>
        <v/>
      </c>
      <c r="P10" s="76">
        <f>IF(J10="","",VLOOKUP(J10,Valor_Actiu_NivellENS,2,FALSE))</f>
        <v/>
      </c>
      <c r="Q10" s="76">
        <f>IF(K10="","",VLOOKUP(K10,Valor_Actiu_NivellENS,2,FALSE))</f>
        <v/>
      </c>
      <c r="R10" s="72">
        <f>IF(OR(M10&lt;&gt;"",N10&lt;&gt;"",O10&lt;&gt;"",Q10&lt;&gt;"",P10&lt;&gt;""),MAX(M10:Q10),"")</f>
        <v/>
      </c>
      <c r="S10" s="74">
        <f>VLOOKUP(R10,NivellENS_Categoria,2,FALSE)</f>
        <v/>
      </c>
      <c r="T10" s="166" t="n"/>
      <c r="U10" s="116" t="n"/>
      <c r="V10" s="116" t="n"/>
      <c r="W10" s="116" t="n"/>
      <c r="X10" s="116" t="n"/>
      <c r="Y10" s="116" t="n"/>
      <c r="Z10" s="116" t="n"/>
      <c r="AA10" s="116" t="n"/>
      <c r="AB10" s="116" t="n"/>
      <c r="AC10" s="116" t="n"/>
      <c r="AD10" s="116" t="n"/>
      <c r="AE10" s="116" t="n"/>
      <c r="AF10" s="116" t="n"/>
      <c r="AG10" s="116" t="n"/>
      <c r="AH10" s="116" t="n"/>
      <c r="AI10" s="116" t="n"/>
    </row>
    <row r="21" ht="15" customHeight="1">
      <c r="E21" s="6" t="inlineStr">
        <is>
          <t>Azure applicability and in-scope services</t>
        </is>
      </c>
    </row>
  </sheetData>
  <mergeCells count="5">
    <mergeCell ref="G2:L2"/>
    <mergeCell ref="M2:S2"/>
    <mergeCell ref="G1:T1"/>
    <mergeCell ref="C1:F1"/>
    <mergeCell ref="A1:B1"/>
  </mergeCells>
  <conditionalFormatting sqref="L4:L8">
    <cfRule type="colorScale" priority="1">
      <colorScale>
        <cfvo type="num" val="0"/>
        <cfvo type="num" val="3"/>
        <color rgb="FFFFEF9C"/>
        <color theme="5"/>
      </colorScale>
    </cfRule>
  </conditionalFormatting>
  <conditionalFormatting sqref="L9:L10">
    <cfRule type="colorScale" priority="2">
      <colorScale>
        <cfvo type="num" val="0"/>
        <cfvo type="num" val="3"/>
        <color rgb="FFFFEF9C"/>
        <color theme="5"/>
      </colorScale>
    </cfRule>
  </conditionalFormatting>
  <conditionalFormatting sqref="S4:S10">
    <cfRule type="cellIs" priority="3" operator="equal" dxfId="2">
      <formula>"ALTA"</formula>
    </cfRule>
    <cfRule type="cellIs" priority="4" operator="equal" dxfId="1">
      <formula>"BAJA"</formula>
    </cfRule>
    <cfRule type="cellIs" priority="5" operator="equal" dxfId="0">
      <formula>"MEDIA"</formula>
    </cfRule>
  </conditionalFormatting>
  <dataValidations count="1">
    <dataValidation sqref="G4:K10" showDropDown="0" showInputMessage="0" showErrorMessage="1" allowBlank="1" type="list">
      <formula1>Impacte</formula1>
    </dataValidation>
  </dataValidations>
  <pageMargins left="0.7" right="0.7" top="0.75" bottom="0.75" header="0" footer="0"/>
  <pageSetup orientation="landscape" scale="47" fitToHeight="0"/>
</worksheet>
</file>

<file path=xl/worksheets/sheet8.xml><?xml version="1.0" encoding="utf-8"?>
<worksheet xmlns="http://schemas.openxmlformats.org/spreadsheetml/2006/main">
  <sheetPr>
    <outlinePr summaryBelow="1" summaryRight="1"/>
    <pageSetUpPr fitToPage="1"/>
  </sheetPr>
  <dimension ref="A1:AI7"/>
  <sheetViews>
    <sheetView zoomScale="80" zoomScaleNormal="80" workbookViewId="0">
      <selection activeCell="D29" sqref="D29"/>
    </sheetView>
  </sheetViews>
  <sheetFormatPr baseColWidth="8" defaultColWidth="14.28515625" defaultRowHeight="15" customHeight="1"/>
  <cols>
    <col width="7.28515625" customWidth="1" min="1" max="1"/>
    <col width="39.28515625" customWidth="1" min="2" max="2"/>
    <col width="31.85546875" bestFit="1" customWidth="1" min="3" max="3"/>
    <col width="56.28515625" customWidth="1" min="4" max="4"/>
    <col width="41.140625" bestFit="1" customWidth="1" min="5" max="5"/>
    <col width="24.28515625" customWidth="1" min="6" max="6"/>
    <col width="8" customWidth="1" min="7" max="11"/>
    <col width="11.28515625" customWidth="1" min="12" max="12"/>
    <col width="7.7109375" customWidth="1" style="63" min="13" max="17"/>
    <col width="11.28515625" customWidth="1" style="63" min="18" max="19"/>
    <col width="52.7109375" customWidth="1" min="20" max="20"/>
    <col width="9.140625" customWidth="1" min="21" max="35"/>
  </cols>
  <sheetData>
    <row r="1" ht="58.15" customHeight="1">
      <c r="A1" s="234" t="n"/>
      <c r="B1" s="281" t="n"/>
      <c r="C1" s="147" t="inlineStr">
        <is>
          <t>VALORACIÓ DE ACTIVOS DE EQUIPOS (FÍSICOS Y VIRTUALES)</t>
        </is>
      </c>
      <c r="D1" s="282" t="n"/>
      <c r="E1" s="282" t="n"/>
      <c r="F1" s="286" t="n"/>
      <c r="G1" s="296" t="n"/>
      <c r="H1" s="282" t="n"/>
      <c r="I1" s="282" t="n"/>
      <c r="J1" s="282" t="n"/>
      <c r="K1" s="282" t="n"/>
      <c r="L1" s="282" t="n"/>
      <c r="M1" s="282" t="n"/>
      <c r="N1" s="282" t="n"/>
      <c r="O1" s="282" t="n"/>
      <c r="P1" s="282" t="n"/>
      <c r="Q1" s="282" t="n"/>
      <c r="R1" s="282" t="n"/>
      <c r="S1" s="282" t="n"/>
      <c r="T1" s="286" t="n"/>
    </row>
    <row r="2" ht="33.4" customHeight="1">
      <c r="A2" s="233" t="n"/>
      <c r="B2" s="234" t="n"/>
      <c r="C2" s="211" t="n"/>
      <c r="D2" s="212" t="n"/>
      <c r="E2" s="212" t="n"/>
      <c r="F2" s="212" t="n"/>
      <c r="G2" s="236" t="inlineStr">
        <is>
          <t>Valoración del Activo</t>
        </is>
      </c>
      <c r="H2" s="297" t="n"/>
      <c r="I2" s="297" t="n"/>
      <c r="J2" s="297" t="n"/>
      <c r="K2" s="297" t="n"/>
      <c r="L2" s="298" t="n"/>
      <c r="M2" s="235" t="inlineStr">
        <is>
          <t>Categorización ENS</t>
        </is>
      </c>
      <c r="N2" s="283" t="n"/>
      <c r="O2" s="283" t="n"/>
      <c r="P2" s="283" t="n"/>
      <c r="Q2" s="283" t="n"/>
      <c r="R2" s="283" t="n"/>
      <c r="S2" s="299" t="n"/>
      <c r="T2" s="258" t="n"/>
    </row>
    <row r="3" ht="81.59999999999999" customFormat="1" customHeight="1" s="2" thickBot="1">
      <c r="A3" s="99" t="inlineStr">
        <is>
          <t>ID</t>
        </is>
      </c>
      <c r="B3" s="99" t="inlineStr">
        <is>
          <t>Nombre</t>
        </is>
      </c>
      <c r="C3" s="99" t="inlineStr">
        <is>
          <t>Grupo</t>
        </is>
      </c>
      <c r="D3" s="99" t="inlineStr">
        <is>
          <t>Descripción</t>
        </is>
      </c>
      <c r="E3" s="99" t="inlineStr">
        <is>
          <t>Activos Relacionados</t>
        </is>
      </c>
      <c r="F3" s="103" t="inlineStr">
        <is>
          <t>Responsable</t>
        </is>
      </c>
      <c r="G3" s="123" t="inlineStr">
        <is>
          <t>Disponibilidad</t>
        </is>
      </c>
      <c r="H3" s="100" t="inlineStr">
        <is>
          <t>Integridad</t>
        </is>
      </c>
      <c r="I3" s="100" t="inlineStr">
        <is>
          <t>Confidencialidad</t>
        </is>
      </c>
      <c r="J3" s="100" t="inlineStr">
        <is>
          <t>Autenticidad</t>
        </is>
      </c>
      <c r="K3" s="100" t="inlineStr">
        <is>
          <t>Trazabilidad</t>
        </is>
      </c>
      <c r="L3" s="124" t="inlineStr">
        <is>
          <t>VALOR
ACTIVO</t>
        </is>
      </c>
      <c r="M3" s="126" t="inlineStr">
        <is>
          <t>Disponibilidad</t>
        </is>
      </c>
      <c r="N3" s="109" t="inlineStr">
        <is>
          <t>Integridad</t>
        </is>
      </c>
      <c r="O3" s="109" t="inlineStr">
        <is>
          <t>Confidencialidad</t>
        </is>
      </c>
      <c r="P3" s="109" t="inlineStr">
        <is>
          <t>Autenticidad</t>
        </is>
      </c>
      <c r="Q3" s="109" t="inlineStr">
        <is>
          <t>Trazabilidad</t>
        </is>
      </c>
      <c r="R3" s="110" t="inlineStr">
        <is>
          <t>NIVEL
ACTIVO</t>
        </is>
      </c>
      <c r="S3" s="127" t="inlineStr">
        <is>
          <t>CATEGORIA
ACTIVO</t>
        </is>
      </c>
      <c r="T3" s="119" t="inlineStr">
        <is>
          <t>Notas</t>
        </is>
      </c>
      <c r="U3" s="3" t="n"/>
      <c r="V3" s="3" t="n"/>
      <c r="W3" s="3" t="n"/>
      <c r="X3" s="3" t="n"/>
      <c r="Y3" s="3" t="n"/>
      <c r="Z3" s="3" t="n"/>
      <c r="AA3" s="3" t="n"/>
      <c r="AB3" s="3" t="n"/>
      <c r="AC3" s="3" t="n"/>
      <c r="AD3" s="3" t="n"/>
      <c r="AE3" s="3" t="n"/>
      <c r="AF3" s="3" t="n"/>
      <c r="AG3" s="3" t="n"/>
      <c r="AH3" s="3" t="n"/>
      <c r="AI3" s="3" t="n"/>
    </row>
    <row r="4" ht="28.15" customFormat="1" customHeight="1" s="10">
      <c r="A4" s="4" t="inlineStr">
        <is>
          <t>HW-1</t>
        </is>
      </c>
      <c r="B4" s="178" t="inlineStr">
        <is>
          <t>Equipos de trabajo</t>
        </is>
      </c>
      <c r="C4" s="178" t="inlineStr">
        <is>
          <t>HW-Uso personal
Activos con control de acceso</t>
        </is>
      </c>
      <c r="D4" s="178" t="inlineStr">
        <is>
          <t>Windows y macOS. Portatiles personales con cuentas específicas para la empresa</t>
        </is>
      </c>
      <c r="E4" s="6" t="inlineStr">
        <is>
          <t>SP-Servicios a clientes
SP-Servicios corporativos</t>
        </is>
      </c>
      <c r="F4" s="179" t="inlineStr">
        <is>
          <t>Marc Muixí</t>
        </is>
      </c>
      <c r="G4" s="78" t="n">
        <v>2</v>
      </c>
      <c r="H4" s="7" t="n">
        <v>2</v>
      </c>
      <c r="I4" s="7" t="n">
        <v>1</v>
      </c>
      <c r="J4" s="7" t="n">
        <v>2</v>
      </c>
      <c r="K4" s="7" t="n">
        <v>2</v>
      </c>
      <c r="L4" s="69">
        <f>IF(OR(G4&lt;&gt;"",H4&lt;&gt;"",I4&lt;&gt;"",K4&lt;&gt;"",J4&lt;&gt;""),MAX(G4:K4),"")</f>
        <v/>
      </c>
      <c r="M4" s="81">
        <f>IF(G4="","",VLOOKUP(G4,Valor_Actiu_NivellENS,2,FALSE))</f>
        <v/>
      </c>
      <c r="N4" s="81">
        <f>IF(H4="","",VLOOKUP(H4,Valor_Actiu_NivellENS,2,FALSE))</f>
        <v/>
      </c>
      <c r="O4" s="81">
        <f>IF(I4="","",VLOOKUP(I4,Valor_Actiu_NivellENS,2,FALSE))</f>
        <v/>
      </c>
      <c r="P4" s="81">
        <f>IF(J4="","",VLOOKUP(J4,Valor_Actiu_NivellENS,2,FALSE))</f>
        <v/>
      </c>
      <c r="Q4" s="81">
        <f>IF(K4="","",VLOOKUP(K4,Valor_Actiu_NivellENS,2,FALSE))</f>
        <v/>
      </c>
      <c r="R4" s="72">
        <f>IF(OR(M4&lt;&gt;"",N4&lt;&gt;"",O4&lt;&gt;"",Q4&lt;&gt;"",P4&lt;&gt;""),MAX(M4:Q4),"")</f>
        <v/>
      </c>
      <c r="S4" s="75">
        <f>VLOOKUP(R4,NivellENS_Categoria,2,FALSE)</f>
        <v/>
      </c>
      <c r="T4" s="79" t="n"/>
    </row>
    <row r="5" ht="28.15" customFormat="1" customHeight="1" s="10">
      <c r="A5" s="4" t="inlineStr">
        <is>
          <t>HW-2</t>
        </is>
      </c>
      <c r="B5" s="6" t="inlineStr">
        <is>
          <t>Dispositivos móbiles</t>
        </is>
      </c>
      <c r="C5" s="6" t="inlineStr">
        <is>
          <t>HW-Uso personal
Activos con control de acceso</t>
        </is>
      </c>
      <c r="D5" s="6" t="inlineStr">
        <is>
          <t>iOS &amp; Android para la autenticación 2FA</t>
        </is>
      </c>
      <c r="E5" s="6" t="inlineStr">
        <is>
          <t>SP-Servicios a clientes
SP-Servicios corporativos</t>
        </is>
      </c>
      <c r="F5" s="180" t="inlineStr">
        <is>
          <t>Marc Muixí</t>
        </is>
      </c>
      <c r="G5" s="78" t="n">
        <v>2</v>
      </c>
      <c r="H5" s="7" t="n">
        <v>2</v>
      </c>
      <c r="I5" s="7" t="n">
        <v>2</v>
      </c>
      <c r="J5" s="7" t="n">
        <v>2</v>
      </c>
      <c r="K5" s="7" t="n">
        <v>2</v>
      </c>
      <c r="L5" s="69" t="n">
        <v>2</v>
      </c>
      <c r="M5" s="81" t="n">
        <v>2</v>
      </c>
      <c r="N5" s="81" t="n">
        <v>2</v>
      </c>
      <c r="O5" s="81" t="n">
        <v>2</v>
      </c>
      <c r="P5" s="81" t="n">
        <v>2</v>
      </c>
      <c r="Q5" s="81" t="n">
        <v>2</v>
      </c>
      <c r="R5" s="72">
        <f>IF(OR(M5&lt;&gt;"",N5&lt;&gt;"",O5&lt;&gt;"",Q5&lt;&gt;"",P5&lt;&gt;""),MAX(M5:Q5),"")</f>
        <v/>
      </c>
      <c r="S5" s="75" t="n"/>
      <c r="T5" s="79" t="n"/>
    </row>
    <row r="6">
      <c r="A6" s="4" t="inlineStr">
        <is>
          <t>HW-3</t>
        </is>
      </c>
      <c r="B6" s="178" t="inlineStr">
        <is>
          <t>MacBook Comercial/Ventas</t>
        </is>
      </c>
      <c r="C6" s="178" t="inlineStr">
        <is>
          <t>HW-Uso personal
Activos con control de acceso</t>
        </is>
      </c>
      <c r="D6" s="178" t="inlineStr">
        <is>
          <t>MacBook portátil corporativo para departamento Comercial/Ventas. Pendiente de adquisición.</t>
        </is>
      </c>
      <c r="E6" s="6" t="inlineStr">
        <is>
          <t>SP-Servicios a clientes
SP-Servicios corporativos</t>
        </is>
      </c>
      <c r="F6" s="179" t="inlineStr">
        <is>
          <t>Dpto. Ventas</t>
        </is>
      </c>
      <c r="G6" s="78" t="n">
        <v>2</v>
      </c>
      <c r="H6" s="7" t="n">
        <v>2</v>
      </c>
      <c r="I6" s="7" t="n">
        <v>1</v>
      </c>
      <c r="J6" s="7" t="n">
        <v>2</v>
      </c>
      <c r="K6" s="7" t="n">
        <v>2</v>
      </c>
      <c r="L6" s="69">
        <f>IF(OR(G6&lt;&gt;"",H6&lt;&gt;"",I6&lt;&gt;"",K6&lt;&gt;"",J6&lt;&gt;""),MAX(G6:K6),"")</f>
        <v/>
      </c>
      <c r="M6" s="81">
        <f>IF(G6="","",VLOOKUP(G6,Valor_Actiu_NivellENS,2,FALSE))</f>
        <v/>
      </c>
      <c r="N6" s="81">
        <f>IF(H6="","",VLOOKUP(H6,Valor_Actiu_NivellENS,2,FALSE))</f>
        <v/>
      </c>
      <c r="O6" s="81">
        <f>IF(I6="","",VLOOKUP(I6,Valor_Actiu_NivellENS,2,FALSE))</f>
        <v/>
      </c>
      <c r="P6" s="81">
        <f>IF(J6="","",VLOOKUP(J6,Valor_Actiu_NivellENS,2,FALSE))</f>
        <v/>
      </c>
      <c r="Q6" s="81">
        <f>IF(K6="","",VLOOKUP(K6,Valor_Actiu_NivellENS,2,FALSE))</f>
        <v/>
      </c>
      <c r="R6" s="72">
        <f>IF(OR(M6&lt;&gt;"",N6&lt;&gt;"",O6&lt;&gt;"",Q6&lt;&gt;"",P6&lt;&gt;""),MAX(M6:Q6),"")</f>
        <v/>
      </c>
      <c r="S6" s="75">
        <f>VLOOKUP(R6,NivellENS_Categoria,2,FALSE)</f>
        <v/>
      </c>
      <c r="T6" s="79" t="inlineStr">
        <is>
          <t>Pendiente de compra - Marzo 2026</t>
        </is>
      </c>
    </row>
    <row r="7">
      <c r="A7" s="4" t="inlineStr">
        <is>
          <t>HW-4</t>
        </is>
      </c>
      <c r="B7" s="178" t="inlineStr">
        <is>
          <t>MacBook Marketing</t>
        </is>
      </c>
      <c r="C7" s="178" t="inlineStr">
        <is>
          <t>HW-Uso personal
Activos con control de acceso</t>
        </is>
      </c>
      <c r="D7" s="178" t="inlineStr">
        <is>
          <t>MacBook portátil corporativo para departamento de Marketing. Pendiente de adquisición.</t>
        </is>
      </c>
      <c r="E7" s="6" t="inlineStr">
        <is>
          <t>SP-Servicios a clientes
SP-Servicios corporativos</t>
        </is>
      </c>
      <c r="F7" s="179" t="inlineStr">
        <is>
          <t>Dpto. Marketing</t>
        </is>
      </c>
      <c r="G7" s="78" t="n">
        <v>2</v>
      </c>
      <c r="H7" s="7" t="n">
        <v>2</v>
      </c>
      <c r="I7" s="7" t="n">
        <v>1</v>
      </c>
      <c r="J7" s="7" t="n">
        <v>2</v>
      </c>
      <c r="K7" s="7" t="n">
        <v>2</v>
      </c>
      <c r="L7" s="69">
        <f>IF(OR(G7&lt;&gt;"",H7&lt;&gt;"",I7&lt;&gt;"",K7&lt;&gt;"",J7&lt;&gt;""),MAX(G7:K7),"")</f>
        <v/>
      </c>
      <c r="M7" s="81">
        <f>IF(G7="","",VLOOKUP(G7,Valor_Actiu_NivellENS,2,FALSE))</f>
        <v/>
      </c>
      <c r="N7" s="81">
        <f>IF(H7="","",VLOOKUP(H7,Valor_Actiu_NivellENS,2,FALSE))</f>
        <v/>
      </c>
      <c r="O7" s="81">
        <f>IF(I7="","",VLOOKUP(I7,Valor_Actiu_NivellENS,2,FALSE))</f>
        <v/>
      </c>
      <c r="P7" s="81">
        <f>IF(J7="","",VLOOKUP(J7,Valor_Actiu_NivellENS,2,FALSE))</f>
        <v/>
      </c>
      <c r="Q7" s="81">
        <f>IF(K7="","",VLOOKUP(K7,Valor_Actiu_NivellENS,2,FALSE))</f>
        <v/>
      </c>
      <c r="R7" s="72">
        <f>IF(OR(M7&lt;&gt;"",N7&lt;&gt;"",O7&lt;&gt;"",Q7&lt;&gt;"",P7&lt;&gt;""),MAX(M7:Q7),"")</f>
        <v/>
      </c>
      <c r="S7" s="75">
        <f>VLOOKUP(R7,NivellENS_Categoria,2,FALSE)</f>
        <v/>
      </c>
      <c r="T7" s="79" t="inlineStr">
        <is>
          <t>Pendiente de compra - Marzo 2026</t>
        </is>
      </c>
    </row>
  </sheetData>
  <mergeCells count="5">
    <mergeCell ref="G2:L2"/>
    <mergeCell ref="M2:S2"/>
    <mergeCell ref="G1:T1"/>
    <mergeCell ref="C1:F1"/>
    <mergeCell ref="A1:B1"/>
  </mergeCells>
  <conditionalFormatting sqref="L4:L5">
    <cfRule type="colorScale" priority="5">
      <colorScale>
        <cfvo type="num" val="0"/>
        <cfvo type="num" val="3"/>
        <color rgb="FFFFEF9C"/>
        <color theme="5"/>
      </colorScale>
    </cfRule>
  </conditionalFormatting>
  <conditionalFormatting sqref="S4:S5">
    <cfRule type="cellIs" priority="1" operator="equal" dxfId="2">
      <formula>"ALTA"</formula>
    </cfRule>
    <cfRule type="cellIs" priority="2" operator="equal" dxfId="1">
      <formula>"BAJA"</formula>
    </cfRule>
    <cfRule type="cellIs" priority="3" operator="equal" dxfId="0">
      <formula>"MEDIA"</formula>
    </cfRule>
  </conditionalFormatting>
  <dataValidations count="1">
    <dataValidation sqref="G4:K5 M4:Q5" showDropDown="0" showInputMessage="0" showErrorMessage="1" allowBlank="1" type="list">
      <formula1>Impacte</formula1>
    </dataValidation>
  </dataValidations>
  <pageMargins left="0.7" right="0.7" top="0.75" bottom="0.75" header="0" footer="0"/>
  <pageSetup orientation="landscape" scale="40" fitToHeight="0"/>
</worksheet>
</file>

<file path=xl/worksheets/sheet9.xml><?xml version="1.0" encoding="utf-8"?>
<worksheet xmlns="http://schemas.openxmlformats.org/spreadsheetml/2006/main">
  <sheetPr>
    <outlinePr summaryBelow="1" summaryRight="1"/>
    <pageSetUpPr fitToPage="1"/>
  </sheetPr>
  <dimension ref="A1:AI5"/>
  <sheetViews>
    <sheetView zoomScale="80" zoomScaleNormal="80" workbookViewId="0">
      <selection activeCell="L4" sqref="L4"/>
    </sheetView>
  </sheetViews>
  <sheetFormatPr baseColWidth="8" defaultColWidth="14.28515625" defaultRowHeight="15" customHeight="1"/>
  <cols>
    <col width="9.28515625" customWidth="1" min="1" max="1"/>
    <col width="26.7109375" customWidth="1" min="2" max="2"/>
    <col width="31.28515625" customWidth="1" min="3" max="3"/>
    <col width="59" customWidth="1" min="4" max="4"/>
    <col width="57.85546875" customWidth="1" min="5" max="5"/>
    <col width="23.85546875" customWidth="1" min="6" max="6"/>
    <col width="7" customWidth="1" min="7" max="11"/>
    <col width="9.140625" customWidth="1" min="12" max="12"/>
    <col width="7.7109375" customWidth="1" style="63" min="13" max="17"/>
    <col width="11.28515625" customWidth="1" style="63" min="18" max="19"/>
    <col width="52.7109375" customWidth="1" min="20" max="20"/>
    <col width="9.140625" customWidth="1" min="21" max="35"/>
  </cols>
  <sheetData>
    <row r="1" ht="55.15" customHeight="1">
      <c r="A1" s="280" t="n"/>
      <c r="B1" s="281" t="n"/>
      <c r="C1" s="237" t="inlineStr">
        <is>
          <t>VALORACIÓN DE ACTIVOS DE INFRAESTRUCTURE AS A SERVICE (IaaS)</t>
        </is>
      </c>
      <c r="D1" s="300" t="n"/>
      <c r="E1" s="300" t="n"/>
      <c r="F1" s="300" t="n"/>
      <c r="G1" s="232" t="n"/>
      <c r="H1" s="282" t="n"/>
      <c r="I1" s="282" t="n"/>
      <c r="J1" s="282" t="n"/>
      <c r="K1" s="282" t="n"/>
      <c r="L1" s="282" t="n"/>
      <c r="M1" s="282" t="n"/>
      <c r="N1" s="282" t="n"/>
      <c r="O1" s="282" t="n"/>
      <c r="P1" s="282" t="n"/>
      <c r="Q1" s="282" t="n"/>
      <c r="R1" s="282" t="n"/>
      <c r="S1" s="282" t="n"/>
      <c r="T1" s="286" t="n"/>
    </row>
    <row r="2" ht="28.5" customHeight="1">
      <c r="A2" s="210" t="n"/>
      <c r="B2" s="253" t="n"/>
      <c r="C2" s="237" t="n"/>
      <c r="D2" s="238" t="n"/>
      <c r="E2" s="238" t="n"/>
      <c r="F2" s="238" t="n"/>
      <c r="G2" s="239" t="inlineStr">
        <is>
          <t>Valoración del Activo</t>
        </is>
      </c>
      <c r="H2" s="297" t="n"/>
      <c r="I2" s="297" t="n"/>
      <c r="J2" s="297" t="n"/>
      <c r="K2" s="297" t="n"/>
      <c r="L2" s="298" t="n"/>
      <c r="M2" s="235" t="inlineStr">
        <is>
          <t>Categorización ENS</t>
        </is>
      </c>
      <c r="N2" s="283" t="n"/>
      <c r="O2" s="283" t="n"/>
      <c r="P2" s="283" t="n"/>
      <c r="Q2" s="283" t="n"/>
      <c r="R2" s="283" t="n"/>
      <c r="S2" s="299" t="n"/>
      <c r="T2" s="258" t="n"/>
    </row>
    <row r="3" ht="80.09999999999999" customFormat="1" customHeight="1" s="2" thickBot="1">
      <c r="A3" s="99" t="inlineStr">
        <is>
          <t>ID</t>
        </is>
      </c>
      <c r="B3" s="99" t="inlineStr">
        <is>
          <t>Nombre</t>
        </is>
      </c>
      <c r="C3" s="99" t="inlineStr">
        <is>
          <t>Grupo</t>
        </is>
      </c>
      <c r="D3" s="99" t="inlineStr">
        <is>
          <t>Descripción</t>
        </is>
      </c>
      <c r="E3" s="99" t="inlineStr">
        <is>
          <t>Activos Relacionados</t>
        </is>
      </c>
      <c r="F3" s="103" t="inlineStr">
        <is>
          <t>Responsable</t>
        </is>
      </c>
      <c r="G3" s="125" t="inlineStr">
        <is>
          <t>Disponibilidad</t>
        </is>
      </c>
      <c r="H3" s="100" t="inlineStr">
        <is>
          <t>Integridad</t>
        </is>
      </c>
      <c r="I3" s="100" t="inlineStr">
        <is>
          <t>Confidencialidad</t>
        </is>
      </c>
      <c r="J3" s="100" t="inlineStr">
        <is>
          <t>Autenticidad</t>
        </is>
      </c>
      <c r="K3" s="100" t="inlineStr">
        <is>
          <t>Trazabilidad</t>
        </is>
      </c>
      <c r="L3" s="122" t="inlineStr">
        <is>
          <t>VALOR
ACTIVO</t>
        </is>
      </c>
      <c r="M3" s="126" t="inlineStr">
        <is>
          <t>Disponibilidad</t>
        </is>
      </c>
      <c r="N3" s="109" t="inlineStr">
        <is>
          <t>Integridad</t>
        </is>
      </c>
      <c r="O3" s="109" t="inlineStr">
        <is>
          <t>Confidencialidad</t>
        </is>
      </c>
      <c r="P3" s="109" t="inlineStr">
        <is>
          <t>Autenticidad</t>
        </is>
      </c>
      <c r="Q3" s="109" t="inlineStr">
        <is>
          <t>Trazabilidad</t>
        </is>
      </c>
      <c r="R3" s="110" t="inlineStr">
        <is>
          <t>NIVEL
ACTIVO</t>
        </is>
      </c>
      <c r="S3" s="127" t="inlineStr">
        <is>
          <t>CATEGORIA
ACTIVO</t>
        </is>
      </c>
      <c r="T3" s="102" t="inlineStr">
        <is>
          <t>Notas</t>
        </is>
      </c>
      <c r="U3" s="3" t="n"/>
      <c r="V3" s="3" t="n"/>
      <c r="W3" s="3" t="n"/>
      <c r="X3" s="3" t="n"/>
      <c r="Y3" s="3" t="n"/>
      <c r="Z3" s="3" t="n"/>
      <c r="AA3" s="3" t="n"/>
      <c r="AB3" s="3" t="n"/>
      <c r="AC3" s="3" t="n"/>
      <c r="AD3" s="3" t="n"/>
      <c r="AE3" s="3" t="n"/>
      <c r="AF3" s="3" t="n"/>
      <c r="AG3" s="3" t="n"/>
      <c r="AH3" s="3" t="n"/>
      <c r="AI3" s="3" t="n"/>
    </row>
    <row r="4" ht="54.6" customFormat="1" customHeight="1" s="10" thickBot="1">
      <c r="A4" s="4" t="inlineStr">
        <is>
          <t>IS-1</t>
        </is>
      </c>
      <c r="B4" s="131" t="inlineStr">
        <is>
          <t>Servicios Gloogle Cloud</t>
        </is>
      </c>
      <c r="C4" s="131" t="inlineStr">
        <is>
          <t>IS-Plataforma Tecnológica
Activos con control de acceso</t>
        </is>
      </c>
      <c r="D4" s="132" t="inlineStr">
        <is>
          <t>Uso de herramientas orientadas a la generación de plataforma en cloud</t>
        </is>
      </c>
      <c r="E4" s="30" t="inlineStr">
        <is>
          <t>SP-3 Explotación de plataformas tecnológicas de soluciones IA
SP-7 Gestión de infraestructura de plataforma tecnológica</t>
        </is>
      </c>
      <c r="F4" s="32" t="inlineStr">
        <is>
          <t>Marc Muixí</t>
        </is>
      </c>
      <c r="G4" s="80" t="n">
        <v>3</v>
      </c>
      <c r="H4" s="7" t="n">
        <v>2</v>
      </c>
      <c r="I4" s="7" t="n">
        <v>2</v>
      </c>
      <c r="J4" s="7" t="n">
        <v>2</v>
      </c>
      <c r="K4" s="7" t="n">
        <v>2</v>
      </c>
      <c r="L4" s="9">
        <f>IF(OR(G4&lt;&gt;"",H4&lt;&gt;"",I4&lt;&gt;"",K4&lt;&gt;"",J4&lt;&gt;""),MAX(G4:K4),"")</f>
        <v/>
      </c>
      <c r="M4" s="70">
        <f>VLOOKUP(G4,Valor_Actiu_NivellENS,2,FALSE)</f>
        <v/>
      </c>
      <c r="N4" s="71">
        <f>VLOOKUP(H4,Valor_Actiu_NivellENS,2,FALSE)</f>
        <v/>
      </c>
      <c r="O4" s="71">
        <f>VLOOKUP(I4,Valor_Actiu_NivellENS,2,FALSE)</f>
        <v/>
      </c>
      <c r="P4" s="71">
        <f>VLOOKUP(J4,Valor_Actiu_NivellENS,2,FALSE)</f>
        <v/>
      </c>
      <c r="Q4" s="71">
        <f>VLOOKUP(K4,Valor_Actiu_NivellENS,2,FALSE)</f>
        <v/>
      </c>
      <c r="R4" s="72">
        <f>IF(OR(M4&lt;&gt;"",N4&lt;&gt;"",O4&lt;&gt;"",Q4&lt;&gt;"",P4&lt;&gt;""),MAX(M4:Q4),"")</f>
        <v/>
      </c>
      <c r="S4" s="73">
        <f>VLOOKUP(R4,NivellENS_Categoria,2,FALSE)</f>
        <v/>
      </c>
      <c r="T4" s="5" t="n"/>
    </row>
    <row r="5" ht="55.15" customFormat="1" customHeight="1" s="10" thickBot="1">
      <c r="A5" s="4" t="inlineStr">
        <is>
          <t>IS-2</t>
        </is>
      </c>
      <c r="B5" s="5" t="inlineStr">
        <is>
          <t>Servicios Azure</t>
        </is>
      </c>
      <c r="C5" s="131" t="inlineStr">
        <is>
          <t>IS-Plataforma Tecnológica
Activos con control de acceso</t>
        </is>
      </c>
      <c r="D5" s="10" t="inlineStr">
        <is>
          <t>Uso de herramientas orientadas a la generación de plataforma en cloud</t>
        </is>
      </c>
      <c r="E5" s="30" t="inlineStr">
        <is>
          <t>SP-3 Explotación de plataformas tecnológicas de soluciones IA
SP-7 Gestión de infraestructura de plataforma tecnológica
S-5 Azure repos</t>
        </is>
      </c>
      <c r="F5" s="32" t="inlineStr">
        <is>
          <t>Marc Muixí</t>
        </is>
      </c>
      <c r="G5" s="80" t="n">
        <v>3</v>
      </c>
      <c r="H5" s="7" t="n">
        <v>2</v>
      </c>
      <c r="I5" s="7" t="n">
        <v>2</v>
      </c>
      <c r="J5" s="7" t="n">
        <v>2</v>
      </c>
      <c r="K5" s="7" t="n">
        <v>2</v>
      </c>
      <c r="L5" s="9">
        <f>IF(OR(G5&lt;&gt;"",H5&lt;&gt;"",I5&lt;&gt;"",K5&lt;&gt;"",J5&lt;&gt;""),MAX(G5:K5),"")</f>
        <v/>
      </c>
      <c r="M5" s="70">
        <f>VLOOKUP(G5,Valor_Actiu_NivellENS,2,FALSE)</f>
        <v/>
      </c>
      <c r="N5" s="71">
        <f>VLOOKUP(H5,Valor_Actiu_NivellENS,2,FALSE)</f>
        <v/>
      </c>
      <c r="O5" s="71">
        <f>VLOOKUP(I5,Valor_Actiu_NivellENS,2,FALSE)</f>
        <v/>
      </c>
      <c r="P5" s="71">
        <f>VLOOKUP(J5,Valor_Actiu_NivellENS,2,FALSE)</f>
        <v/>
      </c>
      <c r="Q5" s="71">
        <f>VLOOKUP(K5,Valor_Actiu_NivellENS,2,FALSE)</f>
        <v/>
      </c>
      <c r="R5" s="72">
        <f>IF(OR(M5&lt;&gt;"",N5&lt;&gt;"",O5&lt;&gt;"",Q5&lt;&gt;"",P5&lt;&gt;""),MAX(M5:Q5),"")</f>
        <v/>
      </c>
      <c r="S5" s="73">
        <f>VLOOKUP(R5,NivellENS_Categoria,2,FALSE)</f>
        <v/>
      </c>
      <c r="T5" s="5" t="n"/>
    </row>
  </sheetData>
  <mergeCells count="5">
    <mergeCell ref="G2:L2"/>
    <mergeCell ref="M2:S2"/>
    <mergeCell ref="G1:T1"/>
    <mergeCell ref="C1:F1"/>
    <mergeCell ref="A1:B1"/>
  </mergeCells>
  <conditionalFormatting sqref="L4:L5">
    <cfRule type="colorScale" priority="6">
      <colorScale>
        <cfvo type="num" val="0"/>
        <cfvo type="num" val="3"/>
        <color rgb="FFFFEF9C"/>
        <color theme="5"/>
      </colorScale>
    </cfRule>
  </conditionalFormatting>
  <conditionalFormatting sqref="S4:S5">
    <cfRule type="cellIs" priority="1" operator="equal" dxfId="2">
      <formula>"ALTA"</formula>
    </cfRule>
    <cfRule type="cellIs" priority="2" operator="equal" dxfId="1">
      <formula>"BAJA"</formula>
    </cfRule>
    <cfRule type="cellIs" priority="3" operator="equal" dxfId="0">
      <formula>"MEDIA"</formula>
    </cfRule>
  </conditionalFormatting>
  <dataValidations count="1">
    <dataValidation sqref="G4:K5 M4:Q5" showDropDown="0" showInputMessage="0" showErrorMessage="1" allowBlank="1" type="list">
      <formula1>Impacte</formula1>
    </dataValidation>
  </dataValidations>
  <pageMargins left="0.7" right="0.7" top="0.75" bottom="0.75" header="0" footer="0"/>
  <pageSetup orientation="landscape" scale="48" fitToHeight="0"/>
</worksheet>
</file>

<file path=xl/worksheets/sheet10.xml><?xml version="1.0" encoding="utf-8"?>
<worksheet xmlns="http://schemas.openxmlformats.org/spreadsheetml/2006/main">
  <sheetPr>
    <outlinePr summaryBelow="1" summaryRight="1"/>
    <pageSetUpPr fitToPage="1"/>
  </sheetPr>
  <dimension ref="A1:AI5"/>
  <sheetViews>
    <sheetView zoomScale="70" zoomScaleNormal="70" workbookViewId="0">
      <selection activeCell="T14" sqref="T14"/>
    </sheetView>
  </sheetViews>
  <sheetFormatPr baseColWidth="8" defaultColWidth="14.28515625" defaultRowHeight="15" customHeight="1"/>
  <cols>
    <col width="10" customWidth="1" min="1" max="1"/>
    <col width="27" customWidth="1" min="2" max="2"/>
    <col width="14.28515625" bestFit="1" customWidth="1" min="3" max="3"/>
    <col width="44.7109375" bestFit="1" customWidth="1" min="4" max="4"/>
    <col width="32.7109375" bestFit="1" customWidth="1" min="5" max="5"/>
    <col width="23" customWidth="1" min="6" max="6"/>
    <col width="8.140625" customWidth="1" min="7" max="11"/>
    <col width="13" customWidth="1" min="12" max="12"/>
    <col width="7.7109375" customWidth="1" style="63" min="13" max="17"/>
    <col width="11.28515625" customWidth="1" style="63" min="18" max="18"/>
    <col width="13.85546875" customWidth="1" style="63" min="19" max="19"/>
    <col width="42.28515625" customWidth="1" min="20" max="20"/>
    <col width="9.140625" customWidth="1" min="21" max="35"/>
  </cols>
  <sheetData>
    <row r="1" ht="73.90000000000001" customHeight="1">
      <c r="A1" s="301" t="n"/>
      <c r="B1" s="281" t="n"/>
      <c r="C1" s="302" t="inlineStr">
        <is>
          <t>VALORACIÓN DE SERVICIOS DE COMUNICACIONES</t>
        </is>
      </c>
      <c r="D1" s="300" t="n"/>
      <c r="E1" s="300" t="n"/>
      <c r="F1" s="281" t="n"/>
      <c r="G1" s="296" t="n"/>
      <c r="H1" s="282" t="n"/>
      <c r="I1" s="282" t="n"/>
      <c r="J1" s="282" t="n"/>
      <c r="K1" s="282" t="n"/>
      <c r="L1" s="282" t="n"/>
      <c r="M1" s="282" t="n"/>
      <c r="N1" s="282" t="n"/>
      <c r="O1" s="282" t="n"/>
      <c r="P1" s="282" t="n"/>
      <c r="Q1" s="282" t="n"/>
      <c r="R1" s="282" t="n"/>
      <c r="S1" s="282" t="n"/>
      <c r="T1" s="286" t="n"/>
      <c r="U1" s="11" t="n"/>
      <c r="V1" s="11" t="n"/>
      <c r="W1" s="11" t="n"/>
      <c r="X1" s="11" t="n"/>
      <c r="Y1" s="11" t="n"/>
      <c r="Z1" s="11" t="n"/>
      <c r="AA1" s="11" t="n"/>
      <c r="AB1" s="11" t="n"/>
      <c r="AC1" s="11" t="n"/>
      <c r="AD1" s="11" t="n"/>
      <c r="AE1" s="11" t="n"/>
      <c r="AF1" s="11" t="n"/>
      <c r="AG1" s="11" t="n"/>
      <c r="AH1" s="11" t="n"/>
      <c r="AI1" s="11" t="n"/>
    </row>
    <row r="2" ht="33.4" customHeight="1">
      <c r="A2" s="240" t="n"/>
      <c r="B2" s="253" t="n"/>
      <c r="C2" s="237" t="n"/>
      <c r="D2" s="238" t="n"/>
      <c r="E2" s="238" t="n"/>
      <c r="F2" s="238" t="n"/>
      <c r="G2" s="239" t="inlineStr">
        <is>
          <t>Valoración del Activo</t>
        </is>
      </c>
      <c r="H2" s="297" t="n"/>
      <c r="I2" s="297" t="n"/>
      <c r="J2" s="297" t="n"/>
      <c r="K2" s="297" t="n"/>
      <c r="L2" s="298" t="n"/>
      <c r="M2" s="235" t="inlineStr">
        <is>
          <t>Categorización ENS</t>
        </is>
      </c>
      <c r="N2" s="283" t="n"/>
      <c r="O2" s="283" t="n"/>
      <c r="P2" s="283" t="n"/>
      <c r="Q2" s="283" t="n"/>
      <c r="R2" s="283" t="n"/>
      <c r="S2" s="299" t="n"/>
      <c r="T2" s="258" t="n"/>
      <c r="U2" s="11" t="n"/>
      <c r="V2" s="11" t="n"/>
      <c r="W2" s="11" t="n"/>
      <c r="X2" s="11" t="n"/>
      <c r="Y2" s="11" t="n"/>
      <c r="Z2" s="11" t="n"/>
      <c r="AA2" s="11" t="n"/>
      <c r="AB2" s="11" t="n"/>
      <c r="AC2" s="11" t="n"/>
      <c r="AD2" s="11" t="n"/>
      <c r="AE2" s="11" t="n"/>
      <c r="AF2" s="11" t="n"/>
      <c r="AG2" s="11" t="n"/>
      <c r="AH2" s="11" t="n"/>
      <c r="AI2" s="11" t="n"/>
    </row>
    <row r="3" ht="101.25" customHeight="1" thickBot="1">
      <c r="A3" s="99" t="inlineStr">
        <is>
          <t>ID</t>
        </is>
      </c>
      <c r="B3" s="99" t="inlineStr">
        <is>
          <t>Nombre</t>
        </is>
      </c>
      <c r="C3" s="99" t="inlineStr">
        <is>
          <t>Grupo</t>
        </is>
      </c>
      <c r="D3" s="99" t="inlineStr">
        <is>
          <t>Descripción</t>
        </is>
      </c>
      <c r="E3" s="99" t="inlineStr">
        <is>
          <t>Activos Relacionados</t>
        </is>
      </c>
      <c r="F3" s="103" t="inlineStr">
        <is>
          <t>Responsable</t>
        </is>
      </c>
      <c r="G3" s="125" t="inlineStr">
        <is>
          <t>Disponibilidad</t>
        </is>
      </c>
      <c r="H3" s="100" t="inlineStr">
        <is>
          <t>Integridad</t>
        </is>
      </c>
      <c r="I3" s="100" t="inlineStr">
        <is>
          <t>Confidencialidad</t>
        </is>
      </c>
      <c r="J3" s="100" t="inlineStr">
        <is>
          <t>Autenticidad</t>
        </is>
      </c>
      <c r="K3" s="100" t="inlineStr">
        <is>
          <t>Trazabilidad</t>
        </is>
      </c>
      <c r="L3" s="176" t="inlineStr">
        <is>
          <t>VALOR
ACTIVO</t>
        </is>
      </c>
      <c r="M3" s="128" t="inlineStr">
        <is>
          <t>Disponibilidad</t>
        </is>
      </c>
      <c r="N3" s="129" t="inlineStr">
        <is>
          <t>Integridad</t>
        </is>
      </c>
      <c r="O3" s="129" t="inlineStr">
        <is>
          <t>Confidencialidad</t>
        </is>
      </c>
      <c r="P3" s="129" t="inlineStr">
        <is>
          <t>Autenticidad</t>
        </is>
      </c>
      <c r="Q3" s="129" t="inlineStr">
        <is>
          <t>Trazabilidad</t>
        </is>
      </c>
      <c r="R3" s="110" t="inlineStr">
        <is>
          <t>NIVEL
ACTIVO</t>
        </is>
      </c>
      <c r="S3" s="127" t="inlineStr">
        <is>
          <t>CATEGORIA
ACTIVO</t>
        </is>
      </c>
      <c r="T3" s="120" t="inlineStr">
        <is>
          <t>Notas</t>
        </is>
      </c>
      <c r="U3" s="3" t="n"/>
      <c r="V3" s="3" t="n"/>
      <c r="W3" s="3" t="n"/>
      <c r="X3" s="3" t="n"/>
      <c r="Y3" s="3" t="n"/>
      <c r="Z3" s="3" t="n"/>
      <c r="AA3" s="3" t="n"/>
      <c r="AB3" s="3" t="n"/>
      <c r="AC3" s="3" t="n"/>
      <c r="AD3" s="3" t="n"/>
      <c r="AE3" s="3" t="n"/>
      <c r="AF3" s="3" t="n"/>
      <c r="AG3" s="3" t="n"/>
      <c r="AH3" s="3" t="n"/>
      <c r="AI3" s="3" t="n"/>
    </row>
    <row r="4" ht="59.25" customFormat="1" customHeight="1" s="115">
      <c r="A4" s="82" t="inlineStr">
        <is>
          <t>COM-1</t>
        </is>
      </c>
      <c r="B4" s="183" t="n"/>
      <c r="C4" s="84" t="n"/>
      <c r="D4" s="84" t="n"/>
      <c r="E4" s="83" t="n"/>
      <c r="F4" s="182" t="n"/>
      <c r="G4" s="181" t="n"/>
      <c r="H4" s="85" t="n"/>
      <c r="I4" s="85" t="n"/>
      <c r="J4" s="85" t="n"/>
      <c r="K4" s="85" t="n"/>
      <c r="L4" s="113">
        <f>IF(OR(G4&lt;&gt;"",H4&lt;&gt;"",I4&lt;&gt;"",K4&lt;&gt;"",J4&lt;&gt;""),MAX(G4:K4),"")</f>
        <v/>
      </c>
      <c r="M4" s="86">
        <f>IF(G4="","",VLOOKUP(G4,Valor_Actiu_NivellENS,2,FALSE))</f>
        <v/>
      </c>
      <c r="N4" s="86">
        <f>IF(H4="","",VLOOKUP(H4,Valor_Actiu_NivellENS,2,FALSE))</f>
        <v/>
      </c>
      <c r="O4" s="86">
        <f>IF(I4="","",VLOOKUP(I4,Valor_Actiu_NivellENS,2,FALSE))</f>
        <v/>
      </c>
      <c r="P4" s="86">
        <f>IF(J4="","",VLOOKUP(J4,Valor_Actiu_NivellENS,2,FALSE))</f>
        <v/>
      </c>
      <c r="Q4" s="86">
        <f>IF(K4="","",VLOOKUP(K4,Valor_Actiu_NivellENS,2,FALSE))</f>
        <v/>
      </c>
      <c r="R4" s="72">
        <f>IF(OR(M4&lt;&gt;"",N4&lt;&gt;"",O4&lt;&gt;"",Q4&lt;&gt;"",P4&lt;&gt;""),MAX(M4:Q4),"")</f>
        <v/>
      </c>
      <c r="S4" s="74">
        <f>VLOOKUP(R4,NivellENS_Categoria,2,FALSE)</f>
        <v/>
      </c>
      <c r="T4" s="83" t="n"/>
    </row>
    <row r="5" ht="59.25" customFormat="1" customHeight="1" s="115">
      <c r="A5" s="82" t="inlineStr">
        <is>
          <t>COM-2</t>
        </is>
      </c>
      <c r="B5" s="84" t="n"/>
      <c r="C5" s="84" t="n"/>
      <c r="D5" s="84" t="n"/>
      <c r="E5" s="84" t="n"/>
      <c r="F5" s="182" t="n"/>
      <c r="G5" s="181" t="n"/>
      <c r="H5" s="85" t="n"/>
      <c r="I5" s="85" t="n"/>
      <c r="J5" s="85" t="n"/>
      <c r="K5" s="85" t="n"/>
      <c r="L5" s="113">
        <f>IF(OR(G5&lt;&gt;"",H5&lt;&gt;"",I5&lt;&gt;"",K5&lt;&gt;"",J5&lt;&gt;""),MAX(G5:K5),"")</f>
        <v/>
      </c>
      <c r="M5" s="86">
        <f>IF(G5="","",VLOOKUP(G5,Valor_Actiu_NivellENS,2,FALSE))</f>
        <v/>
      </c>
      <c r="N5" s="86">
        <f>IF(H5="","",VLOOKUP(H5,Valor_Actiu_NivellENS,2,FALSE))</f>
        <v/>
      </c>
      <c r="O5" s="86">
        <f>IF(I5="","",VLOOKUP(I5,Valor_Actiu_NivellENS,2,FALSE))</f>
        <v/>
      </c>
      <c r="P5" s="86">
        <f>IF(J5="","",VLOOKUP(J5,Valor_Actiu_NivellENS,2,FALSE))</f>
        <v/>
      </c>
      <c r="Q5" s="86">
        <f>IF(K5="","",VLOOKUP(K5,Valor_Actiu_NivellENS,2,FALSE))</f>
        <v/>
      </c>
      <c r="R5" s="72">
        <f>IF(OR(M5&lt;&gt;"",N5&lt;&gt;"",O5&lt;&gt;"",Q5&lt;&gt;"",P5&lt;&gt;""),MAX(M5:Q5),"")</f>
        <v/>
      </c>
      <c r="S5" s="74">
        <f>VLOOKUP(R5,NivellENS_Categoria,2,FALSE)</f>
        <v/>
      </c>
      <c r="T5" s="83" t="n"/>
    </row>
  </sheetData>
  <mergeCells count="5">
    <mergeCell ref="G2:L2"/>
    <mergeCell ref="M2:S2"/>
    <mergeCell ref="G1:T1"/>
    <mergeCell ref="C1:F1"/>
    <mergeCell ref="A1:B1"/>
  </mergeCells>
  <conditionalFormatting sqref="L4:L5">
    <cfRule type="colorScale" priority="4">
      <colorScale>
        <cfvo type="num" val="0"/>
        <cfvo type="num" val="3"/>
        <color rgb="FFFFEF9C"/>
        <color theme="5"/>
      </colorScale>
    </cfRule>
  </conditionalFormatting>
  <conditionalFormatting sqref="S4:S5">
    <cfRule type="cellIs" priority="1" operator="equal" dxfId="2">
      <formula>"ALTA"</formula>
    </cfRule>
    <cfRule type="cellIs" priority="2" operator="equal" dxfId="1">
      <formula>"BAJA"</formula>
    </cfRule>
    <cfRule type="cellIs" priority="3" operator="equal" dxfId="0">
      <formula>"MEDIA"</formula>
    </cfRule>
  </conditionalFormatting>
  <dataValidations count="1">
    <dataValidation sqref="G4:K5 M4:Q5" showDropDown="0" showInputMessage="0" showErrorMessage="1" allowBlank="1" type="list">
      <formula1>Impacte</formula1>
    </dataValidation>
  </dataValidations>
  <pageMargins left="0.7" right="0.7" top="0.75" bottom="0.75" header="0" footer="0"/>
  <pageSetup orientation="landscape" scale="50" fitToHeight="0"/>
</worksheet>
</file>

<file path=xl/worksheets/sheet11.xml><?xml version="1.0" encoding="utf-8"?>
<worksheet xmlns="http://schemas.openxmlformats.org/spreadsheetml/2006/main">
  <sheetPr>
    <outlinePr summaryBelow="1" summaryRight="1"/>
    <pageSetUpPr fitToPage="1"/>
  </sheetPr>
  <dimension ref="A1:AI5"/>
  <sheetViews>
    <sheetView zoomScale="70" zoomScaleNormal="70" workbookViewId="0">
      <selection activeCell="B4" sqref="B4"/>
    </sheetView>
  </sheetViews>
  <sheetFormatPr baseColWidth="8" defaultColWidth="14.28515625" defaultRowHeight="15" customHeight="1"/>
  <cols>
    <col width="8.7109375" customWidth="1" min="1" max="1"/>
    <col width="27.28515625" customWidth="1" min="2" max="2"/>
    <col width="15.28515625" customWidth="1" min="3" max="3"/>
    <col width="54.28515625" customWidth="1" min="4" max="4"/>
    <col width="49" customWidth="1" min="5" max="5"/>
    <col width="24.140625" customWidth="1" min="6" max="6"/>
    <col width="7.28515625" customWidth="1" min="7" max="11"/>
    <col width="9.7109375" customWidth="1" min="12" max="12"/>
    <col width="7.7109375" customWidth="1" style="63" min="13" max="17"/>
    <col width="11.28515625" customWidth="1" style="63" min="18" max="18"/>
    <col width="15" customWidth="1" style="63" min="19" max="19"/>
    <col width="42.28515625" customWidth="1" min="20" max="20"/>
    <col width="9.140625" customWidth="1" min="21" max="35"/>
  </cols>
  <sheetData>
    <row r="1" ht="64.15000000000001" customHeight="1">
      <c r="A1" s="303" t="n"/>
      <c r="B1" s="281" t="n"/>
      <c r="C1" s="302" t="inlineStr">
        <is>
          <t>VALORACIÓN DE ACTIVOS DE INSTALACIONES Y RECINTOS</t>
        </is>
      </c>
      <c r="D1" s="300" t="n"/>
      <c r="E1" s="300" t="n"/>
      <c r="F1" s="281" t="n"/>
      <c r="G1" s="304" t="n"/>
      <c r="H1" s="282" t="n"/>
      <c r="I1" s="282" t="n"/>
      <c r="J1" s="282" t="n"/>
      <c r="K1" s="282" t="n"/>
      <c r="L1" s="282" t="n"/>
      <c r="M1" s="282" t="n"/>
      <c r="N1" s="282" t="n"/>
      <c r="O1" s="282" t="n"/>
      <c r="P1" s="282" t="n"/>
      <c r="Q1" s="282" t="n"/>
      <c r="R1" s="282" t="n"/>
      <c r="S1" s="282" t="n"/>
      <c r="T1" s="286" t="n"/>
      <c r="U1" s="1" t="n"/>
      <c r="V1" s="1" t="n"/>
      <c r="W1" s="1" t="n"/>
      <c r="X1" s="1" t="n"/>
      <c r="Y1" s="1" t="n"/>
      <c r="Z1" s="1" t="n"/>
      <c r="AA1" s="1" t="n"/>
      <c r="AB1" s="1" t="n"/>
      <c r="AC1" s="1" t="n"/>
      <c r="AD1" s="1" t="n"/>
      <c r="AE1" s="1" t="n"/>
      <c r="AF1" s="1" t="n"/>
      <c r="AG1" s="1" t="n"/>
      <c r="AH1" s="1" t="n"/>
      <c r="AI1" s="1" t="n"/>
    </row>
    <row r="2" ht="28.9" customHeight="1">
      <c r="A2" s="246" t="n"/>
      <c r="B2" s="286" t="n"/>
      <c r="C2" s="237" t="n"/>
      <c r="D2" s="238" t="n"/>
      <c r="E2" s="238" t="n"/>
      <c r="F2" s="238" t="n"/>
      <c r="G2" s="239" t="inlineStr">
        <is>
          <t>Valoración del Activo</t>
        </is>
      </c>
      <c r="H2" s="297" t="n"/>
      <c r="I2" s="297" t="n"/>
      <c r="J2" s="297" t="n"/>
      <c r="K2" s="297" t="n"/>
      <c r="L2" s="298" t="n"/>
      <c r="M2" s="235" t="inlineStr">
        <is>
          <t>Categorización ENS</t>
        </is>
      </c>
      <c r="N2" s="283" t="n"/>
      <c r="O2" s="283" t="n"/>
      <c r="P2" s="283" t="n"/>
      <c r="Q2" s="283" t="n"/>
      <c r="R2" s="283" t="n"/>
      <c r="S2" s="299" t="n"/>
      <c r="T2" s="258" t="n"/>
      <c r="U2" s="1" t="n"/>
      <c r="V2" s="1" t="n"/>
      <c r="W2" s="1" t="n"/>
      <c r="X2" s="1" t="n"/>
      <c r="Y2" s="1" t="n"/>
      <c r="Z2" s="1" t="n"/>
      <c r="AA2" s="1" t="n"/>
      <c r="AB2" s="1" t="n"/>
      <c r="AC2" s="1" t="n"/>
      <c r="AD2" s="1" t="n"/>
      <c r="AE2" s="1" t="n"/>
      <c r="AF2" s="1" t="n"/>
      <c r="AG2" s="1" t="n"/>
      <c r="AH2" s="1" t="n"/>
      <c r="AI2" s="1" t="n"/>
    </row>
    <row r="3" ht="93.2" customFormat="1" customHeight="1" s="2" thickBot="1">
      <c r="A3" s="99" t="inlineStr">
        <is>
          <t>ID</t>
        </is>
      </c>
      <c r="B3" s="99" t="inlineStr">
        <is>
          <t>Nombre</t>
        </is>
      </c>
      <c r="C3" s="99" t="inlineStr">
        <is>
          <t>Grupo</t>
        </is>
      </c>
      <c r="D3" s="99" t="inlineStr">
        <is>
          <t>Descripción</t>
        </is>
      </c>
      <c r="E3" s="99" t="inlineStr">
        <is>
          <t>Activos Relacionados</t>
        </is>
      </c>
      <c r="F3" s="103" t="inlineStr">
        <is>
          <t>Responsable</t>
        </is>
      </c>
      <c r="G3" s="125" t="inlineStr">
        <is>
          <t>Disponibilidad</t>
        </is>
      </c>
      <c r="H3" s="100" t="inlineStr">
        <is>
          <t>Integridad</t>
        </is>
      </c>
      <c r="I3" s="100" t="inlineStr">
        <is>
          <t>Confidencialidad</t>
        </is>
      </c>
      <c r="J3" s="100" t="inlineStr">
        <is>
          <t>Autenticidad</t>
        </is>
      </c>
      <c r="K3" s="100" t="inlineStr">
        <is>
          <t>Trazabilidad</t>
        </is>
      </c>
      <c r="L3" s="122" t="inlineStr">
        <is>
          <t>VALOR
ACTIVO</t>
        </is>
      </c>
      <c r="M3" s="128" t="inlineStr">
        <is>
          <t>Disponibilidad</t>
        </is>
      </c>
      <c r="N3" s="129" t="inlineStr">
        <is>
          <t>Integridad</t>
        </is>
      </c>
      <c r="O3" s="129" t="inlineStr">
        <is>
          <t>Confidencialidad</t>
        </is>
      </c>
      <c r="P3" s="129" t="inlineStr">
        <is>
          <t>Autenticidad</t>
        </is>
      </c>
      <c r="Q3" s="129" t="inlineStr">
        <is>
          <t>Trazabilidad</t>
        </is>
      </c>
      <c r="R3" s="110" t="inlineStr">
        <is>
          <t>NIVEL
ACTIVO</t>
        </is>
      </c>
      <c r="S3" s="127" t="inlineStr">
        <is>
          <t>CATEGORIA
ACTIVO</t>
        </is>
      </c>
      <c r="T3" s="102" t="inlineStr">
        <is>
          <t>Notas</t>
        </is>
      </c>
      <c r="U3" s="13" t="n"/>
      <c r="V3" s="13" t="n"/>
      <c r="W3" s="13" t="n"/>
      <c r="X3" s="13" t="n"/>
      <c r="Y3" s="13" t="n"/>
      <c r="Z3" s="13" t="n"/>
      <c r="AA3" s="13" t="n"/>
      <c r="AB3" s="13" t="n"/>
      <c r="AC3" s="13" t="n"/>
      <c r="AD3" s="13" t="n"/>
      <c r="AE3" s="13" t="n"/>
      <c r="AF3" s="13" t="n"/>
      <c r="AG3" s="13" t="n"/>
      <c r="AH3" s="13" t="n"/>
      <c r="AI3" s="13" t="n"/>
    </row>
    <row r="4" ht="71.45" customFormat="1" customHeight="1" s="115">
      <c r="A4" s="42" t="inlineStr">
        <is>
          <t>LOC-1</t>
        </is>
      </c>
      <c r="B4" s="191" t="inlineStr">
        <is>
          <t>Puestos de teletrabajo</t>
        </is>
      </c>
      <c r="C4" s="192" t="n"/>
      <c r="D4" s="192" t="inlineStr">
        <is>
          <t>Espacios de trabajo en formato remoto</t>
        </is>
      </c>
      <c r="E4" s="30" t="inlineStr">
        <is>
          <t>SP-Servicios Propios</t>
        </is>
      </c>
      <c r="F4" s="43" t="inlineStr">
        <is>
          <t>Jordi Roca</t>
        </is>
      </c>
      <c r="G4" s="187" t="n">
        <v>1</v>
      </c>
      <c r="H4" s="35" t="n">
        <v>1</v>
      </c>
      <c r="I4" s="35" t="n">
        <v>2</v>
      </c>
      <c r="J4" s="35" t="n">
        <v>1</v>
      </c>
      <c r="K4" s="35" t="n">
        <v>1</v>
      </c>
      <c r="L4" s="47">
        <f>IF(OR(G4&lt;&gt;"",H4&lt;&gt;"",I4&lt;&gt;"",K4&lt;&gt;"",J4&lt;&gt;""),MAX(G4:K4),"")</f>
        <v/>
      </c>
      <c r="M4" s="88">
        <f>IF(G4="","",VLOOKUP(G4,Valor_Actiu_NivellENS,2,FALSE))</f>
        <v/>
      </c>
      <c r="N4" s="88">
        <f>IF(H4="","",VLOOKUP(H4,Valor_Actiu_NivellENS,2,FALSE))</f>
        <v/>
      </c>
      <c r="O4" s="88">
        <f>IF(I4="","",VLOOKUP(I4,Valor_Actiu_NivellENS,2,FALSE))</f>
        <v/>
      </c>
      <c r="P4" s="88">
        <f>IF(J4="","",VLOOKUP(J4,Valor_Actiu_NivellENS,2,FALSE))</f>
        <v/>
      </c>
      <c r="Q4" s="88">
        <f>IF(K4="","",VLOOKUP(K4,Valor_Actiu_NivellENS,2,FALSE))</f>
        <v/>
      </c>
      <c r="R4" s="77">
        <f>IF(OR(M4&lt;&gt;"",N4&lt;&gt;"",O4&lt;&gt;"",Q4&lt;&gt;"",P4&lt;&gt;""),MAX(M4:Q4),"")</f>
        <v/>
      </c>
      <c r="S4" s="89">
        <f>VLOOKUP(R4,NivellENS_Categoria,2,FALSE)</f>
        <v/>
      </c>
      <c r="T4" s="84" t="n"/>
      <c r="U4" s="87" t="n"/>
      <c r="V4" s="87" t="n"/>
      <c r="W4" s="87" t="n"/>
      <c r="X4" s="87" t="n"/>
      <c r="Y4" s="87" t="n"/>
      <c r="Z4" s="87" t="n"/>
      <c r="AA4" s="87" t="n"/>
      <c r="AB4" s="87" t="n"/>
      <c r="AC4" s="87" t="n"/>
      <c r="AD4" s="87" t="n"/>
      <c r="AE4" s="87" t="n"/>
      <c r="AF4" s="87" t="n"/>
      <c r="AG4" s="87" t="n"/>
      <c r="AH4" s="87" t="n"/>
      <c r="AI4" s="87" t="n"/>
    </row>
    <row r="5" ht="68.45" customFormat="1" customHeight="1" s="115">
      <c r="A5" s="193" t="n"/>
      <c r="B5" s="194" t="n"/>
      <c r="C5" s="194" t="n"/>
      <c r="D5" s="195" t="n"/>
      <c r="E5" s="195" t="n"/>
      <c r="F5" s="196" t="n"/>
      <c r="G5" s="187" t="n"/>
      <c r="H5" s="35" t="n"/>
      <c r="I5" s="35" t="n"/>
      <c r="J5" s="35" t="n"/>
      <c r="K5" s="35" t="n"/>
      <c r="L5" s="47">
        <f>IF(OR(G5&lt;&gt;"",H5&lt;&gt;"",I5&lt;&gt;"",K5&lt;&gt;"",J5&lt;&gt;""),MAX(G5:K5),"")</f>
        <v/>
      </c>
      <c r="M5" s="88">
        <f>IF(G5="","",VLOOKUP(G5,Valor_Actiu_NivellENS,2,FALSE))</f>
        <v/>
      </c>
      <c r="N5" s="88">
        <f>IF(H5="","",VLOOKUP(H5,Valor_Actiu_NivellENS,2,FALSE))</f>
        <v/>
      </c>
      <c r="O5" s="88">
        <f>IF(I5="","",VLOOKUP(I5,Valor_Actiu_NivellENS,2,FALSE))</f>
        <v/>
      </c>
      <c r="P5" s="88">
        <f>IF(J5="","",VLOOKUP(J5,Valor_Actiu_NivellENS,2,FALSE))</f>
        <v/>
      </c>
      <c r="Q5" s="88">
        <f>IF(K5="","",VLOOKUP(K5,Valor_Actiu_NivellENS,2,FALSE))</f>
        <v/>
      </c>
      <c r="R5" s="77">
        <f>IF(OR(M5&lt;&gt;"",N5&lt;&gt;"",O5&lt;&gt;"",Q5&lt;&gt;"",P5&lt;&gt;""),MAX(M5:Q5),"")</f>
        <v/>
      </c>
      <c r="S5" s="89">
        <f>VLOOKUP(R5,NivellENS_Categoria,2,FALSE)</f>
        <v/>
      </c>
      <c r="T5" s="84" t="n"/>
      <c r="U5" s="87" t="n"/>
      <c r="V5" s="87" t="n"/>
      <c r="W5" s="87" t="n"/>
      <c r="X5" s="87" t="n"/>
      <c r="Y5" s="87" t="n"/>
      <c r="Z5" s="87" t="n"/>
      <c r="AA5" s="87" t="n"/>
      <c r="AB5" s="87" t="n"/>
      <c r="AC5" s="87" t="n"/>
      <c r="AD5" s="87" t="n"/>
      <c r="AE5" s="87" t="n"/>
      <c r="AF5" s="87" t="n"/>
      <c r="AG5" s="87" t="n"/>
      <c r="AH5" s="87" t="n"/>
      <c r="AI5" s="87" t="n"/>
    </row>
  </sheetData>
  <mergeCells count="6">
    <mergeCell ref="A2:B2"/>
    <mergeCell ref="G2:L2"/>
    <mergeCell ref="M2:S2"/>
    <mergeCell ref="G1:T1"/>
    <mergeCell ref="C1:F1"/>
    <mergeCell ref="A1:B1"/>
  </mergeCells>
  <conditionalFormatting sqref="L4:L5">
    <cfRule type="colorScale" priority="4">
      <colorScale>
        <cfvo type="num" val="0"/>
        <cfvo type="num" val="3"/>
        <color rgb="FFFFEF9C"/>
        <color theme="5"/>
      </colorScale>
    </cfRule>
  </conditionalFormatting>
  <conditionalFormatting sqref="S4:S5">
    <cfRule type="cellIs" priority="1" operator="equal" dxfId="2">
      <formula>"ALTA"</formula>
    </cfRule>
    <cfRule type="cellIs" priority="2" operator="equal" dxfId="1">
      <formula>"BAJA"</formula>
    </cfRule>
    <cfRule type="cellIs" priority="3" operator="equal" dxfId="0">
      <formula>"MEDIA"</formula>
    </cfRule>
  </conditionalFormatting>
  <dataValidations count="1">
    <dataValidation sqref="G4:K5 M4:Q5" showDropDown="0" showInputMessage="0" showErrorMessage="1" allowBlank="1" type="list">
      <formula1>Impacte</formula1>
    </dataValidation>
  </dataValidations>
  <pageMargins left="0.7" right="0.7" top="0.75" bottom="0.75" header="0" footer="0"/>
  <pageSetup orientation="landscape" scale="45" fitToHeight="0"/>
</worksheet>
</file>

<file path=xl/worksheets/sheet12.xml><?xml version="1.0" encoding="utf-8"?>
<worksheet xmlns="http://schemas.openxmlformats.org/spreadsheetml/2006/main">
  <sheetPr>
    <outlinePr summaryBelow="1" summaryRight="1"/>
    <pageSetUpPr fitToPage="1"/>
  </sheetPr>
  <dimension ref="A1:AI10"/>
  <sheetViews>
    <sheetView zoomScale="70" zoomScaleNormal="70" workbookViewId="0">
      <selection activeCell="C5" sqref="C5"/>
    </sheetView>
  </sheetViews>
  <sheetFormatPr baseColWidth="8" defaultColWidth="14.28515625" defaultRowHeight="15" customHeight="1"/>
  <cols>
    <col width="10.28515625" customWidth="1" min="1" max="1"/>
    <col width="40.7109375" bestFit="1" customWidth="1" min="2" max="2"/>
    <col width="34.28515625" customWidth="1" min="3" max="3"/>
    <col width="46" customWidth="1" min="4" max="4"/>
    <col width="58" customWidth="1" min="5" max="5"/>
    <col width="35.5703125" customWidth="1" min="6" max="6"/>
    <col width="8" customWidth="1" min="7" max="7"/>
    <col width="7.85546875" customWidth="1" min="8" max="10"/>
    <col width="9.140625" customWidth="1" min="11" max="11"/>
    <col width="13.28515625" customWidth="1" min="12" max="12"/>
    <col width="7.7109375" customWidth="1" style="63" min="13" max="17"/>
    <col width="11.28515625" customWidth="1" style="63" min="18" max="18"/>
    <col width="14.140625" customWidth="1" style="63" min="19" max="19"/>
    <col width="50.140625" customWidth="1" min="20" max="20"/>
    <col width="9.140625" customWidth="1" min="21" max="35"/>
  </cols>
  <sheetData>
    <row r="1" ht="59.1" customHeight="1">
      <c r="A1" s="234" t="n"/>
      <c r="B1" s="281" t="n"/>
      <c r="C1" s="302" t="inlineStr">
        <is>
          <t>VALORACIÓN DE ACTIVOS DE CLAVES CRIPTOGRÁFICAS</t>
        </is>
      </c>
      <c r="D1" s="300" t="n"/>
      <c r="E1" s="300" t="n"/>
      <c r="F1" s="281" t="n"/>
      <c r="G1" s="304" t="n"/>
      <c r="H1" s="282" t="n"/>
      <c r="I1" s="282" t="n"/>
      <c r="J1" s="282" t="n"/>
      <c r="K1" s="282" t="n"/>
      <c r="L1" s="282" t="n"/>
      <c r="M1" s="282" t="n"/>
      <c r="N1" s="282" t="n"/>
      <c r="O1" s="282" t="n"/>
      <c r="P1" s="282" t="n"/>
      <c r="Q1" s="282" t="n"/>
      <c r="R1" s="282" t="n"/>
      <c r="S1" s="282" t="n"/>
      <c r="T1" s="286" t="n"/>
    </row>
    <row r="2" ht="47.65" customHeight="1">
      <c r="A2" s="233" t="n"/>
      <c r="B2" s="253" t="n"/>
      <c r="C2" s="237" t="n"/>
      <c r="D2" s="238" t="n"/>
      <c r="E2" s="238" t="n"/>
      <c r="F2" s="242" t="n"/>
      <c r="G2" s="239" t="inlineStr">
        <is>
          <t>Valoración del Activo</t>
        </is>
      </c>
      <c r="H2" s="297" t="n"/>
      <c r="I2" s="297" t="n"/>
      <c r="J2" s="297" t="n"/>
      <c r="K2" s="297" t="n"/>
      <c r="L2" s="298" t="n"/>
      <c r="M2" s="235" t="inlineStr">
        <is>
          <t>Categorización ENS</t>
        </is>
      </c>
      <c r="N2" s="283" t="n"/>
      <c r="O2" s="283" t="n"/>
      <c r="P2" s="283" t="n"/>
      <c r="Q2" s="283" t="n"/>
      <c r="R2" s="283" t="n"/>
      <c r="S2" s="299" t="n"/>
      <c r="T2" s="258" t="n"/>
    </row>
    <row r="3" ht="95.84999999999999" customFormat="1" customHeight="1" s="2" thickBot="1">
      <c r="A3" s="99" t="inlineStr">
        <is>
          <t>ID</t>
        </is>
      </c>
      <c r="B3" s="99" t="inlineStr">
        <is>
          <t>Nombre</t>
        </is>
      </c>
      <c r="C3" s="99" t="inlineStr">
        <is>
          <t>Grupo</t>
        </is>
      </c>
      <c r="D3" s="99" t="inlineStr">
        <is>
          <t>Descripción</t>
        </is>
      </c>
      <c r="E3" s="99" t="inlineStr">
        <is>
          <t>Activos Relacionados</t>
        </is>
      </c>
      <c r="F3" s="103" t="inlineStr">
        <is>
          <t>Responsable</t>
        </is>
      </c>
      <c r="G3" s="121" t="inlineStr">
        <is>
          <t>Disponibilidad</t>
        </is>
      </c>
      <c r="H3" s="100" t="inlineStr">
        <is>
          <t>Integridad</t>
        </is>
      </c>
      <c r="I3" s="100" t="inlineStr">
        <is>
          <t>Confidencialidad</t>
        </is>
      </c>
      <c r="J3" s="100" t="inlineStr">
        <is>
          <t>Autenticidad</t>
        </is>
      </c>
      <c r="K3" s="100" t="inlineStr">
        <is>
          <t>Trazabilidad</t>
        </is>
      </c>
      <c r="L3" s="122" t="inlineStr">
        <is>
          <t>VALOR
ACTIVO</t>
        </is>
      </c>
      <c r="M3" s="128" t="inlineStr">
        <is>
          <t>Disponibilidad</t>
        </is>
      </c>
      <c r="N3" s="129" t="inlineStr">
        <is>
          <t>Integridad</t>
        </is>
      </c>
      <c r="O3" s="129" t="inlineStr">
        <is>
          <t>Confidencialidad</t>
        </is>
      </c>
      <c r="P3" s="129" t="inlineStr">
        <is>
          <t>Autenticidad</t>
        </is>
      </c>
      <c r="Q3" s="129" t="inlineStr">
        <is>
          <t>Trazabilidad</t>
        </is>
      </c>
      <c r="R3" s="110" t="inlineStr">
        <is>
          <t>NIVEL
ACTIVO</t>
        </is>
      </c>
      <c r="S3" s="127" t="inlineStr">
        <is>
          <t>CATEGORIA
ACTIVO</t>
        </is>
      </c>
      <c r="T3" s="102" t="inlineStr">
        <is>
          <t>Notas</t>
        </is>
      </c>
      <c r="U3" s="3" t="n"/>
      <c r="V3" s="3" t="n"/>
      <c r="W3" s="3" t="n"/>
      <c r="X3" s="3" t="n"/>
      <c r="Y3" s="3" t="n"/>
      <c r="Z3" s="3" t="n"/>
      <c r="AA3" s="3" t="n"/>
      <c r="AB3" s="3" t="n"/>
      <c r="AC3" s="3" t="n"/>
      <c r="AD3" s="3" t="n"/>
      <c r="AE3" s="3" t="n"/>
      <c r="AF3" s="3" t="n"/>
      <c r="AG3" s="3" t="n"/>
      <c r="AH3" s="3" t="n"/>
      <c r="AI3" s="3" t="n"/>
    </row>
    <row r="4" ht="67.90000000000001" customFormat="1" customHeight="1" s="115">
      <c r="A4" s="42" t="inlineStr">
        <is>
          <t>K-1</t>
        </is>
      </c>
      <c r="B4" s="184" t="inlineStr">
        <is>
          <t>Certificados SSL de la web</t>
        </is>
      </c>
      <c r="C4" s="185" t="inlineStr">
        <is>
          <t>K-Claves plataforma Tecnologica</t>
        </is>
      </c>
      <c r="D4" s="185" t="inlineStr">
        <is>
          <t>Proporcionado por Ionos (SSL Starter)</t>
        </is>
      </c>
      <c r="E4" s="30" t="inlineStr">
        <is>
          <t>optimtech.es. optimgov.es</t>
        </is>
      </c>
      <c r="F4" s="43" t="inlineStr">
        <is>
          <t>Marc Muixí</t>
        </is>
      </c>
      <c r="G4" s="34" t="n">
        <v>3</v>
      </c>
      <c r="H4" s="35" t="n">
        <v>2</v>
      </c>
      <c r="I4" s="35" t="n">
        <v>2</v>
      </c>
      <c r="J4" s="35" t="n">
        <v>2</v>
      </c>
      <c r="K4" s="35" t="n">
        <v>1</v>
      </c>
      <c r="L4" s="47">
        <f>IF(OR(G4&lt;&gt;"",H4&lt;&gt;"",I4&lt;&gt;"",K4&lt;&gt;"",J4&lt;&gt;""),MAX(G4:K4),"")</f>
        <v/>
      </c>
      <c r="M4" s="88">
        <f>IF(G4="","",VLOOKUP(G4,Valor_Actiu_NivellENS,2,FALSE))</f>
        <v/>
      </c>
      <c r="N4" s="88">
        <f>IF(H4="","",VLOOKUP(H4,Valor_Actiu_NivellENS,2,FALSE))</f>
        <v/>
      </c>
      <c r="O4" s="88">
        <f>IF(I4="","",VLOOKUP(I4,Valor_Actiu_NivellENS,2,FALSE))</f>
        <v/>
      </c>
      <c r="P4" s="88">
        <f>IF(J4="","",VLOOKUP(J4,Valor_Actiu_NivellENS,2,FALSE))</f>
        <v/>
      </c>
      <c r="Q4" s="88">
        <f>IF(K4="","",VLOOKUP(K4,Valor_Actiu_NivellENS,2,FALSE))</f>
        <v/>
      </c>
      <c r="R4" s="72">
        <f>IF(OR(M4&lt;&gt;"",N4&lt;&gt;"",O4&lt;&gt;"",Q4&lt;&gt;"",P4&lt;&gt;""),MAX(M4:Q4),"")</f>
        <v/>
      </c>
      <c r="S4" s="74">
        <f>VLOOKUP(R4,NivellENS_Categoria,2,FALSE)</f>
        <v/>
      </c>
      <c r="T4" s="83" t="n"/>
      <c r="U4" s="87" t="n"/>
      <c r="V4" s="87" t="n"/>
      <c r="W4" s="87" t="n"/>
      <c r="X4" s="87" t="n"/>
      <c r="Y4" s="87" t="n"/>
      <c r="Z4" s="87" t="n"/>
      <c r="AA4" s="87" t="n"/>
      <c r="AB4" s="87" t="n"/>
      <c r="AC4" s="87" t="n"/>
      <c r="AD4" s="87" t="n"/>
      <c r="AE4" s="87" t="n"/>
      <c r="AF4" s="87" t="n"/>
      <c r="AG4" s="87" t="n"/>
      <c r="AH4" s="87" t="n"/>
      <c r="AI4" s="87" t="n"/>
    </row>
    <row r="5" ht="67.90000000000001" customFormat="1" customHeight="1" s="115">
      <c r="A5" s="42" t="inlineStr">
        <is>
          <t>K-2</t>
        </is>
      </c>
      <c r="B5" s="30" t="inlineStr">
        <is>
          <t>Certificados  SSL de las soluciones</t>
        </is>
      </c>
      <c r="C5" s="169" t="inlineStr">
        <is>
          <t xml:space="preserve">K-Claves plataforma Tecnologica
</t>
        </is>
      </c>
      <c r="D5" s="169" t="inlineStr">
        <is>
          <t>Proporcionados por Google Cloud, Azure, etc.</t>
        </is>
      </c>
      <c r="E5" s="30" t="inlineStr">
        <is>
          <t>SP-3 Explotación de plataformas tecnológicas de soluciones IA
SP-7 Gestión de infraestructura de plataforma tecnológica</t>
        </is>
      </c>
      <c r="F5" s="43" t="inlineStr">
        <is>
          <t>Marc Muixí</t>
        </is>
      </c>
      <c r="G5" s="34" t="n">
        <v>3</v>
      </c>
      <c r="H5" s="35" t="n">
        <v>3</v>
      </c>
      <c r="I5" s="35" t="n">
        <v>2</v>
      </c>
      <c r="J5" s="35" t="n">
        <v>3</v>
      </c>
      <c r="K5" s="35" t="n">
        <v>3</v>
      </c>
      <c r="L5" s="47">
        <f>IF(OR(G5&lt;&gt;"",H5&lt;&gt;"",I5&lt;&gt;"",K5&lt;&gt;"",J5&lt;&gt;""),MAX(G5:K5),"")</f>
        <v/>
      </c>
      <c r="M5" s="88">
        <f>IF(G5="","",VLOOKUP(G5,Valor_Actiu_NivellENS,2,FALSE))</f>
        <v/>
      </c>
      <c r="N5" s="88">
        <f>IF(H5="","",VLOOKUP(H5,Valor_Actiu_NivellENS,2,FALSE))</f>
        <v/>
      </c>
      <c r="O5" s="88">
        <f>IF(I5="","",VLOOKUP(I5,Valor_Actiu_NivellENS,2,FALSE))</f>
        <v/>
      </c>
      <c r="P5" s="88">
        <f>IF(J5="","",VLOOKUP(J5,Valor_Actiu_NivellENS,2,FALSE))</f>
        <v/>
      </c>
      <c r="Q5" s="88">
        <f>IF(K5="","",VLOOKUP(K5,Valor_Actiu_NivellENS,2,FALSE))</f>
        <v/>
      </c>
      <c r="R5" s="72">
        <f>IF(OR(M5&lt;&gt;"",N5&lt;&gt;"",O5&lt;&gt;"",Q5&lt;&gt;"",P5&lt;&gt;""),MAX(M5:Q5),"")</f>
        <v/>
      </c>
      <c r="S5" s="74">
        <f>VLOOKUP(R5,NivellENS_Categoria,2,FALSE)</f>
        <v/>
      </c>
      <c r="T5" s="83" t="n"/>
      <c r="U5" s="87" t="n"/>
      <c r="V5" s="87" t="n"/>
      <c r="W5" s="87" t="n"/>
      <c r="X5" s="87" t="n"/>
      <c r="Y5" s="87" t="n"/>
      <c r="Z5" s="87" t="n"/>
      <c r="AA5" s="87" t="n"/>
      <c r="AB5" s="87" t="n"/>
      <c r="AC5" s="87" t="n"/>
      <c r="AD5" s="87" t="n"/>
      <c r="AE5" s="87" t="n"/>
      <c r="AF5" s="87" t="n"/>
      <c r="AG5" s="87" t="n"/>
      <c r="AH5" s="87" t="n"/>
      <c r="AI5" s="87" t="n"/>
    </row>
    <row r="6" ht="67.90000000000001" customFormat="1" customHeight="1" s="115">
      <c r="A6" s="42" t="inlineStr">
        <is>
          <t>K-3</t>
        </is>
      </c>
      <c r="B6" s="30" t="inlineStr">
        <is>
          <t>Claves de bitlocker</t>
        </is>
      </c>
      <c r="C6" s="169" t="n"/>
      <c r="D6" s="30" t="inlineStr">
        <is>
          <t>Para los discos de los portátiles ( no tenemos )</t>
        </is>
      </c>
      <c r="E6" s="30" t="inlineStr">
        <is>
          <t>HW-1 Equipos de trabajo</t>
        </is>
      </c>
      <c r="F6" s="43" t="inlineStr">
        <is>
          <t>Marc Muixí</t>
        </is>
      </c>
      <c r="G6" s="34" t="n">
        <v>2</v>
      </c>
      <c r="H6" s="35" t="n">
        <v>2</v>
      </c>
      <c r="I6" s="35" t="n">
        <v>2</v>
      </c>
      <c r="J6" s="35" t="n">
        <v>2</v>
      </c>
      <c r="K6" s="35" t="n">
        <v>1</v>
      </c>
      <c r="L6" s="47">
        <f>IF(OR(G6&lt;&gt;"",H6&lt;&gt;"",I6&lt;&gt;"",K6&lt;&gt;"",J6&lt;&gt;""),MAX(G6:K6),"")</f>
        <v/>
      </c>
      <c r="M6" s="88">
        <f>IF(G6="","",VLOOKUP(G6,Valor_Actiu_NivellENS,2,FALSE))</f>
        <v/>
      </c>
      <c r="N6" s="88">
        <f>IF(H6="","",VLOOKUP(H6,Valor_Actiu_NivellENS,2,FALSE))</f>
        <v/>
      </c>
      <c r="O6" s="88">
        <f>IF(I6="","",VLOOKUP(I6,Valor_Actiu_NivellENS,2,FALSE))</f>
        <v/>
      </c>
      <c r="P6" s="88">
        <f>IF(J6="","",VLOOKUP(J6,Valor_Actiu_NivellENS,2,FALSE))</f>
        <v/>
      </c>
      <c r="Q6" s="88">
        <f>IF(K6="","",VLOOKUP(K6,Valor_Actiu_NivellENS,2,FALSE))</f>
        <v/>
      </c>
      <c r="R6" s="72">
        <f>IF(OR(M6&lt;&gt;"",N6&lt;&gt;"",O6&lt;&gt;"",Q6&lt;&gt;"",P6&lt;&gt;""),MAX(M6:Q6),"")</f>
        <v/>
      </c>
      <c r="S6" s="74">
        <f>VLOOKUP(R6,NivellENS_Categoria,2,FALSE)</f>
        <v/>
      </c>
      <c r="T6" s="83" t="n"/>
      <c r="U6" s="87" t="n"/>
      <c r="V6" s="87" t="n"/>
      <c r="W6" s="87" t="n"/>
      <c r="X6" s="87" t="n"/>
      <c r="Y6" s="87" t="n"/>
      <c r="Z6" s="87" t="n"/>
      <c r="AA6" s="87" t="n"/>
      <c r="AB6" s="87" t="n"/>
      <c r="AC6" s="87" t="n"/>
      <c r="AD6" s="87" t="n"/>
      <c r="AE6" s="87" t="n"/>
      <c r="AF6" s="87" t="n"/>
      <c r="AG6" s="87" t="n"/>
      <c r="AH6" s="87" t="n"/>
      <c r="AI6" s="87" t="n"/>
    </row>
    <row r="7" ht="67.90000000000001" customFormat="1" customHeight="1" s="45">
      <c r="A7" s="42" t="inlineStr">
        <is>
          <t>K-4</t>
        </is>
      </c>
      <c r="B7" s="14" t="inlineStr">
        <is>
          <t>Claves de cifrado de los datos en explotación</t>
        </is>
      </c>
      <c r="C7" s="169" t="inlineStr">
        <is>
          <t>K-Claves plataforma Tecnologica</t>
        </is>
      </c>
      <c r="D7" s="169" t="inlineStr">
        <is>
          <t>Proporcionados por Google Cloud, Azure, etc.</t>
        </is>
      </c>
      <c r="E7" s="30" t="inlineStr">
        <is>
          <t>SP-3 Explotación de plataformas tecnológicas de soluciones IA
SP-7 Gestión de infraestructura de plataforma tecnológica</t>
        </is>
      </c>
      <c r="F7" s="43" t="inlineStr">
        <is>
          <t>Marc Muixí</t>
        </is>
      </c>
      <c r="G7" s="34" t="n">
        <v>3</v>
      </c>
      <c r="H7" s="35" t="n">
        <v>3</v>
      </c>
      <c r="I7" s="35" t="n">
        <v>2</v>
      </c>
      <c r="J7" s="35" t="n">
        <v>3</v>
      </c>
      <c r="K7" s="35" t="n">
        <v>2</v>
      </c>
      <c r="L7" s="47">
        <f>IF(OR(G7&lt;&gt;"",H7&lt;&gt;"",I7&lt;&gt;"",K7&lt;&gt;"",J7&lt;&gt;""),MAX(G7:K7),"")</f>
        <v/>
      </c>
      <c r="M7" s="88">
        <f>IF(G7="","",VLOOKUP(G7,Valor_Actiu_NivellENS,2,FALSE))</f>
        <v/>
      </c>
      <c r="N7" s="88">
        <f>IF(H7="","",VLOOKUP(H7,Valor_Actiu_NivellENS,2,FALSE))</f>
        <v/>
      </c>
      <c r="O7" s="88">
        <f>IF(I7="","",VLOOKUP(I7,Valor_Actiu_NivellENS,2,FALSE))</f>
        <v/>
      </c>
      <c r="P7" s="88">
        <f>IF(J7="","",VLOOKUP(J7,Valor_Actiu_NivellENS,2,FALSE))</f>
        <v/>
      </c>
      <c r="Q7" s="88">
        <f>IF(K7="","",VLOOKUP(K7,Valor_Actiu_NivellENS,2,FALSE))</f>
        <v/>
      </c>
      <c r="R7" s="72">
        <f>IF(OR(M7&lt;&gt;"",N7&lt;&gt;"",O7&lt;&gt;"",Q7&lt;&gt;"",P7&lt;&gt;""),MAX(M7:Q7),"")</f>
        <v/>
      </c>
      <c r="S7" s="89">
        <f>VLOOKUP(R7,NivellENS_Categoria,2,FALSE)</f>
        <v/>
      </c>
      <c r="T7" s="14" t="n"/>
      <c r="U7" s="44" t="n"/>
      <c r="V7" s="44" t="n"/>
      <c r="W7" s="44" t="n"/>
      <c r="X7" s="44" t="n"/>
      <c r="Y7" s="44" t="n"/>
      <c r="Z7" s="44" t="n"/>
      <c r="AA7" s="44" t="n"/>
      <c r="AB7" s="44" t="n"/>
      <c r="AC7" s="44" t="n"/>
      <c r="AD7" s="44" t="n"/>
      <c r="AE7" s="44" t="n"/>
      <c r="AF7" s="44" t="n"/>
      <c r="AG7" s="44" t="n"/>
      <c r="AH7" s="44" t="n"/>
      <c r="AI7" s="44" t="n"/>
    </row>
    <row r="8" ht="67.90000000000001" customFormat="1" customHeight="1" s="115">
      <c r="A8" s="42" t="inlineStr">
        <is>
          <t>K-5</t>
        </is>
      </c>
      <c r="B8" s="14" t="n"/>
      <c r="C8" s="14" t="n"/>
      <c r="D8" s="30" t="n"/>
      <c r="E8" s="30" t="n"/>
      <c r="F8" s="175" t="n"/>
      <c r="G8" s="34" t="n"/>
      <c r="H8" s="35" t="n"/>
      <c r="I8" s="35" t="n"/>
      <c r="J8" s="35" t="n"/>
      <c r="K8" s="35" t="n"/>
      <c r="L8" s="47">
        <f>IF(OR(G8&lt;&gt;"",H8&lt;&gt;"",I8&lt;&gt;"",K8&lt;&gt;"",J8&lt;&gt;""),MAX(G8:K8),"")</f>
        <v/>
      </c>
      <c r="M8" s="88">
        <f>IF(G8="","",VLOOKUP(G8,Valor_Actiu_NivellENS,2,FALSE))</f>
        <v/>
      </c>
      <c r="N8" s="88">
        <f>IF(H8="","",VLOOKUP(H8,Valor_Actiu_NivellENS,2,FALSE))</f>
        <v/>
      </c>
      <c r="O8" s="88">
        <f>IF(I8="","",VLOOKUP(I8,Valor_Actiu_NivellENS,2,FALSE))</f>
        <v/>
      </c>
      <c r="P8" s="88">
        <f>IF(J8="","",VLOOKUP(J8,Valor_Actiu_NivellENS,2,FALSE))</f>
        <v/>
      </c>
      <c r="Q8" s="88">
        <f>IF(K8="","",VLOOKUP(K8,Valor_Actiu_NivellENS,2,FALSE))</f>
        <v/>
      </c>
      <c r="R8" s="72">
        <f>IF(OR(M8&lt;&gt;"",N8&lt;&gt;"",O8&lt;&gt;"",Q8&lt;&gt;"",P8&lt;&gt;""),MAX(M8:Q8),"")</f>
        <v/>
      </c>
      <c r="S8" s="74">
        <f>VLOOKUP(R8,NivellENS_Categoria,2,FALSE)</f>
        <v/>
      </c>
      <c r="T8" s="83" t="n"/>
      <c r="U8" s="87" t="n"/>
      <c r="V8" s="87" t="n"/>
      <c r="W8" s="87" t="n"/>
      <c r="X8" s="87" t="n"/>
      <c r="Y8" s="87" t="n"/>
      <c r="Z8" s="87" t="n"/>
      <c r="AA8" s="87" t="n"/>
      <c r="AB8" s="87" t="n"/>
      <c r="AC8" s="87" t="n"/>
      <c r="AD8" s="87" t="n"/>
      <c r="AE8" s="87" t="n"/>
      <c r="AF8" s="87" t="n"/>
      <c r="AG8" s="87" t="n"/>
      <c r="AH8" s="87" t="n"/>
      <c r="AI8" s="87" t="n"/>
    </row>
    <row r="9" ht="15" customFormat="1" customHeight="1" s="114">
      <c r="B9" s="117" t="n"/>
      <c r="M9" s="118" t="n"/>
      <c r="N9" s="118" t="n"/>
      <c r="O9" s="118" t="n"/>
      <c r="P9" s="118" t="n"/>
      <c r="Q9" s="118" t="n"/>
      <c r="R9" s="118" t="n"/>
      <c r="S9" s="118" t="n"/>
    </row>
    <row r="10" ht="15" customHeight="1">
      <c r="B10" s="117" t="n"/>
    </row>
  </sheetData>
  <mergeCells count="5">
    <mergeCell ref="G2:L2"/>
    <mergeCell ref="M2:S2"/>
    <mergeCell ref="G1:T1"/>
    <mergeCell ref="C1:F1"/>
    <mergeCell ref="A1:B1"/>
  </mergeCells>
  <conditionalFormatting sqref="L4:L8">
    <cfRule type="colorScale" priority="4">
      <colorScale>
        <cfvo type="num" val="0"/>
        <cfvo type="num" val="3"/>
        <color rgb="FFFFEF9C"/>
        <color theme="5"/>
      </colorScale>
    </cfRule>
  </conditionalFormatting>
  <conditionalFormatting sqref="S4:S8">
    <cfRule type="cellIs" priority="1" operator="equal" dxfId="2">
      <formula>"ALTA"</formula>
    </cfRule>
    <cfRule type="cellIs" priority="2" operator="equal" dxfId="1">
      <formula>"BAJA"</formula>
    </cfRule>
    <cfRule type="cellIs" priority="3" operator="equal" dxfId="0">
      <formula>"MEDIA"</formula>
    </cfRule>
  </conditionalFormatting>
  <dataValidations count="1">
    <dataValidation sqref="G4:K8 M4:Q8" showDropDown="0" showInputMessage="0" showErrorMessage="1" allowBlank="1" type="list">
      <formula1>Impacte</formula1>
    </dataValidation>
  </dataValidations>
  <pageMargins left="0.7" right="0.7" top="0.75" bottom="0.75" header="0" footer="0"/>
  <pageSetup orientation="landscape" scale="49" fitToHeight="0"/>
</worksheet>
</file>

<file path=xl/worksheets/sheet13.xml><?xml version="1.0" encoding="utf-8"?>
<worksheet xmlns="http://schemas.openxmlformats.org/spreadsheetml/2006/main">
  <sheetPr>
    <outlinePr summaryBelow="1" summaryRight="1"/>
    <pageSetUpPr fitToPage="1"/>
  </sheetPr>
  <dimension ref="A1:AI6"/>
  <sheetViews>
    <sheetView zoomScale="70" zoomScaleNormal="70" workbookViewId="0">
      <selection activeCell="L4" sqref="L4"/>
    </sheetView>
  </sheetViews>
  <sheetFormatPr baseColWidth="8" defaultColWidth="14.28515625" defaultRowHeight="15" customHeight="1"/>
  <cols>
    <col width="10.28515625" customWidth="1" min="1" max="1"/>
    <col width="31.28515625" customWidth="1" min="2" max="2"/>
    <col width="26.85546875" customWidth="1" min="3" max="3"/>
    <col width="60.7109375" customWidth="1" min="4" max="4"/>
    <col width="36" customWidth="1" min="5" max="5"/>
    <col width="18.85546875" customWidth="1" min="6" max="6"/>
    <col width="7.28515625" customWidth="1" min="7" max="11"/>
    <col width="12" customWidth="1" min="12" max="12"/>
    <col width="7.7109375" customWidth="1" style="63" min="13" max="17"/>
    <col width="11.28515625" customWidth="1" style="63" min="18" max="18"/>
    <col width="13" customWidth="1" style="63" min="19" max="19"/>
    <col width="42.28515625" customWidth="1" min="20" max="20"/>
    <col width="9.140625" customWidth="1" min="21" max="35"/>
  </cols>
  <sheetData>
    <row r="1" ht="57.2" customHeight="1">
      <c r="A1" s="234" t="n"/>
      <c r="B1" s="281" t="n"/>
      <c r="C1" s="305" t="inlineStr">
        <is>
          <t>VALORACIÓN DE ACTIVOS DE SOPORTES EXTERNOS DE ALMACENAJE DE DATOS</t>
        </is>
      </c>
      <c r="D1" s="300" t="n"/>
      <c r="E1" s="300" t="n"/>
      <c r="F1" s="281" t="n"/>
      <c r="G1" s="304" t="n"/>
      <c r="H1" s="282" t="n"/>
      <c r="I1" s="282" t="n"/>
      <c r="J1" s="282" t="n"/>
      <c r="K1" s="282" t="n"/>
      <c r="L1" s="282" t="n"/>
      <c r="M1" s="282" t="n"/>
      <c r="N1" s="282" t="n"/>
      <c r="O1" s="282" t="n"/>
      <c r="P1" s="282" t="n"/>
      <c r="Q1" s="282" t="n"/>
      <c r="R1" s="282" t="n"/>
      <c r="S1" s="282" t="n"/>
      <c r="T1" s="286" t="n"/>
    </row>
    <row r="2" ht="40.9" customHeight="1">
      <c r="A2" s="233" t="n"/>
      <c r="B2" s="253" t="n"/>
      <c r="C2" s="247" t="n"/>
      <c r="D2" s="248" t="n"/>
      <c r="E2" s="248" t="n"/>
      <c r="F2" s="248" t="n"/>
      <c r="G2" s="239" t="inlineStr">
        <is>
          <t>Valoración del Activo</t>
        </is>
      </c>
      <c r="H2" s="297" t="n"/>
      <c r="I2" s="297" t="n"/>
      <c r="J2" s="297" t="n"/>
      <c r="K2" s="297" t="n"/>
      <c r="L2" s="298" t="n"/>
      <c r="M2" s="235" t="inlineStr">
        <is>
          <t>Categorización ENS</t>
        </is>
      </c>
      <c r="N2" s="283" t="n"/>
      <c r="O2" s="283" t="n"/>
      <c r="P2" s="283" t="n"/>
      <c r="Q2" s="283" t="n"/>
      <c r="R2" s="283" t="n"/>
      <c r="S2" s="299" t="n"/>
      <c r="T2" s="258" t="n"/>
    </row>
    <row r="3" ht="97.15000000000001" customFormat="1" customHeight="1" s="2">
      <c r="A3" s="99" t="inlineStr">
        <is>
          <t>ID</t>
        </is>
      </c>
      <c r="B3" s="99" t="inlineStr">
        <is>
          <t>Nombre</t>
        </is>
      </c>
      <c r="C3" s="99" t="inlineStr">
        <is>
          <t>Grupo</t>
        </is>
      </c>
      <c r="D3" s="99" t="inlineStr">
        <is>
          <t>Descripción</t>
        </is>
      </c>
      <c r="E3" s="99" t="inlineStr">
        <is>
          <t>Activos Relacionados</t>
        </is>
      </c>
      <c r="F3" s="103" t="inlineStr">
        <is>
          <t>Responsable</t>
        </is>
      </c>
      <c r="G3" s="125" t="inlineStr">
        <is>
          <t>Disponibilidad</t>
        </is>
      </c>
      <c r="H3" s="100" t="inlineStr">
        <is>
          <t>Integridad</t>
        </is>
      </c>
      <c r="I3" s="100" t="inlineStr">
        <is>
          <t>Confidencialidad</t>
        </is>
      </c>
      <c r="J3" s="100" t="inlineStr">
        <is>
          <t>Autenticidad</t>
        </is>
      </c>
      <c r="K3" s="100" t="inlineStr">
        <is>
          <t>Trazabilidad</t>
        </is>
      </c>
      <c r="L3" s="122" t="inlineStr">
        <is>
          <t>VALOR
ACTIVO</t>
        </is>
      </c>
      <c r="M3" s="128" t="inlineStr">
        <is>
          <t>Disponibilidad</t>
        </is>
      </c>
      <c r="N3" s="129" t="inlineStr">
        <is>
          <t>Integridad</t>
        </is>
      </c>
      <c r="O3" s="129" t="inlineStr">
        <is>
          <t>Confidencialidad</t>
        </is>
      </c>
      <c r="P3" s="129" t="inlineStr">
        <is>
          <t>Autenticidad</t>
        </is>
      </c>
      <c r="Q3" s="129" t="inlineStr">
        <is>
          <t>Trazabilidad</t>
        </is>
      </c>
      <c r="R3" s="110" t="inlineStr">
        <is>
          <t>NIVEL
ACTIVO</t>
        </is>
      </c>
      <c r="S3" s="127" t="inlineStr">
        <is>
          <t>CATEGORIA
ACTIVO</t>
        </is>
      </c>
      <c r="T3" s="102" t="inlineStr">
        <is>
          <t>Notas</t>
        </is>
      </c>
      <c r="U3" s="12" t="n"/>
      <c r="V3" s="12" t="n"/>
      <c r="W3" s="12" t="n"/>
      <c r="X3" s="12" t="n"/>
      <c r="Y3" s="12" t="n"/>
      <c r="Z3" s="12" t="n"/>
      <c r="AA3" s="12" t="n"/>
      <c r="AB3" s="12" t="n"/>
      <c r="AC3" s="12" t="n"/>
      <c r="AD3" s="12" t="n"/>
      <c r="AE3" s="12" t="n"/>
      <c r="AF3" s="12" t="n"/>
      <c r="AG3" s="12" t="n"/>
      <c r="AH3" s="12" t="n"/>
      <c r="AI3" s="12" t="n"/>
    </row>
    <row r="4" ht="70.15000000000001" customFormat="1" customHeight="1" s="45">
      <c r="A4" s="42" t="inlineStr">
        <is>
          <t>SOP-1</t>
        </is>
      </c>
      <c r="B4" s="2" t="n"/>
      <c r="C4" s="5" t="n"/>
      <c r="D4" s="30" t="n"/>
      <c r="E4" s="30" t="n"/>
      <c r="F4" s="43" t="n"/>
      <c r="G4" s="187" t="n"/>
      <c r="H4" s="35" t="n"/>
      <c r="I4" s="35" t="n"/>
      <c r="J4" s="35" t="n"/>
      <c r="K4" s="35" t="n"/>
      <c r="L4" s="47">
        <f>IF(OR(G4&lt;&gt;"",H4&lt;&gt;"",I4&lt;&gt;"",K4&lt;&gt;"",J4&lt;&gt;""),MAX(G4:K4),"")</f>
        <v/>
      </c>
      <c r="M4" s="88">
        <f>IF(G4="","",VLOOKUP(G4,Valor_Actiu_NivellENS,2,FALSE))</f>
        <v/>
      </c>
      <c r="N4" s="88">
        <f>IF(H4="","",VLOOKUP(H4,Valor_Actiu_NivellENS,2,FALSE))</f>
        <v/>
      </c>
      <c r="O4" s="88">
        <f>IF(I4="","",VLOOKUP(I4,Valor_Actiu_NivellENS,2,FALSE))</f>
        <v/>
      </c>
      <c r="P4" s="88">
        <f>IF(J4="","",VLOOKUP(J4,Valor_Actiu_NivellENS,2,FALSE))</f>
        <v/>
      </c>
      <c r="Q4" s="88">
        <f>IF(K4="","",VLOOKUP(K4,Valor_Actiu_NivellENS,2,FALSE))</f>
        <v/>
      </c>
      <c r="R4" s="72">
        <f>IF(OR(M4&lt;&gt;"",N4&lt;&gt;"",O4&lt;&gt;"",Q4&lt;&gt;"",P4&lt;&gt;""),MAX(M4:Q4),"")</f>
        <v/>
      </c>
      <c r="S4" s="74">
        <f>VLOOKUP(R4,NivellENS_Categoria,2,FALSE)</f>
        <v/>
      </c>
      <c r="T4" s="14" t="n"/>
      <c r="U4" s="44" t="n"/>
      <c r="V4" s="44" t="n"/>
      <c r="W4" s="44" t="n"/>
      <c r="X4" s="44" t="n"/>
      <c r="Y4" s="44" t="n"/>
      <c r="Z4" s="44" t="n"/>
      <c r="AA4" s="44" t="n"/>
      <c r="AB4" s="44" t="n"/>
      <c r="AC4" s="44" t="n"/>
      <c r="AD4" s="44" t="n"/>
      <c r="AE4" s="44" t="n"/>
      <c r="AF4" s="44" t="n"/>
      <c r="AG4" s="44" t="n"/>
      <c r="AH4" s="44" t="n"/>
      <c r="AI4" s="44" t="n"/>
    </row>
    <row r="5" ht="26.65" customFormat="1" customHeight="1" s="2">
      <c r="A5" s="4" t="n"/>
      <c r="B5" s="5" t="n"/>
      <c r="C5" s="5" t="n"/>
      <c r="D5" s="6" t="n"/>
      <c r="E5" s="6" t="n"/>
      <c r="F5" s="186" t="n"/>
      <c r="G5" s="80" t="n"/>
      <c r="H5" s="7" t="n"/>
      <c r="I5" s="7" t="n"/>
      <c r="J5" s="7" t="n"/>
      <c r="K5" s="7" t="n"/>
      <c r="L5" s="9">
        <f>IF(OR(G5&lt;&gt;"",H5&lt;&gt;"",I5&lt;&gt;"",K5&lt;&gt;"",J5&lt;&gt;""),MAX(G5:K5),"")</f>
        <v/>
      </c>
      <c r="M5" s="81">
        <f>IF(G5="","",VLOOKUP(G5,Valor_Actiu_NivellENS,2,FALSE))</f>
        <v/>
      </c>
      <c r="N5" s="81">
        <f>IF(H5="","",VLOOKUP(H5,Valor_Actiu_NivellENS,2,FALSE))</f>
        <v/>
      </c>
      <c r="O5" s="81">
        <f>IF(I5="","",VLOOKUP(I5,Valor_Actiu_NivellENS,2,FALSE))</f>
        <v/>
      </c>
      <c r="P5" s="81">
        <f>IF(J5="","",VLOOKUP(J5,Valor_Actiu_NivellENS,2,FALSE))</f>
        <v/>
      </c>
      <c r="Q5" s="81">
        <f>IF(K5="","",VLOOKUP(K5,Valor_Actiu_NivellENS,2,FALSE))</f>
        <v/>
      </c>
      <c r="R5" s="72" t="n"/>
      <c r="S5" s="73" t="n"/>
      <c r="T5" s="5" t="n"/>
      <c r="U5" s="10" t="n"/>
      <c r="V5" s="10" t="n"/>
      <c r="W5" s="10" t="n"/>
      <c r="X5" s="10" t="n"/>
      <c r="Y5" s="10" t="n"/>
      <c r="Z5" s="10" t="n"/>
      <c r="AA5" s="10" t="n"/>
      <c r="AB5" s="10" t="n"/>
      <c r="AC5" s="10" t="n"/>
      <c r="AD5" s="10" t="n"/>
      <c r="AE5" s="10" t="n"/>
      <c r="AF5" s="10" t="n"/>
      <c r="AG5" s="10" t="n"/>
      <c r="AH5" s="10" t="n"/>
      <c r="AI5" s="10" t="n"/>
    </row>
    <row r="6" ht="26.65" customFormat="1" customHeight="1" s="2">
      <c r="A6" s="5" t="n"/>
      <c r="B6" s="5" t="n"/>
      <c r="C6" s="5" t="n"/>
      <c r="D6" s="6" t="n"/>
      <c r="E6" s="6" t="n"/>
      <c r="F6" s="186" t="n"/>
      <c r="G6" s="80" t="n"/>
      <c r="H6" s="7" t="n"/>
      <c r="I6" s="7" t="n"/>
      <c r="J6" s="7" t="n"/>
      <c r="K6" s="7" t="n"/>
      <c r="L6" s="9">
        <f>IF(OR(G6&lt;&gt;"",H6&lt;&gt;"",I6&lt;&gt;"",K6&lt;&gt;"",J6&lt;&gt;""),MAX(G6:K6),"")</f>
        <v/>
      </c>
      <c r="M6" s="81">
        <f>IF(G6="","",VLOOKUP(G6,Valor_Actiu_NivellENS,2,FALSE))</f>
        <v/>
      </c>
      <c r="N6" s="81">
        <f>IF(H6="","",VLOOKUP(H6,Valor_Actiu_NivellENS,2,FALSE))</f>
        <v/>
      </c>
      <c r="O6" s="81">
        <f>IF(I6="","",VLOOKUP(I6,Valor_Actiu_NivellENS,2,FALSE))</f>
        <v/>
      </c>
      <c r="P6" s="81">
        <f>IF(J6="","",VLOOKUP(J6,Valor_Actiu_NivellENS,2,FALSE))</f>
        <v/>
      </c>
      <c r="Q6" s="81">
        <f>IF(K6="","",VLOOKUP(K6,Valor_Actiu_NivellENS,2,FALSE))</f>
        <v/>
      </c>
      <c r="R6" s="72" t="n"/>
      <c r="S6" s="73" t="n"/>
      <c r="T6" s="5" t="n"/>
      <c r="U6" s="10" t="n"/>
      <c r="V6" s="10" t="n"/>
      <c r="W6" s="10" t="n"/>
      <c r="X6" s="10" t="n"/>
      <c r="Y6" s="10" t="n"/>
      <c r="Z6" s="10" t="n"/>
      <c r="AA6" s="10" t="n"/>
      <c r="AB6" s="10" t="n"/>
      <c r="AC6" s="10" t="n"/>
      <c r="AD6" s="10" t="n"/>
      <c r="AE6" s="10" t="n"/>
      <c r="AF6" s="10" t="n"/>
      <c r="AG6" s="10" t="n"/>
      <c r="AH6" s="10" t="n"/>
      <c r="AI6" s="10" t="n"/>
    </row>
  </sheetData>
  <mergeCells count="5">
    <mergeCell ref="G2:L2"/>
    <mergeCell ref="M2:S2"/>
    <mergeCell ref="G1:T1"/>
    <mergeCell ref="C1:F1"/>
    <mergeCell ref="A1:B1"/>
  </mergeCells>
  <conditionalFormatting sqref="L4">
    <cfRule type="colorScale" priority="4">
      <colorScale>
        <cfvo type="num" val="0"/>
        <cfvo type="num" val="3"/>
        <color rgb="FFFFEF9C"/>
        <color theme="5"/>
      </colorScale>
    </cfRule>
  </conditionalFormatting>
  <conditionalFormatting sqref="L5:L6">
    <cfRule type="colorScale" priority="8">
      <colorScale>
        <cfvo type="num" val="0"/>
        <cfvo type="num" val="3"/>
        <color rgb="FFFFEF9C"/>
        <color theme="5"/>
      </colorScale>
    </cfRule>
  </conditionalFormatting>
  <conditionalFormatting sqref="S4:S6">
    <cfRule type="cellIs" priority="1" operator="equal" dxfId="2">
      <formula>"ALTA"</formula>
    </cfRule>
    <cfRule type="cellIs" priority="2" operator="equal" dxfId="1">
      <formula>"BAJA"</formula>
    </cfRule>
    <cfRule type="cellIs" priority="3" operator="equal" dxfId="0">
      <formula>"MEDIA"</formula>
    </cfRule>
  </conditionalFormatting>
  <dataValidations count="1">
    <dataValidation sqref="G4:K6 M4:Q6" showDropDown="0" showInputMessage="0" showErrorMessage="1" allowBlank="1" type="list">
      <formula1>Impacte</formula1>
    </dataValidation>
  </dataValidations>
  <pageMargins left="0.7" right="0.7" top="0.75" bottom="0.75" header="0" footer="0"/>
  <pageSetup orientation="landscape" scale="45" fitToHeight="0"/>
</worksheet>
</file>

<file path=xl/worksheets/sheet14.xml><?xml version="1.0" encoding="utf-8"?>
<worksheet xmlns="http://schemas.openxmlformats.org/spreadsheetml/2006/main">
  <sheetPr>
    <outlinePr summaryBelow="1" summaryRight="1"/>
    <pageSetUpPr fitToPage="1"/>
  </sheetPr>
  <dimension ref="A1:Z7"/>
  <sheetViews>
    <sheetView zoomScale="70" zoomScaleNormal="70" workbookViewId="0">
      <selection activeCell="I15" sqref="I15"/>
    </sheetView>
  </sheetViews>
  <sheetFormatPr baseColWidth="8" defaultColWidth="14.28515625" defaultRowHeight="15" customHeight="1"/>
  <cols>
    <col width="10.28515625" customWidth="1" min="1" max="1"/>
    <col width="30.85546875" customWidth="1" min="2" max="3"/>
    <col width="44.140625" customWidth="1" min="4" max="4"/>
    <col width="52.85546875" customWidth="1" min="5" max="5"/>
    <col width="24.140625" customWidth="1" min="6" max="6"/>
    <col width="13.140625" customWidth="1" min="7" max="7"/>
    <col width="9.140625" customWidth="1" min="8" max="9"/>
    <col width="22" customWidth="1" min="10" max="10"/>
    <col width="42.28515625" customWidth="1" min="11" max="11"/>
    <col width="9.140625" customWidth="1" min="12" max="26"/>
  </cols>
  <sheetData>
    <row r="1" ht="64.15000000000001" customHeight="1">
      <c r="A1" s="234" t="n"/>
      <c r="B1" s="281" t="n"/>
      <c r="C1" s="302" t="inlineStr">
        <is>
          <t>VALORACIÓN DE ACTIVOS DE EQUIPOS E INSTALACIONES AUXILIARES</t>
        </is>
      </c>
      <c r="D1" s="300" t="n"/>
      <c r="E1" s="300" t="n"/>
      <c r="F1" s="281" t="n"/>
      <c r="G1" s="304" t="n"/>
      <c r="H1" s="282" t="n"/>
      <c r="I1" s="282" t="n"/>
      <c r="J1" s="282" t="n"/>
      <c r="K1" s="286" t="n"/>
    </row>
    <row r="2" ht="106.5" customFormat="1" customHeight="1" s="2">
      <c r="A2" s="103" t="inlineStr">
        <is>
          <t>ID</t>
        </is>
      </c>
      <c r="B2" s="99" t="inlineStr">
        <is>
          <t>Nombre</t>
        </is>
      </c>
      <c r="C2" s="99" t="inlineStr">
        <is>
          <t>Grupo</t>
        </is>
      </c>
      <c r="D2" s="99" t="inlineStr">
        <is>
          <t>Descripción</t>
        </is>
      </c>
      <c r="E2" s="99" t="inlineStr">
        <is>
          <t>Activos Relacionados</t>
        </is>
      </c>
      <c r="F2" s="99" t="inlineStr">
        <is>
          <t>Responsable</t>
        </is>
      </c>
      <c r="G2" s="100" t="inlineStr">
        <is>
          <t>Disponibilidad</t>
        </is>
      </c>
      <c r="H2" s="100" t="inlineStr">
        <is>
          <t>Integridad</t>
        </is>
      </c>
      <c r="I2" s="100" t="inlineStr">
        <is>
          <t>Confidencialidad</t>
        </is>
      </c>
      <c r="J2" s="101" t="inlineStr">
        <is>
          <t>VALOR
ACTIVO</t>
        </is>
      </c>
      <c r="K2" s="102" t="inlineStr">
        <is>
          <t>Notas</t>
        </is>
      </c>
      <c r="L2" s="3" t="n"/>
      <c r="M2" s="3" t="n"/>
      <c r="N2" s="3" t="n"/>
      <c r="O2" s="3" t="n"/>
      <c r="P2" s="3" t="n"/>
      <c r="Q2" s="3" t="n"/>
      <c r="R2" s="3" t="n"/>
      <c r="S2" s="3" t="n"/>
      <c r="T2" s="3" t="n"/>
      <c r="U2" s="3" t="n"/>
      <c r="V2" s="3" t="n"/>
      <c r="W2" s="3" t="n"/>
      <c r="X2" s="3" t="n"/>
      <c r="Y2" s="3" t="n"/>
      <c r="Z2" s="3" t="n"/>
    </row>
    <row r="3" ht="57.75" customFormat="1" customHeight="1" s="40">
      <c r="A3" s="188" t="inlineStr">
        <is>
          <t>AUX-1</t>
        </is>
      </c>
      <c r="B3" s="30" t="n"/>
      <c r="C3" s="169" t="n"/>
      <c r="D3" s="30" t="n"/>
      <c r="E3" s="30" t="n"/>
      <c r="F3" s="35" t="n"/>
      <c r="G3" s="35" t="n"/>
      <c r="H3" s="190" t="n"/>
      <c r="I3" s="190" t="n"/>
      <c r="J3" s="47">
        <f>IF(OR(E3&lt;&gt;"",F3&lt;&gt;"",G3&lt;&gt;"",I3&lt;&gt;"",H3&lt;&gt;""),MAX(E3:I3),"")</f>
        <v/>
      </c>
      <c r="K3" s="14" t="n"/>
      <c r="L3" s="39" t="n"/>
      <c r="M3" s="39" t="n"/>
      <c r="N3" s="39" t="n"/>
      <c r="O3" s="39" t="n"/>
      <c r="P3" s="39" t="n"/>
      <c r="Q3" s="39" t="n"/>
      <c r="R3" s="39" t="n"/>
      <c r="S3" s="39" t="n"/>
      <c r="T3" s="39" t="n"/>
      <c r="U3" s="39" t="n"/>
      <c r="V3" s="39" t="n"/>
      <c r="W3" s="39" t="n"/>
      <c r="X3" s="39" t="n"/>
      <c r="Y3" s="39" t="n"/>
      <c r="Z3" s="39" t="n"/>
    </row>
    <row r="4" ht="60" customFormat="1" customHeight="1" s="40">
      <c r="A4" s="188" t="n"/>
      <c r="B4" s="30" t="n"/>
      <c r="C4" s="169" t="n"/>
      <c r="D4" s="30" t="n"/>
      <c r="E4" s="30" t="n"/>
      <c r="F4" s="35" t="n"/>
      <c r="G4" s="35" t="n"/>
      <c r="H4" s="190" t="n"/>
      <c r="I4" s="190" t="n"/>
      <c r="J4" s="47" t="n"/>
      <c r="K4" s="14" t="n"/>
      <c r="L4" s="39" t="n"/>
      <c r="M4" s="39" t="n"/>
      <c r="N4" s="39" t="n"/>
      <c r="O4" s="39" t="n"/>
      <c r="P4" s="39" t="n"/>
      <c r="Q4" s="39" t="n"/>
      <c r="R4" s="39" t="n"/>
      <c r="S4" s="39" t="n"/>
      <c r="T4" s="39" t="n"/>
      <c r="U4" s="39" t="n"/>
      <c r="V4" s="39" t="n"/>
      <c r="W4" s="39" t="n"/>
      <c r="X4" s="39" t="n"/>
      <c r="Y4" s="39" t="n"/>
      <c r="Z4" s="39" t="n"/>
    </row>
    <row r="5" ht="27" customFormat="1" customHeight="1" s="40">
      <c r="A5" s="188" t="n"/>
      <c r="B5" s="30" t="n"/>
      <c r="C5" s="169" t="n"/>
      <c r="D5" s="30" t="n"/>
      <c r="E5" s="30" t="n"/>
      <c r="F5" s="35" t="n"/>
      <c r="G5" s="35" t="n"/>
      <c r="H5" s="190" t="n"/>
      <c r="I5" s="190" t="n"/>
      <c r="J5" s="47" t="n"/>
      <c r="K5" s="14" t="n"/>
      <c r="L5" s="39" t="n"/>
      <c r="M5" s="39" t="n"/>
      <c r="N5" s="39" t="n"/>
      <c r="O5" s="39" t="n"/>
      <c r="P5" s="39" t="n"/>
      <c r="Q5" s="39" t="n"/>
      <c r="R5" s="39" t="n"/>
      <c r="S5" s="39" t="n"/>
      <c r="T5" s="39" t="n"/>
      <c r="U5" s="39" t="n"/>
      <c r="V5" s="39" t="n"/>
      <c r="W5" s="39" t="n"/>
      <c r="X5" s="39" t="n"/>
      <c r="Y5" s="39" t="n"/>
      <c r="Z5" s="39" t="n"/>
    </row>
    <row r="6" ht="58.9" customFormat="1" customHeight="1" s="40">
      <c r="A6" s="188" t="n"/>
      <c r="B6" s="30" t="n"/>
      <c r="C6" s="169" t="n"/>
      <c r="D6" s="30" t="n"/>
      <c r="E6" s="30" t="n"/>
      <c r="F6" s="35" t="n"/>
      <c r="G6" s="35" t="n"/>
      <c r="H6" s="190" t="n"/>
      <c r="I6" s="190" t="n"/>
      <c r="J6" s="47" t="n"/>
      <c r="K6" s="14" t="n"/>
      <c r="L6" s="39" t="n"/>
      <c r="M6" s="39" t="n"/>
      <c r="N6" s="39" t="n"/>
      <c r="O6" s="39" t="n"/>
      <c r="P6" s="39" t="n"/>
      <c r="Q6" s="39" t="n"/>
      <c r="R6" s="39" t="n"/>
      <c r="S6" s="39" t="n"/>
      <c r="T6" s="39" t="n"/>
      <c r="U6" s="39" t="n"/>
      <c r="V6" s="39" t="n"/>
      <c r="W6" s="39" t="n"/>
      <c r="X6" s="39" t="n"/>
      <c r="Y6" s="39" t="n"/>
      <c r="Z6" s="39" t="n"/>
    </row>
    <row r="7" ht="24.75" customFormat="1" customHeight="1" s="2">
      <c r="A7" s="188" t="n"/>
      <c r="B7" s="14" t="n"/>
      <c r="C7" s="169" t="n"/>
      <c r="D7" s="169" t="n"/>
      <c r="E7" s="30" t="n"/>
      <c r="F7" s="30" t="n"/>
      <c r="G7" s="35" t="n"/>
      <c r="H7" s="190" t="n"/>
      <c r="I7" s="190" t="n"/>
      <c r="J7" s="47" t="n"/>
      <c r="K7" s="14" t="n"/>
      <c r="L7" s="10" t="n"/>
      <c r="M7" s="10" t="n"/>
      <c r="N7" s="10" t="n"/>
      <c r="O7" s="10" t="n"/>
      <c r="P7" s="10" t="n"/>
      <c r="Q7" s="10" t="n"/>
      <c r="R7" s="10" t="n"/>
      <c r="S7" s="10" t="n"/>
      <c r="T7" s="10" t="n"/>
      <c r="U7" s="10" t="n"/>
      <c r="V7" s="10" t="n"/>
      <c r="W7" s="10" t="n"/>
      <c r="X7" s="10" t="n"/>
      <c r="Y7" s="10" t="n"/>
      <c r="Z7" s="10" t="n"/>
    </row>
  </sheetData>
  <mergeCells count="3">
    <mergeCell ref="C1:F1"/>
    <mergeCell ref="A1:B1"/>
    <mergeCell ref="G1:K1"/>
  </mergeCells>
  <conditionalFormatting sqref="J3">
    <cfRule type="colorScale" priority="1">
      <colorScale>
        <cfvo type="num" val="0"/>
        <cfvo type="num" val="3"/>
        <color rgb="FFFFEF9C"/>
        <color theme="5"/>
      </colorScale>
    </cfRule>
  </conditionalFormatting>
  <conditionalFormatting sqref="J4:J7">
    <cfRule type="colorScale" priority="2">
      <colorScale>
        <cfvo type="num" val="0"/>
        <cfvo type="num" val="3"/>
        <color rgb="FFFFEF9C"/>
        <color theme="5"/>
      </colorScale>
    </cfRule>
  </conditionalFormatting>
  <dataValidations count="1">
    <dataValidation sqref="G3:I7" showDropDown="0" showInputMessage="0" showErrorMessage="1" allowBlank="1" type="list">
      <formula1>Impacte</formula1>
    </dataValidation>
  </dataValidations>
  <pageMargins left="0.7" right="0.7" top="0.75" bottom="0.75" header="0" footer="0"/>
  <pageSetup orientation="landscape" scale="45" fitToHeight="0"/>
</worksheet>
</file>

<file path=xl/worksheets/sheet15.xml><?xml version="1.0" encoding="utf-8"?>
<worksheet xmlns="http://schemas.openxmlformats.org/spreadsheetml/2006/main">
  <sheetPr>
    <outlinePr summaryBelow="1" summaryRight="1"/>
    <pageSetUpPr fitToPage="1"/>
  </sheetPr>
  <dimension ref="A1:AA6"/>
  <sheetViews>
    <sheetView zoomScale="70" zoomScaleNormal="70" workbookViewId="0">
      <selection activeCell="F9" sqref="F9"/>
    </sheetView>
  </sheetViews>
  <sheetFormatPr baseColWidth="8" defaultColWidth="14.28515625" defaultRowHeight="15" customHeight="1"/>
  <cols>
    <col width="10.28515625" customWidth="1" min="1" max="1"/>
    <col width="40.28515625" customWidth="1" min="2" max="2"/>
    <col width="17.85546875" customWidth="1" min="3" max="3"/>
    <col width="30.85546875" customWidth="1" min="4" max="4"/>
    <col width="44.140625" customWidth="1" min="5" max="5"/>
    <col width="52.85546875" customWidth="1" min="6" max="6"/>
    <col width="24.140625" customWidth="1" min="7" max="7"/>
    <col width="13.140625" customWidth="1" min="8" max="8"/>
    <col width="9.140625" customWidth="1" min="9" max="10"/>
    <col width="15.85546875" customWidth="1" min="11" max="11"/>
    <col width="42.28515625" customWidth="1" min="12" max="12"/>
    <col width="9.140625" customWidth="1" min="13" max="27"/>
  </cols>
  <sheetData>
    <row r="1" ht="63" customHeight="1">
      <c r="A1" s="234" t="n"/>
      <c r="B1" s="281" t="n"/>
      <c r="C1" s="90" t="n"/>
      <c r="D1" s="302" t="inlineStr">
        <is>
          <t>VALORACIÓN DE ACTIVOS DE PERSONAL</t>
        </is>
      </c>
      <c r="E1" s="300" t="n"/>
      <c r="F1" s="300" t="n"/>
      <c r="G1" s="281" t="n"/>
      <c r="H1" s="304" t="n"/>
      <c r="I1" s="282" t="n"/>
      <c r="J1" s="282" t="n"/>
      <c r="K1" s="282" t="n"/>
      <c r="L1" s="286" t="n"/>
    </row>
    <row r="2" ht="106.5" customFormat="1" customHeight="1" s="2">
      <c r="A2" s="99" t="inlineStr">
        <is>
          <t>ID</t>
        </is>
      </c>
      <c r="B2" s="99" t="inlineStr">
        <is>
          <t>Nombre</t>
        </is>
      </c>
      <c r="C2" s="99" t="inlineStr">
        <is>
          <t>DPT</t>
        </is>
      </c>
      <c r="D2" s="99" t="inlineStr">
        <is>
          <t>Grupo</t>
        </is>
      </c>
      <c r="E2" s="99" t="inlineStr">
        <is>
          <t>Descripción</t>
        </is>
      </c>
      <c r="F2" s="99" t="inlineStr">
        <is>
          <t>Activos Relacionados</t>
        </is>
      </c>
      <c r="G2" s="103" t="inlineStr">
        <is>
          <t>Responsable</t>
        </is>
      </c>
      <c r="H2" s="121" t="inlineStr">
        <is>
          <t>Disponibilidad</t>
        </is>
      </c>
      <c r="I2" s="100" t="inlineStr">
        <is>
          <t>Integridad</t>
        </is>
      </c>
      <c r="J2" s="100" t="inlineStr">
        <is>
          <t>Confidencialidad</t>
        </is>
      </c>
      <c r="K2" s="101" t="inlineStr">
        <is>
          <t>VALOR
ACTIVO</t>
        </is>
      </c>
      <c r="L2" s="102" t="inlineStr">
        <is>
          <t>Notas</t>
        </is>
      </c>
      <c r="M2" s="3" t="n"/>
      <c r="N2" s="3" t="n"/>
      <c r="O2" s="3" t="n"/>
      <c r="P2" s="3" t="n"/>
      <c r="Q2" s="3" t="n"/>
      <c r="R2" s="3" t="n"/>
      <c r="S2" s="3" t="n"/>
      <c r="T2" s="3" t="n"/>
      <c r="U2" s="3" t="n"/>
      <c r="V2" s="3" t="n"/>
      <c r="W2" s="3" t="n"/>
      <c r="X2" s="3" t="n"/>
      <c r="Y2" s="3" t="n"/>
      <c r="Z2" s="3" t="n"/>
      <c r="AA2" s="3" t="n"/>
    </row>
    <row r="3" ht="55.15" customFormat="1" customHeight="1" s="40">
      <c r="A3" s="36" t="inlineStr">
        <is>
          <t>P1</t>
        </is>
      </c>
      <c r="B3" s="30" t="inlineStr">
        <is>
          <t>CEO - Director General</t>
        </is>
      </c>
      <c r="C3" s="14" t="inlineStr">
        <is>
          <t>N/A</t>
        </is>
      </c>
      <c r="D3" s="5" t="inlineStr">
        <is>
          <t>N/A</t>
        </is>
      </c>
      <c r="E3" s="6" t="inlineStr">
        <is>
          <t>Funciones de Direccion General y gestión de negocio. Tareas comerciales y tareas administrativas</t>
        </is>
      </c>
      <c r="F3" s="6" t="inlineStr">
        <is>
          <t>SP-Servicios Propios
D-Datos</t>
        </is>
      </c>
      <c r="G3" s="32" t="inlineStr">
        <is>
          <t>Jordi Roca</t>
        </is>
      </c>
      <c r="H3" s="139" t="n">
        <v>2</v>
      </c>
      <c r="I3" s="189" t="n"/>
      <c r="J3" s="38" t="n">
        <v>2</v>
      </c>
      <c r="K3" s="9">
        <f>IF(OR(F3&lt;&gt;"",G3&lt;&gt;"",H3&lt;&gt;"",J3&lt;&gt;"",I3&lt;&gt;""),MAX(F3:J3),"")</f>
        <v/>
      </c>
      <c r="L3" s="37" t="n"/>
      <c r="M3" s="39" t="n"/>
      <c r="N3" s="39" t="n"/>
      <c r="O3" s="39" t="n"/>
      <c r="P3" s="39" t="n"/>
      <c r="Q3" s="39" t="n"/>
      <c r="R3" s="39" t="n"/>
      <c r="S3" s="39" t="n"/>
      <c r="T3" s="39" t="n"/>
      <c r="U3" s="39" t="n"/>
      <c r="V3" s="39" t="n"/>
      <c r="W3" s="39" t="n"/>
      <c r="X3" s="39" t="n"/>
      <c r="Y3" s="39" t="n"/>
      <c r="Z3" s="39" t="n"/>
      <c r="AA3" s="39" t="n"/>
    </row>
    <row r="4" ht="60" customFormat="1" customHeight="1" s="40">
      <c r="A4" s="36" t="inlineStr">
        <is>
          <t>P2</t>
        </is>
      </c>
      <c r="B4" s="30" t="inlineStr">
        <is>
          <t>CTO - Responsable de Tecnología</t>
        </is>
      </c>
      <c r="C4" s="14" t="inlineStr">
        <is>
          <t>N/A</t>
        </is>
      </c>
      <c r="D4" s="5" t="inlineStr">
        <is>
          <t>N/A</t>
        </is>
      </c>
      <c r="E4" s="6" t="inlineStr">
        <is>
          <t>Dirección técnica. Gestión de la infraestructura y los equipos. Dirección de proyectos de desarrollo. Tareas de desarrollo.</t>
        </is>
      </c>
      <c r="F4" s="6" t="inlineStr">
        <is>
          <t>SP-Servicios Propios
D-Datos</t>
        </is>
      </c>
      <c r="G4" s="32" t="inlineStr">
        <is>
          <t>Jordi Roca</t>
        </is>
      </c>
      <c r="H4" s="139" t="n">
        <v>2</v>
      </c>
      <c r="I4" s="189" t="n"/>
      <c r="J4" s="38" t="n">
        <v>2</v>
      </c>
      <c r="K4" s="9">
        <f>IF(OR(F4&lt;&gt;"",G4&lt;&gt;"",H4&lt;&gt;"",J4&lt;&gt;"",I4&lt;&gt;""),MAX(F4:J4),"")</f>
        <v/>
      </c>
      <c r="L4" s="37" t="n"/>
      <c r="M4" s="39" t="n"/>
      <c r="N4" s="39" t="n"/>
      <c r="O4" s="39" t="n"/>
      <c r="P4" s="39" t="n"/>
      <c r="Q4" s="39" t="n"/>
      <c r="R4" s="39" t="n"/>
      <c r="S4" s="39" t="n"/>
      <c r="T4" s="39" t="n"/>
      <c r="U4" s="39" t="n"/>
      <c r="V4" s="39" t="n"/>
      <c r="W4" s="39" t="n"/>
      <c r="X4" s="39" t="n"/>
      <c r="Y4" s="39" t="n"/>
      <c r="Z4" s="39" t="n"/>
      <c r="AA4" s="39" t="n"/>
    </row>
    <row r="5" ht="88.5" customFormat="1" customHeight="1" s="40">
      <c r="A5" s="36" t="inlineStr">
        <is>
          <t>P3</t>
        </is>
      </c>
      <c r="B5" s="30" t="inlineStr">
        <is>
          <t>CISO - Responsable de Seguridad</t>
        </is>
      </c>
      <c r="C5" s="14" t="inlineStr">
        <is>
          <t>N/A</t>
        </is>
      </c>
      <c r="D5" s="5" t="inlineStr">
        <is>
          <t>N/A</t>
        </is>
      </c>
      <c r="E5" s="6" t="inlineStr">
        <is>
          <t>Resposnable de preservar la seguridad d ela información en la empresa</t>
        </is>
      </c>
      <c r="F5" s="6" t="inlineStr">
        <is>
          <t>SP-Servicios Propios
D-Datos</t>
        </is>
      </c>
      <c r="G5" s="32" t="inlineStr">
        <is>
          <t>Jordi Roca</t>
        </is>
      </c>
      <c r="H5" s="139" t="n">
        <v>2</v>
      </c>
      <c r="I5" s="189" t="n"/>
      <c r="J5" s="38" t="n">
        <v>2</v>
      </c>
      <c r="K5" s="9">
        <f>IF(OR(F5&lt;&gt;"",G5&lt;&gt;"",H5&lt;&gt;"",J5&lt;&gt;"",I5&lt;&gt;""),MAX(F5:J5),"")</f>
        <v/>
      </c>
      <c r="L5" s="37" t="n"/>
      <c r="M5" s="39" t="n"/>
      <c r="N5" s="39" t="n"/>
      <c r="O5" s="39" t="n"/>
      <c r="P5" s="39" t="n"/>
      <c r="Q5" s="39" t="n"/>
      <c r="R5" s="39" t="n"/>
      <c r="S5" s="39" t="n"/>
      <c r="T5" s="39" t="n"/>
      <c r="U5" s="39" t="n"/>
      <c r="V5" s="39" t="n"/>
      <c r="W5" s="39" t="n"/>
      <c r="X5" s="39" t="n"/>
      <c r="Y5" s="39" t="n"/>
      <c r="Z5" s="39" t="n"/>
      <c r="AA5" s="39" t="n"/>
    </row>
    <row r="6" ht="88.5" customFormat="1" customHeight="1" s="40">
      <c r="A6" s="36" t="inlineStr">
        <is>
          <t>P3</t>
        </is>
      </c>
      <c r="B6" s="30" t="inlineStr">
        <is>
          <t>Responsable de Marketing</t>
        </is>
      </c>
      <c r="C6" s="14" t="inlineStr">
        <is>
          <t>N/A</t>
        </is>
      </c>
      <c r="D6" s="5" t="inlineStr">
        <is>
          <t>N/A</t>
        </is>
      </c>
      <c r="E6" s="6" t="inlineStr">
        <is>
          <t>Dirección y estrategia de márqueting y equipo comercial. Elaboración de campañas y seguimiento de las mismas</t>
        </is>
      </c>
      <c r="F6" s="6" t="inlineStr">
        <is>
          <t>SP-Servicios Propios
D-Datos</t>
        </is>
      </c>
      <c r="G6" s="32" t="inlineStr">
        <is>
          <t>Jordi Roca</t>
        </is>
      </c>
      <c r="H6" s="139" t="n">
        <v>2</v>
      </c>
      <c r="I6" s="189" t="n"/>
      <c r="J6" s="38" t="n">
        <v>2</v>
      </c>
      <c r="K6" s="9">
        <f>IF(OR(F6&lt;&gt;"",G6&lt;&gt;"",H6&lt;&gt;"",J6&lt;&gt;"",I6&lt;&gt;""),MAX(F6:J6),"")</f>
        <v/>
      </c>
      <c r="L6" s="37" t="n"/>
      <c r="M6" s="39" t="n"/>
      <c r="N6" s="39" t="n"/>
      <c r="O6" s="39" t="n"/>
      <c r="P6" s="39" t="n"/>
      <c r="Q6" s="39" t="n"/>
      <c r="R6" s="39" t="n"/>
      <c r="S6" s="39" t="n"/>
      <c r="T6" s="39" t="n"/>
      <c r="U6" s="39" t="n"/>
      <c r="V6" s="39" t="n"/>
      <c r="W6" s="39" t="n"/>
      <c r="X6" s="39" t="n"/>
      <c r="Y6" s="39" t="n"/>
      <c r="Z6" s="39" t="n"/>
      <c r="AA6" s="39" t="n"/>
    </row>
  </sheetData>
  <mergeCells count="3">
    <mergeCell ref="H1:L1"/>
    <mergeCell ref="D1:G1"/>
    <mergeCell ref="A1:B1"/>
  </mergeCells>
  <conditionalFormatting sqref="K3:K6">
    <cfRule type="colorScale" priority="1">
      <colorScale>
        <cfvo type="num" val="0"/>
        <cfvo type="num" val="3"/>
        <color rgb="FFFFEF9C"/>
        <color theme="5"/>
      </colorScale>
    </cfRule>
  </conditionalFormatting>
  <dataValidations count="1">
    <dataValidation sqref="H3:J6" showDropDown="0" showInputMessage="0" showErrorMessage="1" allowBlank="1" type="list">
      <formula1>Impacte</formula1>
    </dataValidation>
  </dataValidations>
  <pageMargins left="0.7" right="0.7" top="0.75" bottom="0.75" header="0" footer="0"/>
  <pageSetup orientation="landscape" scale="45" fitToHeight="0"/>
</worksheet>
</file>

<file path=xl/worksheets/sheet16.xml><?xml version="1.0" encoding="utf-8"?>
<worksheet xmlns="http://schemas.openxmlformats.org/spreadsheetml/2006/main">
  <sheetPr>
    <outlinePr summaryBelow="1" summaryRight="1"/>
    <pageSetUpPr/>
  </sheetPr>
  <dimension ref="A1:I37"/>
  <sheetViews>
    <sheetView topLeftCell="A5" workbookViewId="0">
      <selection activeCell="A20" sqref="A20:B23"/>
    </sheetView>
  </sheetViews>
  <sheetFormatPr baseColWidth="8" defaultColWidth="14.28515625" defaultRowHeight="15" customHeight="1"/>
  <cols>
    <col width="25.140625" customWidth="1" min="1" max="1"/>
    <col width="10.7109375" customWidth="1" min="2" max="2"/>
    <col width="9.140625" customWidth="1" min="3" max="3"/>
    <col width="18.7109375" customWidth="1" min="4" max="4"/>
    <col width="30.85546875" customWidth="1" min="5" max="5"/>
    <col width="9.140625" customWidth="1" min="6" max="6"/>
    <col width="15.7109375" customWidth="1" min="7" max="7"/>
    <col width="36.85546875" customWidth="1" min="8" max="8"/>
    <col width="9.140625" customWidth="1" min="9" max="26"/>
  </cols>
  <sheetData>
    <row r="1" ht="89.65000000000001" customHeight="1">
      <c r="A1" s="275" t="n"/>
      <c r="B1" s="275" t="n"/>
      <c r="C1" s="275" t="n"/>
      <c r="D1" s="250" t="inlineStr">
        <is>
          <t>TABLA DE VALORACIÓN DE ACTIVOS</t>
        </is>
      </c>
      <c r="E1" s="275" t="n"/>
      <c r="F1" s="275" t="n"/>
      <c r="G1" s="275" t="n"/>
      <c r="H1" s="275" t="n"/>
      <c r="I1" s="275" t="n"/>
    </row>
    <row r="2" ht="17.65" customHeight="1">
      <c r="A2" s="16" t="inlineStr">
        <is>
          <t>Capas</t>
        </is>
      </c>
      <c r="D2" s="16" t="inlineStr">
        <is>
          <t>Valor Activo</t>
        </is>
      </c>
    </row>
    <row r="3" ht="14.45" customHeight="1">
      <c r="A3" t="inlineStr">
        <is>
          <t>Negocio</t>
        </is>
      </c>
      <c r="D3" t="n">
        <v>3</v>
      </c>
    </row>
    <row r="4" ht="14.45" customHeight="1">
      <c r="A4" t="inlineStr">
        <is>
          <t>Servicios Internos</t>
        </is>
      </c>
      <c r="D4" t="n">
        <v>2</v>
      </c>
    </row>
    <row r="5" ht="14.45" customHeight="1">
      <c r="D5" t="n">
        <v>1</v>
      </c>
    </row>
    <row r="6" ht="14.45" customHeight="1">
      <c r="D6" t="n">
        <v>0</v>
      </c>
    </row>
    <row r="7" ht="14.45" customHeight="1">
      <c r="A7" s="16" t="inlineStr">
        <is>
          <t>Classificació Informació</t>
        </is>
      </c>
    </row>
    <row r="8" ht="14.45" customHeight="1">
      <c r="A8" s="21" t="inlineStr">
        <is>
          <t>Pública (C0)</t>
        </is>
      </c>
      <c r="B8" t="n">
        <v>0</v>
      </c>
    </row>
    <row r="9" ht="14.45" customHeight="1">
      <c r="A9" s="21" t="inlineStr">
        <is>
          <t>Internal Use (C1)</t>
        </is>
      </c>
      <c r="B9" t="n">
        <v>1</v>
      </c>
    </row>
    <row r="10" ht="14.45" customHeight="1">
      <c r="A10" s="21" t="inlineStr">
        <is>
          <t>Restricted (C2)</t>
        </is>
      </c>
      <c r="B10" t="n">
        <v>2</v>
      </c>
    </row>
    <row r="11" ht="14.45" customHeight="1">
      <c r="A11" s="21" t="inlineStr">
        <is>
          <t>Classified (C3)</t>
        </is>
      </c>
      <c r="B11" t="n">
        <v>3</v>
      </c>
    </row>
    <row r="13" ht="14.45" customHeight="1">
      <c r="A13" s="16" t="inlineStr">
        <is>
          <t>Dades personals</t>
        </is>
      </c>
    </row>
    <row r="14" ht="14.45" customHeight="1">
      <c r="A14" t="inlineStr">
        <is>
          <t>No</t>
        </is>
      </c>
    </row>
    <row r="15" ht="14.45" customHeight="1">
      <c r="A15" t="inlineStr">
        <is>
          <t>Básicas</t>
        </is>
      </c>
    </row>
    <row r="16" ht="14.45" customHeight="1">
      <c r="A16" t="inlineStr">
        <is>
          <t>Categoria especial</t>
        </is>
      </c>
    </row>
    <row r="19" ht="14.45" customHeight="1">
      <c r="A19" s="16" t="inlineStr">
        <is>
          <t>RTO</t>
        </is>
      </c>
    </row>
    <row r="20" ht="14.45" customHeight="1">
      <c r="A20" s="21" t="inlineStr">
        <is>
          <t>&lt;= 8h</t>
        </is>
      </c>
      <c r="B20" t="n">
        <v>3</v>
      </c>
    </row>
    <row r="21" ht="15.75" customHeight="1">
      <c r="A21" s="21" t="inlineStr">
        <is>
          <t>&lt;= 24h</t>
        </is>
      </c>
      <c r="B21" t="n">
        <v>2</v>
      </c>
    </row>
    <row r="22" ht="15.75" customHeight="1">
      <c r="A22" s="21" t="inlineStr">
        <is>
          <t>&lt;= 48h</t>
        </is>
      </c>
      <c r="B22" t="n">
        <v>1</v>
      </c>
    </row>
    <row r="23" ht="15.75" customHeight="1">
      <c r="A23" s="21" t="inlineStr">
        <is>
          <t>&gt; 48h</t>
        </is>
      </c>
      <c r="B23" t="n">
        <v>0</v>
      </c>
    </row>
    <row r="24" ht="15.75" customHeight="1"/>
    <row r="25" ht="15.75" customHeight="1"/>
    <row r="26" ht="15.75" customHeight="1">
      <c r="A26" s="16" t="inlineStr">
        <is>
          <t>RPO</t>
        </is>
      </c>
    </row>
    <row r="27" ht="15.75" customHeight="1">
      <c r="A27" t="inlineStr">
        <is>
          <t>&lt;= 1h</t>
        </is>
      </c>
      <c r="B27" t="n">
        <v>3</v>
      </c>
    </row>
    <row r="28" ht="15.75" customHeight="1">
      <c r="A28" s="21" t="inlineStr">
        <is>
          <t>&lt;= 8h</t>
        </is>
      </c>
      <c r="B28" t="n">
        <v>2</v>
      </c>
    </row>
    <row r="29" ht="15.75" customHeight="1">
      <c r="A29" s="21" t="inlineStr">
        <is>
          <t>&lt;= 24h</t>
        </is>
      </c>
      <c r="B29" t="n">
        <v>1</v>
      </c>
    </row>
    <row r="30" ht="15.75" customHeight="1">
      <c r="A30" s="21" t="inlineStr">
        <is>
          <t>&gt; 24h</t>
        </is>
      </c>
      <c r="B30" t="n">
        <v>0</v>
      </c>
    </row>
    <row r="31" ht="15.75" customHeight="1"/>
    <row r="32" ht="15.75" customHeight="1"/>
    <row r="33" ht="15.75" customHeight="1">
      <c r="A33" s="16" t="inlineStr">
        <is>
          <t>Valor Activo</t>
        </is>
      </c>
      <c r="B33" s="16" t="inlineStr">
        <is>
          <t>Nivel ENS</t>
        </is>
      </c>
      <c r="C33" s="67" t="inlineStr">
        <is>
          <t>Categoria</t>
        </is>
      </c>
    </row>
    <row r="34" ht="15.75" customHeight="1">
      <c r="A34" s="66" t="n">
        <v>3</v>
      </c>
      <c r="B34" s="66" t="n">
        <v>2</v>
      </c>
      <c r="C34" s="65" t="inlineStr">
        <is>
          <t>MEDIA</t>
        </is>
      </c>
    </row>
    <row r="35" ht="15.75" customHeight="1">
      <c r="A35" s="66" t="n">
        <v>2</v>
      </c>
      <c r="B35" s="66" t="n">
        <v>2</v>
      </c>
      <c r="C35" s="65" t="inlineStr">
        <is>
          <t>MEDIA</t>
        </is>
      </c>
    </row>
    <row r="36" ht="15.75" customHeight="1">
      <c r="A36" s="66" t="n">
        <v>1</v>
      </c>
      <c r="B36" s="66" t="n">
        <v>1</v>
      </c>
      <c r="C36" s="65" t="inlineStr">
        <is>
          <t>BAJA</t>
        </is>
      </c>
    </row>
    <row r="37" ht="15.75" customHeight="1">
      <c r="A37" s="66" t="n">
        <v>0</v>
      </c>
      <c r="B37" s="66" t="n">
        <v>1</v>
      </c>
      <c r="C37" s="65" t="inlineStr">
        <is>
          <t>BAJA</t>
        </is>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D1:I1"/>
  </mergeCells>
  <pageMargins left="0.7" right="0.7"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2022-06-13T20:45:29Z</dcterms:created>
  <dcterms:modified xmlns:dcterms="http://purl.org/dc/terms/" xmlns:xsi="http://www.w3.org/2001/XMLSchema-instance" xsi:type="dcterms:W3CDTF">2026-03-08T10:24:29Z</dcterms:modified>
  <cp:lastModifiedBy>Jordi Roca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0x010100A747B8C1A74757498A2029EF7A2CB39D</vt:lpwstr>
  </property>
</Properties>
</file>