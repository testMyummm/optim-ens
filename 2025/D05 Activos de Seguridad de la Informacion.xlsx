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filterPrivacy="1" defaultThemeVersion="166925"/>
  <xr:revisionPtr revIDLastSave="2257" documentId="13_ncr:1_{DEC0B6BD-06AA-468E-A928-1AF65610FF73}" xr6:coauthVersionLast="47" xr6:coauthVersionMax="47" xr10:uidLastSave="{D1BCF7F7-AB74-4275-8B97-D38CF4A25859}"/>
  <bookViews>
    <workbookView xWindow="-120" yWindow="-16320" windowWidth="29040" windowHeight="16440" tabRatio="746" firstSheet="8" activeTab="6" xr2:uid="{00000000-000D-0000-FFFF-FFFF00000000}"/>
  </bookViews>
  <sheets>
    <sheet name="Cabecera" sheetId="1" r:id="rId1"/>
    <sheet name="Guía de Uso" sheetId="17" r:id="rId2"/>
    <sheet name="SP-Servicios Propios" sheetId="3" r:id="rId3"/>
    <sheet name="D-Datos" sheetId="4" r:id="rId4"/>
    <sheet name="SE-Servicios Externos" sheetId="7" r:id="rId5"/>
    <sheet name="SW-Aplicaciones" sheetId="5" r:id="rId6"/>
    <sheet name="SS-Servicios SaaS" sheetId="6" r:id="rId7"/>
    <sheet name="HW-Equipos" sheetId="8" r:id="rId8"/>
    <sheet name="IS-IaaS" sheetId="9" r:id="rId9"/>
    <sheet name="COM-Comunicaciones" sheetId="10" r:id="rId10"/>
    <sheet name="LOC-Instalaciones " sheetId="14" r:id="rId11"/>
    <sheet name="K-Claves Cripto" sheetId="12" r:id="rId12"/>
    <sheet name="SOP-Soportes" sheetId="11" r:id="rId13"/>
    <sheet name="AUX-Equipos Auxiliares" sheetId="13" r:id="rId14"/>
    <sheet name="P-Personal" sheetId="18" r:id="rId15"/>
    <sheet name="TABLAS" sheetId="16" r:id="rId16"/>
  </sheets>
  <definedNames>
    <definedName name="_xlnm.Print_Area" localSheetId="0">Cabecera!$A$1:$D$14</definedName>
    <definedName name="_xlnm.Print_Area" localSheetId="9">'COM-Comunicaciones'!$A$1:$T$5</definedName>
    <definedName name="_xlnm.Print_Area" localSheetId="3">'D-Datos'!$A$1:$W$22</definedName>
    <definedName name="_xlnm.Print_Area" localSheetId="1">'Guía de Uso'!$A$1:$B$21</definedName>
    <definedName name="_xlnm.Print_Area" localSheetId="7">'HW-Equipos'!$A$1:$T$5</definedName>
    <definedName name="_xlnm.Print_Area" localSheetId="8">'IS-IaaS'!$A$1:$T$5</definedName>
    <definedName name="_xlnm.Print_Area" localSheetId="11">'K-Claves Cripto'!$A$1:$T$8</definedName>
    <definedName name="_xlnm.Print_Area" localSheetId="10">'LOC-Instalaciones '!$A$1:$T$5</definedName>
    <definedName name="_xlnm.Print_Area" localSheetId="4">'SE-Servicios Externos'!$A$1:$T$6</definedName>
    <definedName name="_xlnm.Print_Area" localSheetId="12">'SOP-Soportes'!$A$1:$T$6</definedName>
    <definedName name="_xlnm.Print_Area" localSheetId="2">'SP-Servicios Propios'!$A$1:$W$10</definedName>
    <definedName name="_xlnm.Print_Area" localSheetId="6">'SS-Servicios SaaS'!$A$1:$T$9</definedName>
    <definedName name="_xlnm.Print_Area" localSheetId="5">'SW-Aplicaciones'!$A$1:$T$7</definedName>
    <definedName name="Capa">TABLAS!$A$3:$A$4</definedName>
    <definedName name="Classificacio_informacio">TABLAS!$A$8:$A$11</definedName>
    <definedName name="Classificacio_valors">TABLAS!$A$8:$B$11</definedName>
    <definedName name="dades_personals">TABLAS!$A$14:$A$16</definedName>
    <definedName name="Impacte">TABLAS!$D$3:$D$6</definedName>
    <definedName name="NivellENS_Categoria">TABLAS!$B$34:$C$37</definedName>
    <definedName name="RPO">TABLAS!$A$27:$A$30</definedName>
    <definedName name="RPO_valors">TABLAS!$A$27:$B$30</definedName>
    <definedName name="RTO">TABLAS!$A$20:$A$23</definedName>
    <definedName name="RTO_valors">TABLAS!$A$20:$B$23</definedName>
    <definedName name="Valor_Actiu_NivellENS">TABLAS!$A$34:$B$37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5" l="1"/>
  <c r="P8" i="5"/>
  <c r="O8" i="5"/>
  <c r="N8" i="5"/>
  <c r="R8" i="5" s="1"/>
  <c r="S8" i="5" s="1"/>
  <c r="M8" i="5"/>
  <c r="L8" i="5"/>
  <c r="K6" i="18"/>
  <c r="O20" i="4"/>
  <c r="J3" i="13"/>
  <c r="R4" i="11"/>
  <c r="S4" i="11" s="1"/>
  <c r="R7" i="12"/>
  <c r="R6" i="12"/>
  <c r="R5" i="12"/>
  <c r="Q4" i="11"/>
  <c r="P4" i="11"/>
  <c r="O4" i="11"/>
  <c r="N4" i="11"/>
  <c r="M4" i="11"/>
  <c r="L4" i="11"/>
  <c r="R8" i="12"/>
  <c r="R5" i="14"/>
  <c r="R5" i="10"/>
  <c r="R4" i="10"/>
  <c r="Q5" i="9"/>
  <c r="P5" i="9"/>
  <c r="O5" i="9"/>
  <c r="R5" i="9" s="1"/>
  <c r="S5" i="9" s="1"/>
  <c r="N5" i="9"/>
  <c r="M5" i="9"/>
  <c r="L5" i="9"/>
  <c r="R4" i="9"/>
  <c r="R5" i="8"/>
  <c r="L6" i="7"/>
  <c r="L5" i="7"/>
  <c r="L4" i="7"/>
  <c r="L8" i="6"/>
  <c r="L7" i="6"/>
  <c r="L6" i="6"/>
  <c r="L5" i="6"/>
  <c r="L4" i="6"/>
  <c r="Q7" i="5"/>
  <c r="P7" i="5"/>
  <c r="O7" i="5"/>
  <c r="N7" i="5"/>
  <c r="M7" i="5"/>
  <c r="Q6" i="5"/>
  <c r="P6" i="5"/>
  <c r="O6" i="5"/>
  <c r="N6" i="5"/>
  <c r="M6" i="5"/>
  <c r="Q5" i="5"/>
  <c r="P5" i="5"/>
  <c r="O5" i="5"/>
  <c r="N5" i="5"/>
  <c r="M5" i="5"/>
  <c r="Q4" i="5"/>
  <c r="P4" i="5"/>
  <c r="O4" i="5"/>
  <c r="N4" i="5"/>
  <c r="M4" i="5"/>
  <c r="L7" i="5"/>
  <c r="L6" i="5"/>
  <c r="L5" i="5"/>
  <c r="L4" i="5"/>
  <c r="O22" i="4"/>
  <c r="O21" i="4"/>
  <c r="O19" i="4"/>
  <c r="O18" i="4"/>
  <c r="O17" i="4"/>
  <c r="O16" i="4"/>
  <c r="O15" i="4"/>
  <c r="O14" i="4"/>
  <c r="O13" i="4"/>
  <c r="O12" i="4"/>
  <c r="O11" i="4"/>
  <c r="O10" i="4"/>
  <c r="O9" i="4"/>
  <c r="O8" i="4"/>
  <c r="Q6" i="7"/>
  <c r="P6" i="7"/>
  <c r="O6" i="7"/>
  <c r="N6" i="7"/>
  <c r="M6" i="7"/>
  <c r="Q5" i="7"/>
  <c r="P5" i="7"/>
  <c r="O5" i="7"/>
  <c r="N5" i="7"/>
  <c r="M5" i="7"/>
  <c r="Q4" i="7"/>
  <c r="P4" i="7"/>
  <c r="O4" i="7"/>
  <c r="N4" i="7"/>
  <c r="M4" i="7"/>
  <c r="Q10" i="6"/>
  <c r="P10" i="6"/>
  <c r="O10" i="6"/>
  <c r="N10" i="6"/>
  <c r="M10" i="6"/>
  <c r="Q6" i="6"/>
  <c r="P6" i="6"/>
  <c r="O6" i="6"/>
  <c r="N6" i="6"/>
  <c r="M6" i="6"/>
  <c r="R6" i="6" s="1"/>
  <c r="S6" i="6" s="1"/>
  <c r="Q9" i="6"/>
  <c r="P9" i="6"/>
  <c r="O9" i="6"/>
  <c r="N9" i="6"/>
  <c r="M9" i="6"/>
  <c r="Q8" i="6"/>
  <c r="P8" i="6"/>
  <c r="O8" i="6"/>
  <c r="N8" i="6"/>
  <c r="M8" i="6"/>
  <c r="Q7" i="6"/>
  <c r="P7" i="6"/>
  <c r="O7" i="6"/>
  <c r="N7" i="6"/>
  <c r="M7" i="6"/>
  <c r="Q5" i="6"/>
  <c r="P5" i="6"/>
  <c r="O5" i="6"/>
  <c r="N5" i="6"/>
  <c r="M5" i="6"/>
  <c r="Q4" i="6"/>
  <c r="P4" i="6"/>
  <c r="O4" i="6"/>
  <c r="N4" i="6"/>
  <c r="M4" i="6"/>
  <c r="U10" i="3"/>
  <c r="U9" i="3"/>
  <c r="U7" i="3"/>
  <c r="U6" i="3"/>
  <c r="U4" i="3"/>
  <c r="U7" i="4"/>
  <c r="U6" i="4"/>
  <c r="V6" i="4" s="1"/>
  <c r="U5" i="4"/>
  <c r="U4" i="4"/>
  <c r="T22" i="4"/>
  <c r="S22" i="4"/>
  <c r="R22" i="4"/>
  <c r="Q22" i="4"/>
  <c r="P22" i="4"/>
  <c r="U22" i="4" s="1"/>
  <c r="T21" i="4"/>
  <c r="S21" i="4"/>
  <c r="R21" i="4"/>
  <c r="Q21" i="4"/>
  <c r="P21" i="4"/>
  <c r="U21" i="4" s="1"/>
  <c r="T20" i="4"/>
  <c r="S20" i="4"/>
  <c r="R20" i="4"/>
  <c r="Q20" i="4"/>
  <c r="P20" i="4"/>
  <c r="U20" i="4" s="1"/>
  <c r="V20" i="4" s="1"/>
  <c r="T19" i="4"/>
  <c r="S19" i="4"/>
  <c r="R19" i="4"/>
  <c r="Q19" i="4"/>
  <c r="P19" i="4"/>
  <c r="T18" i="4"/>
  <c r="S18" i="4"/>
  <c r="R18" i="4"/>
  <c r="Q18" i="4"/>
  <c r="P18" i="4"/>
  <c r="U18" i="4" s="1"/>
  <c r="T17" i="4"/>
  <c r="S17" i="4"/>
  <c r="R17" i="4"/>
  <c r="Q17" i="4"/>
  <c r="P17" i="4"/>
  <c r="U17" i="4" s="1"/>
  <c r="T16" i="4"/>
  <c r="S16" i="4"/>
  <c r="R16" i="4"/>
  <c r="Q16" i="4"/>
  <c r="P16" i="4"/>
  <c r="T15" i="4"/>
  <c r="U15" i="4" s="1"/>
  <c r="S15" i="4"/>
  <c r="R15" i="4"/>
  <c r="Q15" i="4"/>
  <c r="P15" i="4"/>
  <c r="T14" i="4"/>
  <c r="S14" i="4"/>
  <c r="R14" i="4"/>
  <c r="Q14" i="4"/>
  <c r="P14" i="4"/>
  <c r="T13" i="4"/>
  <c r="S13" i="4"/>
  <c r="R13" i="4"/>
  <c r="Q13" i="4"/>
  <c r="P13" i="4"/>
  <c r="U13" i="4" s="1"/>
  <c r="T12" i="4"/>
  <c r="S12" i="4"/>
  <c r="R12" i="4"/>
  <c r="Q12" i="4"/>
  <c r="P12" i="4"/>
  <c r="U12" i="4" s="1"/>
  <c r="T11" i="4"/>
  <c r="S11" i="4"/>
  <c r="R11" i="4"/>
  <c r="Q11" i="4"/>
  <c r="P11" i="4"/>
  <c r="U11" i="4" s="1"/>
  <c r="T10" i="4"/>
  <c r="S10" i="4"/>
  <c r="R10" i="4"/>
  <c r="Q10" i="4"/>
  <c r="P10" i="4"/>
  <c r="U10" i="4" s="1"/>
  <c r="T9" i="4"/>
  <c r="S9" i="4"/>
  <c r="R9" i="4"/>
  <c r="Q9" i="4"/>
  <c r="P9" i="4"/>
  <c r="U9" i="4" s="1"/>
  <c r="T8" i="4"/>
  <c r="S8" i="4"/>
  <c r="R8" i="4"/>
  <c r="Q8" i="4"/>
  <c r="P8" i="4"/>
  <c r="U8" i="4" s="1"/>
  <c r="T7" i="4"/>
  <c r="S7" i="4"/>
  <c r="R7" i="4"/>
  <c r="Q7" i="4"/>
  <c r="P7" i="4"/>
  <c r="V7" i="4" s="1"/>
  <c r="T6" i="4"/>
  <c r="S6" i="4"/>
  <c r="R6" i="4"/>
  <c r="Q6" i="4"/>
  <c r="P6" i="4"/>
  <c r="T5" i="4"/>
  <c r="S5" i="4"/>
  <c r="R5" i="4"/>
  <c r="Q5" i="4"/>
  <c r="P5" i="4"/>
  <c r="Q4" i="8"/>
  <c r="P4" i="8"/>
  <c r="O4" i="8"/>
  <c r="N4" i="8"/>
  <c r="M4" i="8"/>
  <c r="R4" i="8" s="1"/>
  <c r="L4" i="8"/>
  <c r="V15" i="4" l="1"/>
  <c r="R9" i="6"/>
  <c r="R8" i="6"/>
  <c r="U16" i="4"/>
  <c r="V16" i="4" s="1"/>
  <c r="V19" i="4"/>
  <c r="V13" i="4"/>
  <c r="V8" i="4"/>
  <c r="V21" i="4"/>
  <c r="R10" i="6"/>
  <c r="S10" i="6" s="1"/>
  <c r="U14" i="4"/>
  <c r="V14" i="4" s="1"/>
  <c r="V9" i="4"/>
  <c r="R7" i="5"/>
  <c r="S7" i="5" s="1"/>
  <c r="U19" i="4"/>
  <c r="S4" i="8"/>
  <c r="R5" i="5"/>
  <c r="S5" i="5" s="1"/>
  <c r="R6" i="5"/>
  <c r="S6" i="5" s="1"/>
  <c r="R4" i="5"/>
  <c r="S4" i="5" s="1"/>
  <c r="R6" i="7"/>
  <c r="S6" i="7" s="1"/>
  <c r="R5" i="7"/>
  <c r="S5" i="7" s="1"/>
  <c r="R4" i="7"/>
  <c r="S4" i="7" s="1"/>
  <c r="R7" i="6"/>
  <c r="R5" i="6"/>
  <c r="R4" i="6"/>
  <c r="V10" i="4"/>
  <c r="V22" i="4"/>
  <c r="V18" i="4"/>
  <c r="V11" i="4"/>
  <c r="V12" i="4"/>
  <c r="V17" i="4"/>
  <c r="V5" i="4"/>
  <c r="O7" i="4"/>
  <c r="O6" i="4"/>
  <c r="O5" i="4"/>
  <c r="T4" i="4"/>
  <c r="S4" i="4"/>
  <c r="R4" i="4"/>
  <c r="Q4" i="4"/>
  <c r="P4" i="4"/>
  <c r="O4" i="4"/>
  <c r="K5" i="18"/>
  <c r="K4" i="18"/>
  <c r="K3" i="18"/>
  <c r="Q4" i="9"/>
  <c r="P4" i="9"/>
  <c r="O4" i="9"/>
  <c r="N4" i="9"/>
  <c r="M4" i="9"/>
  <c r="L4" i="9"/>
  <c r="V4" i="4" l="1"/>
  <c r="S4" i="9"/>
  <c r="T10" i="3"/>
  <c r="S10" i="3"/>
  <c r="R10" i="3"/>
  <c r="Q10" i="3"/>
  <c r="P10" i="3"/>
  <c r="T9" i="3"/>
  <c r="S9" i="3"/>
  <c r="R9" i="3"/>
  <c r="Q9" i="3"/>
  <c r="P9" i="3"/>
  <c r="T8" i="3"/>
  <c r="S8" i="3"/>
  <c r="R8" i="3"/>
  <c r="U8" i="3" s="1"/>
  <c r="Q8" i="3"/>
  <c r="P8" i="3"/>
  <c r="T7" i="3"/>
  <c r="S7" i="3"/>
  <c r="R7" i="3"/>
  <c r="Q7" i="3"/>
  <c r="P7" i="3"/>
  <c r="T6" i="3"/>
  <c r="S6" i="3"/>
  <c r="R6" i="3"/>
  <c r="Q6" i="3"/>
  <c r="P6" i="3"/>
  <c r="T5" i="3"/>
  <c r="S5" i="3"/>
  <c r="R5" i="3"/>
  <c r="U5" i="3" s="1"/>
  <c r="Q5" i="3"/>
  <c r="P5" i="3"/>
  <c r="T4" i="3"/>
  <c r="S4" i="3"/>
  <c r="R4" i="3"/>
  <c r="Q4" i="3"/>
  <c r="P4" i="3"/>
  <c r="Q6" i="11" l="1"/>
  <c r="P6" i="11"/>
  <c r="O6" i="11"/>
  <c r="N6" i="11"/>
  <c r="M6" i="11"/>
  <c r="Q5" i="11"/>
  <c r="P5" i="11"/>
  <c r="O5" i="11"/>
  <c r="N5" i="11"/>
  <c r="M5" i="11"/>
  <c r="Q8" i="12"/>
  <c r="P8" i="12"/>
  <c r="O8" i="12"/>
  <c r="N8" i="12"/>
  <c r="M8" i="12"/>
  <c r="Q7" i="12"/>
  <c r="P7" i="12"/>
  <c r="O7" i="12"/>
  <c r="N7" i="12"/>
  <c r="M7" i="12"/>
  <c r="Q6" i="12"/>
  <c r="P6" i="12"/>
  <c r="O6" i="12"/>
  <c r="N6" i="12"/>
  <c r="M6" i="12"/>
  <c r="Q5" i="12"/>
  <c r="P5" i="12"/>
  <c r="O5" i="12"/>
  <c r="N5" i="12"/>
  <c r="M5" i="12"/>
  <c r="Q4" i="12"/>
  <c r="P4" i="12"/>
  <c r="O4" i="12"/>
  <c r="N4" i="12"/>
  <c r="M4" i="12"/>
  <c r="R4" i="12" s="1"/>
  <c r="Q5" i="14"/>
  <c r="P5" i="14"/>
  <c r="O5" i="14"/>
  <c r="N5" i="14"/>
  <c r="M5" i="14"/>
  <c r="Q4" i="14"/>
  <c r="P4" i="14"/>
  <c r="O4" i="14"/>
  <c r="N4" i="14"/>
  <c r="R4" i="14" s="1"/>
  <c r="M4" i="14"/>
  <c r="Q5" i="10"/>
  <c r="P5" i="10"/>
  <c r="O5" i="10"/>
  <c r="N5" i="10"/>
  <c r="M5" i="10"/>
  <c r="Q4" i="10"/>
  <c r="P4" i="10"/>
  <c r="O4" i="10"/>
  <c r="N4" i="10"/>
  <c r="M4" i="10"/>
  <c r="S8" i="6" l="1"/>
  <c r="S5" i="14"/>
  <c r="S9" i="6"/>
  <c r="S5" i="10"/>
  <c r="S4" i="12"/>
  <c r="S4" i="10"/>
  <c r="S4" i="14"/>
  <c r="V10" i="3"/>
  <c r="S7" i="12"/>
  <c r="S8" i="12"/>
  <c r="S6" i="12"/>
  <c r="S5" i="12"/>
  <c r="S5" i="6"/>
  <c r="S4" i="6"/>
  <c r="S7" i="6"/>
  <c r="V8" i="3"/>
  <c r="V4" i="3"/>
  <c r="V5" i="3"/>
  <c r="V9" i="3"/>
  <c r="V6" i="3"/>
  <c r="V7" i="3"/>
  <c r="L4" i="12" l="1"/>
  <c r="O10" i="3" l="1"/>
  <c r="O9" i="3"/>
  <c r="O8" i="3"/>
  <c r="O7" i="3"/>
  <c r="O6" i="3"/>
  <c r="O5" i="3"/>
  <c r="O4" i="3"/>
  <c r="L5" i="10"/>
  <c r="L4" i="10"/>
  <c r="L5" i="14"/>
  <c r="L4" i="14"/>
  <c r="L6" i="11"/>
  <c r="L5" i="11"/>
  <c r="L8" i="12"/>
  <c r="L7" i="12"/>
  <c r="L6" i="12"/>
  <c r="L5" i="12"/>
</calcChain>
</file>

<file path=xl/sharedStrings.xml><?xml version="1.0" encoding="utf-8"?>
<sst xmlns="http://schemas.openxmlformats.org/spreadsheetml/2006/main" count="764" uniqueCount="313">
  <si>
    <t>Código:</t>
  </si>
  <si>
    <t>D05 -Activos de Seguridad de la Información</t>
  </si>
  <si>
    <t>Fecha</t>
  </si>
  <si>
    <t>Aprobado por:</t>
  </si>
  <si>
    <t>Jordi Roca</t>
  </si>
  <si>
    <t>Revisión:</t>
  </si>
  <si>
    <t>1.0</t>
  </si>
  <si>
    <t>Clasificación</t>
  </si>
  <si>
    <t>USO INTERNO</t>
  </si>
  <si>
    <t>Objeto</t>
  </si>
  <si>
    <t xml:space="preserve">Identificar y valorar los diferentes activos que se deben considerar en el alcance del SGSI </t>
  </si>
  <si>
    <t>HISTORIAL DE CAMBIOS</t>
  </si>
  <si>
    <t>Revisión</t>
  </si>
  <si>
    <t>Motivo</t>
  </si>
  <si>
    <t>Versión inicial</t>
  </si>
  <si>
    <t>GUÍA DE USO</t>
  </si>
  <si>
    <t>Columna</t>
  </si>
  <si>
    <t>Explicación</t>
  </si>
  <si>
    <t>ID</t>
  </si>
  <si>
    <t>Asignar una referencia única para poder identificar cada activo sin ambiguedades  (por ejemplo, "S-12" podría ser el 12º activo del tipo Servicios). ¡Los números secuenciales permiten ordenar la tabla de manera sensata!</t>
  </si>
  <si>
    <t>Capa</t>
  </si>
  <si>
    <r>
      <t xml:space="preserve">(Solo para Servicios Propios) Indica si el activo de tipo Servicios Propios esta dedicado a un proceso:
</t>
    </r>
    <r>
      <rPr>
        <b/>
        <sz val="11"/>
        <rFont val="Calibri"/>
        <family val="2"/>
        <scheme val="minor"/>
      </rPr>
      <t>- Interno:</t>
    </r>
    <r>
      <rPr>
        <sz val="11"/>
        <rFont val="Calibri"/>
        <family val="2"/>
        <scheme val="minor"/>
      </rPr>
      <t xml:space="preserve"> Da soporte a una funcion interna o de soporte del negocio
</t>
    </r>
    <r>
      <rPr>
        <b/>
        <sz val="11"/>
        <rFont val="Calibri"/>
        <family val="2"/>
        <scheme val="minor"/>
      </rPr>
      <t>- Negocio:</t>
    </r>
    <r>
      <rPr>
        <sz val="11"/>
        <rFont val="Calibri"/>
        <family val="2"/>
        <scheme val="minor"/>
      </rPr>
      <t xml:space="preserve"> Da soporte a una función relacionado directamente con la cadena de valor del negocio</t>
    </r>
  </si>
  <si>
    <t>Proceso</t>
  </si>
  <si>
    <r>
      <t xml:space="preserve">Procesos a los que da soporte el activo según se ha definido en el mapa de procesos definido en el punto 4.1  como parte del contexto de la organización. 
Un equipo puede dar soporte a varios procesos, ya sea de negocio o de soporte, o ser un activo general de la organización, por lo que se indica como </t>
    </r>
    <r>
      <rPr>
        <b/>
        <sz val="11"/>
        <rFont val="Calibri"/>
        <family val="2"/>
        <scheme val="minor"/>
      </rPr>
      <t>"GLOBAL"</t>
    </r>
  </si>
  <si>
    <t>Nombre</t>
  </si>
  <si>
    <t>Nombre interno único por el que se conoce e identifica facilmente el activo. Puede ser la referencia a un grupo de elementos que realizan una función similar, por ejemplo, todos los servidores en una gconfiguración de alta disponibilidad. En este caso el activo no es cada uno de los servidores, sino el conjunto de ellos.</t>
  </si>
  <si>
    <t>Grupo</t>
  </si>
  <si>
    <r>
      <rPr>
        <i/>
        <sz val="11"/>
        <rFont val="Calibri"/>
        <family val="2"/>
        <scheme val="minor"/>
      </rPr>
      <t>(Opcional)</t>
    </r>
    <r>
      <rPr>
        <sz val="11"/>
        <rFont val="Calibri"/>
        <family val="2"/>
        <scheme val="minor"/>
      </rPr>
      <t xml:space="preserve"> Si el activo pertenece a una agrupación, por ejemplo diversos equipos de comunicaciones que forman parte de una subred, o personal que está en una determinada filial o división.
Permite que en el SGSI se haga referencia a los activos de forma agregada, por ejemplo, en la valoración de riesgos o identificar los activos relacionados.</t>
    </r>
  </si>
  <si>
    <t>Activos Relacionados</t>
  </si>
  <si>
    <t xml:space="preserve">Activos que tienen una relación de dependencia con este activo. Es decir, los activos (p.ej. Servicios propios) que dependen de este activo para su función y que, por tanto, determinan su valor </t>
  </si>
  <si>
    <t>Descripción</t>
  </si>
  <si>
    <t>Descripción breve de las características y uso que se da al activo.</t>
  </si>
  <si>
    <t>Personales</t>
  </si>
  <si>
    <r>
      <rPr>
        <i/>
        <sz val="11"/>
        <rFont val="Calibri"/>
        <family val="2"/>
        <scheme val="minor"/>
      </rPr>
      <t xml:space="preserve">(Solo para Datos) </t>
    </r>
    <r>
      <rPr>
        <sz val="11"/>
        <rFont val="Calibri"/>
        <family val="2"/>
        <scheme val="minor"/>
      </rPr>
      <t>Clasificación en cuanto al RGPD, atendiendo al tipo de datos tratados (Sin datos personales, Básicos, Categoria Especial)</t>
    </r>
  </si>
  <si>
    <t>Confidencialidad</t>
  </si>
  <si>
    <r>
      <rPr>
        <i/>
        <sz val="11"/>
        <rFont val="Calibri"/>
        <family val="2"/>
        <scheme val="minor"/>
      </rPr>
      <t xml:space="preserve">(Solo para Datos) </t>
    </r>
    <r>
      <rPr>
        <sz val="11"/>
        <rFont val="Calibri"/>
        <family val="2"/>
        <scheme val="minor"/>
      </rPr>
      <t xml:space="preserve"> Clasificación en cuanto al criterio de clasificación de la información establecido en el control del punto A.8.2
Determina directamente  la valoración de confidencialidad.
Obtenido a partir de la Política de Clasificación de la Información</t>
    </r>
  </si>
  <si>
    <t>RTO</t>
  </si>
  <si>
    <t xml:space="preserve">Recovery Time Objective: Tiempo máximo en el que el servicio tiene que estar disponible.
Determina la valoración de disponibilidad 
Por dependencias se propaga a todos los sistemas
Obtenido a partir del Business Impact Analysis </t>
  </si>
  <si>
    <t>RPO</t>
  </si>
  <si>
    <t xml:space="preserve">Recovery Point Objective: Punto de recuperación de los datos. Antigüedad máxima de los datos a recuperar que se gestionan en un servicio
A tener en cuenta en la valoración de integridad
Por dependencias se propaga a todos los activos de datos
Obtenido a partir del Business Impact Analysis </t>
  </si>
  <si>
    <t>Responsable del activo</t>
  </si>
  <si>
    <t>La persona o puesto de trabajo a la que se responsabilizará del correcto funcionamiento, mantenimiento y uso del activo. És a quien responsabilizar si el uso del activo es inadecuado, ocurren incidentes y la organización se ve afectada negativamente.
Tiene que ser el responsable más directo con un mínimo de responsabilidad delegada.</t>
  </si>
  <si>
    <t>Valor del Activo:
-Disponibilidad
-Integridad
-Confidencialidad
- Autenticidad
- Trazabilidad</t>
  </si>
  <si>
    <r>
      <rPr>
        <sz val="11"/>
        <color rgb="FF000000"/>
        <rFont val="Calibri"/>
        <family val="2"/>
        <scheme val="minor"/>
      </rPr>
      <t xml:space="preserve">Valor del activo </t>
    </r>
    <r>
      <rPr>
        <b/>
        <sz val="11"/>
        <color rgb="FF000000"/>
        <rFont val="Calibri"/>
        <family val="2"/>
        <scheme val="minor"/>
      </rPr>
      <t xml:space="preserve">para el negocio </t>
    </r>
    <r>
      <rPr>
        <sz val="11"/>
        <color rgb="FF000000"/>
        <rFont val="Calibri"/>
        <family val="2"/>
        <scheme val="minor"/>
      </rPr>
      <t xml:space="preserve">atendiendo a su criticidad para el negocio en cuanto a alguno de los siguientes aspectos:
- </t>
    </r>
    <r>
      <rPr>
        <b/>
        <sz val="11"/>
        <color rgb="FF000000"/>
        <rFont val="Calibri"/>
        <family val="2"/>
        <scheme val="minor"/>
      </rPr>
      <t>(D) Disponibilidad</t>
    </r>
    <r>
      <rPr>
        <sz val="11"/>
        <color rgb="FF000000"/>
        <rFont val="Calibri"/>
        <family val="2"/>
        <scheme val="minor"/>
      </rPr>
      <t xml:space="preserve">: Propiedad o característica de los activos consistente en que las entidades o procesos autorizados tienen acceso a los mismos cuando lo requieren..
Se deriva del RTO del servicio, aunque también se deberá tener el cuenta el % de disponibilidadad pactado en los SLA.
- </t>
    </r>
    <r>
      <rPr>
        <b/>
        <sz val="11"/>
        <color rgb="FF000000"/>
        <rFont val="Calibri"/>
        <family val="2"/>
        <scheme val="minor"/>
      </rPr>
      <t>(I) Integridad</t>
    </r>
    <r>
      <rPr>
        <sz val="11"/>
        <color rgb="FF000000"/>
        <rFont val="Calibri"/>
        <family val="2"/>
        <scheme val="minor"/>
      </rPr>
      <t xml:space="preserve">: Propiedad o característica consistente en que el activo de información no ha sido alterado de manera no autorizada. Tiene una cierta relación con el RPO
- </t>
    </r>
    <r>
      <rPr>
        <b/>
        <sz val="11"/>
        <color rgb="FF000000"/>
        <rFont val="Calibri"/>
        <family val="2"/>
        <scheme val="minor"/>
      </rPr>
      <t>(C) Confidencialidad:</t>
    </r>
    <r>
      <rPr>
        <sz val="11"/>
        <color rgb="FF000000"/>
        <rFont val="Calibri"/>
        <family val="2"/>
        <scheme val="minor"/>
      </rPr>
      <t xml:space="preserve"> Propiedad  o  característica  consistente  en  que  la  información  ni  se  pone  a  disposición,  ni  se  revela  a  individuos, entidades o procesos no autorizados. Tiene que ser coherente con la Clasificación de Confidencialidad
- </t>
    </r>
    <r>
      <rPr>
        <b/>
        <sz val="11"/>
        <color rgb="FF000000"/>
        <rFont val="Calibri"/>
        <family val="2"/>
        <scheme val="minor"/>
      </rPr>
      <t>(A) Autenticidad:</t>
    </r>
    <r>
      <rPr>
        <sz val="11"/>
        <color rgb="FF000000"/>
        <rFont val="Calibri"/>
        <family val="2"/>
        <scheme val="minor"/>
      </rPr>
      <t xml:space="preserve"> Propiedad  o  característica  consistente  en  que  una entidad es quien dice ser o bien que garantiza la fuente de la que proceden los datos.
- </t>
    </r>
    <r>
      <rPr>
        <b/>
        <sz val="11"/>
        <color rgb="FF000000"/>
        <rFont val="Calibri"/>
        <family val="2"/>
        <scheme val="minor"/>
      </rPr>
      <t>(T) Trazabilidad</t>
    </r>
    <r>
      <rPr>
        <sz val="11"/>
        <color rgb="FF000000"/>
        <rFont val="Calibri"/>
        <family val="2"/>
        <scheme val="minor"/>
      </rPr>
      <t>: Propiedad  o  característica  consistente  en  que  las actuaciones de una entidad pueden ser imputadas exclusivamente a dicha entidad.
No todos los activos tienen que tener un valor en todos los aspectos. Por ejemplo un equipo de HW probablemente solamente tiene valor por su disponibilidad, pero podria ser importante también para la confidencialidad e integridad si contiene datos, por ejemplo un aparato de medición.
Se debe dejar en blanco las columnas que no aplican a este activo.</t>
    </r>
  </si>
  <si>
    <t>Notas</t>
  </si>
  <si>
    <t>Mantener notas sobre los activos, p. ej.  los factores que se han tenido en cuenta y su razonamiento, incluidos los supuestos importantes ya que es especialmente importante a medida que el registro de activos se hace más grande, más personas se involucran en las evaluaciones y más tiempo ha pasado desde que se hizo la valoración</t>
  </si>
  <si>
    <r>
      <rPr>
        <b/>
        <sz val="11"/>
        <rFont val="Calibri"/>
        <family val="2"/>
        <scheme val="minor"/>
      </rPr>
      <t>NOTA 1:</t>
    </r>
    <r>
      <rPr>
        <sz val="11"/>
        <rFont val="Calibri"/>
        <family val="2"/>
        <scheme val="minor"/>
      </rPr>
      <t xml:space="preserve"> La Valoración del Activo se debe realizar con la perspectiva del Negocio. El valor del equipo para el negocio no és su valor de compra, sinó el valor repercutido respondiendo a su importancia para proporcionar un servicio necesario para desarrollar algún proceso de negocio. Por ejemplo, un Router puede valer menos de 100€ pero si  la compañía depende de él para cursar las comunicaciones con las que dar servicio a los clientes, entonces su valor es muy alto.</t>
    </r>
  </si>
  <si>
    <r>
      <rPr>
        <b/>
        <sz val="11"/>
        <rFont val="Calibri"/>
        <family val="2"/>
        <scheme val="minor"/>
      </rPr>
      <t>NOTA 2:</t>
    </r>
    <r>
      <rPr>
        <sz val="11"/>
        <rFont val="Calibri"/>
        <family val="2"/>
        <scheme val="minor"/>
      </rPr>
      <t xml:space="preserve"> Se debe guardar evidencia de que los responsables de los equipos han aprobado esta valoración</t>
    </r>
  </si>
  <si>
    <t>VALORACIÓN DE ACTIVOS DE SERVICIOS PROPORCIONADOS</t>
  </si>
  <si>
    <t>Valoración del Activo</t>
  </si>
  <si>
    <t>Categorización ENS</t>
  </si>
  <si>
    <t>Propietario</t>
  </si>
  <si>
    <t>RTO (h)</t>
  </si>
  <si>
    <t>MTPD (h)</t>
  </si>
  <si>
    <t>Integridad</t>
  </si>
  <si>
    <t>Disponibilidad</t>
  </si>
  <si>
    <t>Autenticidad</t>
  </si>
  <si>
    <t>Trazabilidad</t>
  </si>
  <si>
    <t>VALOR
ACTIVO</t>
  </si>
  <si>
    <t>NIVEL
ACTIVO</t>
  </si>
  <si>
    <t>CATEGORIA
ACTIVO</t>
  </si>
  <si>
    <t>SP-1</t>
  </si>
  <si>
    <t>Consultoría estratégica para el sector público</t>
  </si>
  <si>
    <t>Negocio</t>
  </si>
  <si>
    <t>SP-Servicios a clientes</t>
  </si>
  <si>
    <t>Análisis de procedimientos de gestión, estudios específicos, planes de acción, planes estratégicos, etc, vinculados con el despliegue de la IA en las organizaciones públicas.</t>
  </si>
  <si>
    <t>1s</t>
  </si>
  <si>
    <t>2s</t>
  </si>
  <si>
    <t>SP-2</t>
  </si>
  <si>
    <t>Desarrollo de soluciones IA</t>
  </si>
  <si>
    <t>Servicios de desarrollo de aplicaciones ad-hoc basadas en LLM y otras tecnologias de Inteligencia Artificial, principalmente para la mejora de procesos en el sector público</t>
  </si>
  <si>
    <t>Marc Muixí</t>
  </si>
  <si>
    <t>SP-3</t>
  </si>
  <si>
    <t>Explotación de plataformas tecnológicas de soluciones IA</t>
  </si>
  <si>
    <t>SP-Servicios a clientes
SP-Soluciones tecnológicas</t>
  </si>
  <si>
    <t xml:space="preserve">Servicios de desarrollo de plataforma SaaS, con agregación de diferentes funcionalidades, y comercialización y explotación de las mismas. </t>
  </si>
  <si>
    <t>1d</t>
  </si>
  <si>
    <t>4d</t>
  </si>
  <si>
    <t>SP-4</t>
  </si>
  <si>
    <t>Soporte y mantenimiento de las soluciones IA</t>
  </si>
  <si>
    <t>Soporte a las consultas e incidentes de los clientes y mantenimiento de la instalación.</t>
  </si>
  <si>
    <t>SP-6</t>
  </si>
  <si>
    <t>Servicios internos de gestión comercial, administración y de soporte</t>
  </si>
  <si>
    <t>Servicios Internos</t>
  </si>
  <si>
    <t>SP-Servicios corporativos</t>
  </si>
  <si>
    <t>Servicios de soporte a la gestión de los servicios de  la empresa, que incluye los procesos comercial, contratación, facturación, cobros, etc.
Si bien directamente no están dentro del alcance, en algunos casos pueden ser de apoyo, por ejemplo, por el hecho de que los contratos determinan las condiciones del servicio.</t>
  </si>
  <si>
    <t>1m</t>
  </si>
  <si>
    <t>SP-7</t>
  </si>
  <si>
    <t>Gestión de infraestructura de plataformas tecnológicas</t>
  </si>
  <si>
    <t>SP-Servicios IT</t>
  </si>
  <si>
    <t>Gestión de la infraestructura de la plataforma tecnológica de soluciones IA</t>
  </si>
  <si>
    <t>SP-3 Explotación de plataformas tecnológicas de soluciones IA</t>
  </si>
  <si>
    <t>SP-8</t>
  </si>
  <si>
    <t>Servicios informática interna</t>
  </si>
  <si>
    <t>Servicios de informática a usuarios internos (correo electrónico, equipos de trabajo, ofimática, ...)</t>
  </si>
  <si>
    <t>SP-Servicios a clientes
SP-Servicios corporativos</t>
  </si>
  <si>
    <t>VALORACIÓN DE ACTIVOS DE DATOS</t>
  </si>
  <si>
    <t>Responsable</t>
  </si>
  <si>
    <t>RPO (h)</t>
  </si>
  <si>
    <t>Clasificación de Confidencialidad</t>
  </si>
  <si>
    <t>D-1</t>
  </si>
  <si>
    <t>Documentación y datos públicos</t>
  </si>
  <si>
    <t>D-Datos Consultoria</t>
  </si>
  <si>
    <t>No</t>
  </si>
  <si>
    <t xml:space="preserve">Datos abiertos y públicos para la evaluación o generación de documentación de anàlisis y consultoria. </t>
  </si>
  <si>
    <t>SP-1 Consultoría estratégica para el sector público</t>
  </si>
  <si>
    <t>N/A</t>
  </si>
  <si>
    <t>Pública (C0)</t>
  </si>
  <si>
    <t>D-2</t>
  </si>
  <si>
    <t>Información propia de la entidad contratante</t>
  </si>
  <si>
    <t>Básicas</t>
  </si>
  <si>
    <t>Datos agregados estadísticos o de funcionamiento interno, sin referencias a datos personales de personas concretas. Datos públicos de la propia entidad (NIF, dirección, contacto, etc.)</t>
  </si>
  <si>
    <t>Restricted (C2)</t>
  </si>
  <si>
    <t>D-3</t>
  </si>
  <si>
    <t>Informes y resultados de la consultoria</t>
  </si>
  <si>
    <t>Conclusiones númericas y/o estratégicas y propuestas concretas</t>
  </si>
  <si>
    <t>D-4</t>
  </si>
  <si>
    <t>Documentación interna datos intermedios</t>
  </si>
  <si>
    <t xml:space="preserve">Documentació durante el proceso de consultoría, que se genera con el propio trabajo encargado. </t>
  </si>
  <si>
    <t>D-5</t>
  </si>
  <si>
    <t>Contratos y condiciones de servicio</t>
  </si>
  <si>
    <t>Datos que facilita el cliente con información específica, en la que puede aparecer datos de personas con roles de interventor, dirección general, gerencia o presidencia, quienes firman dichos contratos.</t>
  </si>
  <si>
    <t>D-6</t>
  </si>
  <si>
    <t>Especificaciones de las soluciones (Breafing)</t>
  </si>
  <si>
    <t>D-Dados de Desarrollo</t>
  </si>
  <si>
    <t>Descripcion de las tareas que se realizaran en el marco de un proyecto de desarrollo. Puede incluir datos de cilente, pero no datos personales.</t>
  </si>
  <si>
    <t>SP-2 Desarrollo de soluciones IA</t>
  </si>
  <si>
    <t>D-7</t>
  </si>
  <si>
    <t>Registros de proceso de desarrollo</t>
  </si>
  <si>
    <t>Planificación, tickets de tareas, control de cambios en github</t>
  </si>
  <si>
    <t>D-8</t>
  </si>
  <si>
    <t>Código fuente de las soluciones</t>
  </si>
  <si>
    <t xml:space="preserve">Codigo utilizado y desarrollado por el equipo interno de desarrollo. </t>
  </si>
  <si>
    <t>2d</t>
  </si>
  <si>
    <t>D-9</t>
  </si>
  <si>
    <t>Juegos de pruebas</t>
  </si>
  <si>
    <t>Conjunto de tests aplicados a los desarrollos en la fase de CI/CD</t>
  </si>
  <si>
    <t>Internal Use (C1)</t>
  </si>
  <si>
    <t>D-10</t>
  </si>
  <si>
    <t>Documentación interna de la solución</t>
  </si>
  <si>
    <t>Arquitectura, diseño, configuración de la infraestructura</t>
  </si>
  <si>
    <t>D-11</t>
  </si>
  <si>
    <t>Manuales y documentación del producto</t>
  </si>
  <si>
    <t>Guías de uso para el cliente y documentación del código</t>
  </si>
  <si>
    <t>D-12</t>
  </si>
  <si>
    <t>Información de configuración de la infraestructura</t>
  </si>
  <si>
    <t>Guía de presentación de las capas de uso de infraestructura por cada solución</t>
  </si>
  <si>
    <t>SP-2 Desarrollo de soluciones IA
SP-3 Explotación de plataformas tecnológicas de soluciones IA</t>
  </si>
  <si>
    <t>D-13</t>
  </si>
  <si>
    <t>Registros de tareas IT</t>
  </si>
  <si>
    <t xml:space="preserve">D-GestiónTIC </t>
  </si>
  <si>
    <t>Gestión y registro de cualquier actividad relacionada al desarrollo y la explotación de los sistemas</t>
  </si>
  <si>
    <t>SP-3 Explotación de plataformas tecnológicas de soluciones IA
SP-7 Gestión de infraestructura IT</t>
  </si>
  <si>
    <t>D-14</t>
  </si>
  <si>
    <t>Registros de soporte a clientes</t>
  </si>
  <si>
    <t>D-Gestión interna</t>
  </si>
  <si>
    <t>Mantenimiento y respuesta en los canales de comunicación contra clientes y creación / gestión de tickets relacionados con incidencias</t>
  </si>
  <si>
    <t>SP-4 Soporte y mantenimiento de las soluciones</t>
  </si>
  <si>
    <t>D-15</t>
  </si>
  <si>
    <t>Credenciales de acceso a entornos propios</t>
  </si>
  <si>
    <t xml:space="preserve">Gestión y control de los accessos a sistemas </t>
  </si>
  <si>
    <t>SP-3 Explotación de plataformas tecnológicas de soluciones IA
SP-7 Gestión de infraestructura de plataforma tecnológica</t>
  </si>
  <si>
    <t>D-16</t>
  </si>
  <si>
    <t>Registros de monitorización</t>
  </si>
  <si>
    <t>Accesso y control de los registros de monitorización de las soluciones y el sistema</t>
  </si>
  <si>
    <t>SP-3 Explotación de plataformas tecnológicas de soluciones IA
SP-7 Gestión de infraestructura de plataformas tecnológicas</t>
  </si>
  <si>
    <t>D-17</t>
  </si>
  <si>
    <t>Datos de los clientes en soluciones en explotación</t>
  </si>
  <si>
    <t>D-Datos propios de clientes</t>
  </si>
  <si>
    <t>Datos propios de los clientes contenidos en las BBDD de las soluciones en explotación</t>
  </si>
  <si>
    <t>D-18</t>
  </si>
  <si>
    <t>Documentación de gestión interna</t>
  </si>
  <si>
    <t>Datos vinculados a los procesos comercial, contratación, facturación, cobros. Facilitados por cliente. En el caso de datos para procesos comerciales, obtenidos a partir de datos públicos o de campañas de captación.</t>
  </si>
  <si>
    <t>SP-6 Servicios de gestión comercial, administración y de soporte</t>
  </si>
  <si>
    <t>D-19</t>
  </si>
  <si>
    <t>Información de domínios</t>
  </si>
  <si>
    <t>gestionados internamente y redireccionados desde SaaS</t>
  </si>
  <si>
    <t>VALORACIÓN DE ACTIVOS DE SERVICIOS EXTERNOS</t>
  </si>
  <si>
    <t>SE-1</t>
  </si>
  <si>
    <t>Contratación y mantenimiento de dominios, DNS</t>
  </si>
  <si>
    <t>SE-Servicios IT</t>
  </si>
  <si>
    <t>Servicios necesarios para proporcionar acceso en Internet a las web corporativas o paneles de gestión de los servicios de los clientes</t>
  </si>
  <si>
    <t>D-19 Información de domínios</t>
  </si>
  <si>
    <t>SE-2</t>
  </si>
  <si>
    <t>Google</t>
  </si>
  <si>
    <t>Proveedor de Google Cloud</t>
  </si>
  <si>
    <t>SE-3</t>
  </si>
  <si>
    <t>Microsoft</t>
  </si>
  <si>
    <t>Proveedor de Micrsoft Azure i Microsoftt 365</t>
  </si>
  <si>
    <t>SP-Servicios a clientes
SP-Servicios corporativos
SP-3 Explotación de plataformas tecnológicas de soluciones IA
SP-7 Gestión de infraestructura de plataformas tecnológicas
SS-2 Servicios Microsoft365</t>
  </si>
  <si>
    <t>VALORACIÓ DE ACTIVOS SOFTWARE Y APLICACIONES (INTERNAS  Y EXTERNAS)</t>
  </si>
  <si>
    <t>SW-1</t>
  </si>
  <si>
    <t>Herramientas de MSOffice</t>
  </si>
  <si>
    <t>SW-Productividad
SW-Soluciones de terceros</t>
  </si>
  <si>
    <t>Herramientas vinculadas al paquete Office 365 de Microsoft.</t>
  </si>
  <si>
    <t>Marc Muixi</t>
  </si>
  <si>
    <t>SW-2</t>
  </si>
  <si>
    <t>Antivirus equipos de trabajo</t>
  </si>
  <si>
    <t>SW-Seguridad
SW-Soluciones de terceros</t>
  </si>
  <si>
    <t>cojunto de capas de seguridad aplicadas al SO para la detección y erradicación de malware</t>
  </si>
  <si>
    <t>SW-3</t>
  </si>
  <si>
    <t>SO Equipos de trabajo</t>
  </si>
  <si>
    <t>SW-Ofimática</t>
  </si>
  <si>
    <t>Sistemas operativos (Windows y/o MacOS) en portátiles y similares para el uso profesional en entorno de trabajo.</t>
  </si>
  <si>
    <t>SP-Servicios a clientes
SP-Servicios corporativos
SP-Servicios IT</t>
  </si>
  <si>
    <t>SW-4</t>
  </si>
  <si>
    <t>Herramientas de desarrollo</t>
  </si>
  <si>
    <t xml:space="preserve">IDEs y librerías de ejecución </t>
  </si>
  <si>
    <t>SW-5</t>
  </si>
  <si>
    <t>Soluciones IA para clientes</t>
  </si>
  <si>
    <t>SW-Soluciones propias</t>
  </si>
  <si>
    <t>Software de soluciones IA desarrollado por la empresa</t>
  </si>
  <si>
    <t>VALORACIÓN DE ACTIVOS DE SOFTWARE AS A SERVICE (SaaS)</t>
  </si>
  <si>
    <t>SS-1</t>
  </si>
  <si>
    <t>Atlassian</t>
  </si>
  <si>
    <t>SW-Soporte
Activos con control de acceso</t>
  </si>
  <si>
    <t>Jira y Confluence</t>
  </si>
  <si>
    <t>SS-2</t>
  </si>
  <si>
    <t>Servicios Microsoft365</t>
  </si>
  <si>
    <t>SW-Productividad
Activos con control de acceso</t>
  </si>
  <si>
    <t>No se incluye el correo electrónico</t>
  </si>
  <si>
    <t>SP-Servicios a clientes
SP-Servicios corporativos
SP-8 Servicios informática interna</t>
  </si>
  <si>
    <t>Correo electrónico</t>
  </si>
  <si>
    <t>Correo electrónico de Microsoft365</t>
  </si>
  <si>
    <t>SP-Servicios a clientes
SP-Servicios corporativos
SP-Servicios corporativos
SP-8 Servicios informática interna</t>
  </si>
  <si>
    <t>SS-3</t>
  </si>
  <si>
    <t>Github</t>
  </si>
  <si>
    <t>SW-Desarrollo
Activos con control de acceso</t>
  </si>
  <si>
    <t>Repositorio de componentes reutilizables</t>
  </si>
  <si>
    <t>SS-4</t>
  </si>
  <si>
    <t>Servicios IA</t>
  </si>
  <si>
    <t>ChatGPT, Copilot, Perplexity, ...</t>
  </si>
  <si>
    <t>SS-5</t>
  </si>
  <si>
    <t>Azure repos</t>
  </si>
  <si>
    <t>repositorio de soluciones de cliente y arquitecturas internas</t>
  </si>
  <si>
    <t>SS-6</t>
  </si>
  <si>
    <t>Azure applicability and in-scope services</t>
  </si>
  <si>
    <t>VALORACIÓ DE ACTIVOS DE EQUIPOS (FÍSICOS Y VIRTUALES)</t>
  </si>
  <si>
    <t>HW-1</t>
  </si>
  <si>
    <t>Equipos de trabajo</t>
  </si>
  <si>
    <t>HW-Uso personal
Activos con control de acceso</t>
  </si>
  <si>
    <t>Windows y macOS. Portatiles personales con cuentas específicas para la empresa</t>
  </si>
  <si>
    <t>HW-2</t>
  </si>
  <si>
    <t>Dispositivos móbiles</t>
  </si>
  <si>
    <t>iOS &amp; Android para la autenticación 2FA</t>
  </si>
  <si>
    <t>VALORACIÓN DE ACTIVOS DE INFRAESTRUCTURE AS A SERVICE (IaaS)</t>
  </si>
  <si>
    <t>IS-1</t>
  </si>
  <si>
    <t>Servicios Gloogle Cloud</t>
  </si>
  <si>
    <t>IS-Plataforma Tecnológica
Activos con control de acceso</t>
  </si>
  <si>
    <t>Uso de herramientas orientadas a la generación de plataforma en cloud</t>
  </si>
  <si>
    <t>IS-2</t>
  </si>
  <si>
    <t>Servicios Azure</t>
  </si>
  <si>
    <t>SP-3 Explotación de plataformas tecnológicas de soluciones IA
SP-7 Gestión de infraestructura de plataforma tecnológica
S-5 Azure repos</t>
  </si>
  <si>
    <t>VALORACIÓN DE SERVICIOS DE COMUNICACIONES</t>
  </si>
  <si>
    <t>COM-1</t>
  </si>
  <si>
    <t>COM-2</t>
  </si>
  <si>
    <t>VALORACIÓN DE ACTIVOS DE INSTALACIONES Y RECINTOS</t>
  </si>
  <si>
    <t>LOC-1</t>
  </si>
  <si>
    <t>Puestos de teletrabajo</t>
  </si>
  <si>
    <t>Espacios de trabajo en formato remoto</t>
  </si>
  <si>
    <t>SP-Servicios Propios</t>
  </si>
  <si>
    <t>VALORACIÓN DE ACTIVOS DE CLAVES CRIPTOGRÁFICAS</t>
  </si>
  <si>
    <t>K-1</t>
  </si>
  <si>
    <t>Certificados SSL de la web</t>
  </si>
  <si>
    <t>K-Claves plataforma Tecnologica</t>
  </si>
  <si>
    <t>Proporcionado por Ionos (SSL Starter)</t>
  </si>
  <si>
    <t>optimtech.es. optimgov.es</t>
  </si>
  <si>
    <t>K-2</t>
  </si>
  <si>
    <t>Certificados  SSL de las soluciones</t>
  </si>
  <si>
    <t xml:space="preserve">K-Claves plataforma Tecnologica
</t>
  </si>
  <si>
    <t>Proporcionados por Google Cloud, Azure, etc.</t>
  </si>
  <si>
    <t>K-3</t>
  </si>
  <si>
    <t>Claves de bitlocker</t>
  </si>
  <si>
    <t>Para los discos de los portátiles ( no tenemos )</t>
  </si>
  <si>
    <t>HW-1 Equipos de trabajo</t>
  </si>
  <si>
    <t>K-4</t>
  </si>
  <si>
    <t>Claves de cifrado de los datos en explotación</t>
  </si>
  <si>
    <t>K-5</t>
  </si>
  <si>
    <t>VALORACIÓN DE ACTIVOS DE SOPORTES EXTERNOS DE ALMACENAJE DE DATOS</t>
  </si>
  <si>
    <t>SOP-1</t>
  </si>
  <si>
    <t>VALORACIÓN DE ACTIVOS DE EQUIPOS E INSTALACIONES AUXILIARES</t>
  </si>
  <si>
    <t>AUX-1</t>
  </si>
  <si>
    <t>VALORACIÓN DE ACTIVOS DE PERSONAL</t>
  </si>
  <si>
    <t>DPT</t>
  </si>
  <si>
    <t>P1</t>
  </si>
  <si>
    <t>CEO - Director General</t>
  </si>
  <si>
    <t>Funciones de Direccion General y gestión de negocio. Tareas comerciales y tareas administrativas</t>
  </si>
  <si>
    <t>SP-Servicios Propios
D-Datos</t>
  </si>
  <si>
    <t>P2</t>
  </si>
  <si>
    <t>CTO - Responsable de Tecnología</t>
  </si>
  <si>
    <t>Dirección técnica. Gestión de la infraestructura y los equipos. Dirección de proyectos de desarrollo. Tareas de desarrollo.</t>
  </si>
  <si>
    <t>P3</t>
  </si>
  <si>
    <t>CISO - Responsable de Seguridad</t>
  </si>
  <si>
    <t>Resposnable de preservar la seguridad d ela información en la empresa</t>
  </si>
  <si>
    <t>Responsable de Marketing</t>
  </si>
  <si>
    <t>Dirección y estrategia de márqueting y equipo comercial. Elaboración de campañas y seguimiento de las mismas</t>
  </si>
  <si>
    <t>TABLA DE VALORACIÓN DE ACTIVOS</t>
  </si>
  <si>
    <t>Capas</t>
  </si>
  <si>
    <t>Valor Activo</t>
  </si>
  <si>
    <t>Classificació Informació</t>
  </si>
  <si>
    <t>Classified (C3)</t>
  </si>
  <si>
    <t>Dades personals</t>
  </si>
  <si>
    <t>Categoria especial</t>
  </si>
  <si>
    <t>&lt;= 8h</t>
  </si>
  <si>
    <t>&lt;= 24h</t>
  </si>
  <si>
    <t>&lt;= 48h</t>
  </si>
  <si>
    <t>&gt; 48h</t>
  </si>
  <si>
    <t>&lt;= 1h</t>
  </si>
  <si>
    <t>&gt; 24h</t>
  </si>
  <si>
    <t>Nivel ENS</t>
  </si>
  <si>
    <t>Categoria</t>
  </si>
  <si>
    <t>MEDIA</t>
  </si>
  <si>
    <t>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</si>
</sst>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44">
    <font>
      <sz val="11"/>
      <color rgb="FF000000"/>
      <name val="Calibri"/>
    </font>
    <font>
      <sz val="11"/>
      <color theme="1"/>
      <name val="Calibri"/>
      <family val="2"/>
      <scheme val="minor"/>
    </font>
    <font>
      <sz val="11"/>
      <color theme="1"/>
      <name val="Calibri"/>
      <family val="2"/>
      <scheme val="minor"/>
    </font>
    <font>
      <sz val="10"/>
      <color rgb="FF000000"/>
      <name val="Calibri"/>
      <family val="2"/>
    </font>
    <font>
      <sz val="11"/>
      <name val="Calibri"/>
      <family val="2"/>
    </font>
    <font>
      <sz val="22"/>
      <color rgb="FF000000"/>
      <name val="Calibri"/>
      <family val="2"/>
    </font>
    <font>
      <sz val="11"/>
      <name val="Arial"/>
      <family val="2"/>
    </font>
    <font>
      <b/>
      <sz val="11"/>
      <color rgb="FFFF0000"/>
      <name val="Calibri"/>
      <family val="2"/>
    </font>
    <font>
      <b/>
      <sz val="11"/>
      <color rgb="FF000000"/>
      <name val="Calibri"/>
      <family val="2"/>
    </font>
    <font>
      <b/>
      <sz val="10"/>
      <color rgb="FF000000"/>
      <name val="Calibri"/>
      <family val="2"/>
    </font>
    <font>
      <sz val="10"/>
      <name val="Calibri"/>
      <family val="2"/>
    </font>
    <font>
      <sz val="26"/>
      <color rgb="FF000000"/>
      <name val="Calibri"/>
      <family val="2"/>
    </font>
    <font>
      <sz val="11"/>
      <color rgb="FF000000"/>
      <name val="Calibri"/>
      <family val="2"/>
    </font>
    <font>
      <sz val="11"/>
      <name val="Calibri"/>
      <family val="2"/>
      <scheme val="minor"/>
    </font>
    <font>
      <b/>
      <sz val="11"/>
      <name val="Calibri"/>
      <family val="2"/>
      <scheme val="minor"/>
    </font>
    <font>
      <i/>
      <sz val="11"/>
      <name val="Calibri"/>
      <family val="2"/>
      <scheme val="minor"/>
    </font>
    <font>
      <b/>
      <sz val="11"/>
      <color theme="0"/>
      <name val="Calibri"/>
      <family val="2"/>
    </font>
    <font>
      <sz val="11"/>
      <color theme="0"/>
      <name val="Calibri"/>
      <family val="2"/>
    </font>
    <font>
      <b/>
      <sz val="18"/>
      <color theme="0"/>
      <name val="Calibri"/>
      <family val="2"/>
      <scheme val="minor"/>
    </font>
    <font>
      <b/>
      <sz val="10"/>
      <name val="Calibri"/>
      <family val="2"/>
    </font>
    <font>
      <sz val="8"/>
      <name val="Calibri"/>
      <family val="2"/>
    </font>
    <font>
      <sz val="8"/>
      <name val="Calibri"/>
      <family val="2"/>
    </font>
    <font>
      <b/>
      <sz val="10"/>
      <color theme="0" tint="-0.249977111117893"/>
      <name val="Calibri"/>
      <family val="2"/>
    </font>
    <font>
      <sz val="10"/>
      <color theme="0" tint="-0.249977111117893"/>
      <name val="Calibri"/>
      <family val="2"/>
    </font>
    <font>
      <b/>
      <sz val="10"/>
      <color theme="0"/>
      <name val="Calibri"/>
      <family val="2"/>
    </font>
    <font>
      <sz val="8"/>
      <name val="Calibri"/>
      <family val="2"/>
    </font>
    <font>
      <sz val="11"/>
      <color theme="1"/>
      <name val="Calibri"/>
      <family val="2"/>
    </font>
    <font>
      <sz val="12"/>
      <name val="Calibri"/>
      <family val="2"/>
      <scheme val="minor"/>
    </font>
    <font>
      <b/>
      <sz val="10"/>
      <color rgb="FF000000"/>
      <name val="Calibri"/>
      <family val="2"/>
      <scheme val="minor"/>
    </font>
    <font>
      <sz val="10"/>
      <color rgb="FF000000"/>
      <name val="Calibri"/>
      <family val="2"/>
      <scheme val="minor"/>
    </font>
    <font>
      <sz val="10"/>
      <color theme="0" tint="-0.34998626667073579"/>
      <name val="Calibri"/>
      <family val="2"/>
      <scheme val="minor"/>
    </font>
    <font>
      <sz val="10"/>
      <color theme="0" tint="-0.249977111117893"/>
      <name val="Calibri"/>
      <family val="2"/>
      <scheme val="minor"/>
    </font>
    <font>
      <sz val="11"/>
      <color rgb="FF000000"/>
      <name val="Calibri"/>
      <family val="2"/>
      <scheme val="minor"/>
    </font>
    <font>
      <b/>
      <sz val="11"/>
      <color rgb="FF000000"/>
      <name val="Calibri"/>
      <family val="2"/>
      <scheme val="minor"/>
    </font>
    <font>
      <b/>
      <sz val="12"/>
      <color theme="0"/>
      <name val="Calibri"/>
      <family val="2"/>
      <scheme val="minor"/>
    </font>
    <font>
      <sz val="12"/>
      <color theme="0"/>
      <name val="Calibri"/>
      <family val="2"/>
      <scheme val="minor"/>
    </font>
    <font>
      <b/>
      <sz val="12"/>
      <name val="Calibri"/>
      <family val="2"/>
      <scheme val="minor"/>
    </font>
    <font>
      <sz val="10"/>
      <name val="Calibri"/>
      <family val="2"/>
      <scheme val="minor"/>
    </font>
    <font>
      <b/>
      <sz val="10"/>
      <name val="Calibri"/>
      <family val="2"/>
      <scheme val="minor"/>
    </font>
    <font>
      <b/>
      <sz val="10"/>
      <color theme="0" tint="-0.34998626667073579"/>
      <name val="Calibri"/>
      <family val="2"/>
    </font>
    <font>
      <sz val="10"/>
      <color theme="0" tint="-0.34998626667073579"/>
      <name val="Calibri"/>
      <family val="2"/>
    </font>
    <font>
      <sz val="11"/>
      <color theme="5" tint="-0.249977111117893"/>
      <name val="Calibri"/>
      <family val="2"/>
    </font>
    <font>
      <sz val="11"/>
      <color theme="0" tint="-0.34998626667073579"/>
      <name val="Calibri"/>
      <family val="2"/>
    </font>
    <font>
      <b/>
      <sz val="10"/>
      <color theme="0" tint="-0.499984740745262"/>
      <name val="Calibri"/>
      <family val="2"/>
      <scheme val="minor"/>
    </font>
  </fonts>
  <fills count="17">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8" tint="0.79998168889431442"/>
        <bgColor indexed="64"/>
      </patternFill>
    </fill>
    <fill>
      <patternFill patternType="solid">
        <fgColor theme="8" tint="0.79998168889431442"/>
        <bgColor rgb="FFF9CB9C"/>
      </patternFill>
    </fill>
    <fill>
      <patternFill patternType="solid">
        <fgColor rgb="FF00518E"/>
        <bgColor indexed="64"/>
      </patternFill>
    </fill>
    <fill>
      <patternFill patternType="solid">
        <fgColor theme="8" tint="0.39997558519241921"/>
        <bgColor indexed="64"/>
      </patternFill>
    </fill>
    <fill>
      <patternFill patternType="solid">
        <fgColor rgb="FF00518E"/>
        <bgColor rgb="FFFFFF00"/>
      </patternFill>
    </fill>
    <fill>
      <patternFill patternType="solid">
        <fgColor theme="8" tint="-0.249977111117893"/>
        <bgColor rgb="FFE2EFD9"/>
      </patternFill>
    </fill>
    <fill>
      <patternFill patternType="solid">
        <fgColor theme="8" tint="-0.249977111117893"/>
        <bgColor indexed="64"/>
      </patternFill>
    </fill>
    <fill>
      <patternFill patternType="solid">
        <fgColor theme="8" tint="-0.249977111117893"/>
        <bgColor rgb="FFFFFF00"/>
      </patternFill>
    </fill>
    <fill>
      <patternFill patternType="solid">
        <fgColor theme="8" tint="0.59999389629810485"/>
        <bgColor rgb="FFE2EFD9"/>
      </patternFill>
    </fill>
    <fill>
      <patternFill patternType="solid">
        <fgColor theme="8" tint="0.59999389629810485"/>
        <bgColor indexed="64"/>
      </patternFill>
    </fill>
    <fill>
      <patternFill patternType="solid">
        <fgColor theme="8" tint="0.39997558519241921"/>
        <bgColor rgb="FFE2EFD9"/>
      </patternFill>
    </fill>
    <fill>
      <patternFill patternType="solid">
        <fgColor theme="0" tint="-4.9989318521683403E-2"/>
        <bgColor indexed="64"/>
      </patternFill>
    </fill>
    <fill>
      <patternFill patternType="solid">
        <fgColor theme="0" tint="-0.14999847407452621"/>
        <bgColor indexed="64"/>
      </patternFill>
    </fill>
  </fills>
  <borders count="62">
    <border>
      <left/>
      <right/>
      <top/>
      <bottom/>
      <diagonal/>
    </border>
    <border>
      <left/>
      <right/>
      <top/>
      <bottom style="thin">
        <color rgb="FFA5A5A5"/>
      </bottom>
      <diagonal/>
    </border>
    <border>
      <left/>
      <right style="thin">
        <color rgb="FFA5A5A5"/>
      </right>
      <top/>
      <bottom style="thin">
        <color rgb="FFA5A5A5"/>
      </bottom>
      <diagonal/>
    </border>
    <border>
      <left/>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thick">
        <color rgb="FFA5A5A5"/>
      </left>
      <right style="thin">
        <color rgb="FFA5A5A5"/>
      </right>
      <top style="thin">
        <color rgb="FFA5A5A5"/>
      </top>
      <bottom style="thin">
        <color rgb="FFA5A5A5"/>
      </bottom>
      <diagonal/>
    </border>
    <border>
      <left style="thin">
        <color rgb="FFA5A5A5"/>
      </left>
      <right style="thick">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style="thin">
        <color rgb="FFA5A5A5"/>
      </left>
      <right/>
      <top/>
      <bottom style="thin">
        <color rgb="FFA5A5A5"/>
      </bottom>
      <diagonal/>
    </border>
    <border>
      <left style="thin">
        <color rgb="FFA5A5A5"/>
      </left>
      <right style="thin">
        <color rgb="FFA5A5A5"/>
      </right>
      <top/>
      <bottom style="thin">
        <color rgb="FFA5A5A5"/>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rgb="FFA5A5A5"/>
      </top>
      <bottom/>
      <diagonal/>
    </border>
    <border>
      <left style="thick">
        <color rgb="FFA5A5A5"/>
      </left>
      <right style="thin">
        <color rgb="FFA5A5A5"/>
      </right>
      <top/>
      <bottom style="thin">
        <color rgb="FFA5A5A5"/>
      </bottom>
      <diagonal/>
    </border>
    <border>
      <left style="thin">
        <color rgb="FFA5A5A5"/>
      </left>
      <right style="thick">
        <color rgb="FFA5A5A5"/>
      </right>
      <top/>
      <bottom style="thin">
        <color rgb="FFA5A5A5"/>
      </bottom>
      <diagonal/>
    </border>
    <border>
      <left style="thin">
        <color indexed="64"/>
      </left>
      <right style="thin">
        <color rgb="FF999999"/>
      </right>
      <top/>
      <bottom/>
      <diagonal/>
    </border>
    <border>
      <left style="thin">
        <color rgb="FF999999"/>
      </left>
      <right style="thin">
        <color rgb="FF999999"/>
      </right>
      <top/>
      <bottom/>
      <diagonal/>
    </border>
    <border>
      <left style="thin">
        <color rgb="FF999999"/>
      </left>
      <right style="thin">
        <color indexed="64"/>
      </right>
      <top/>
      <bottom/>
      <diagonal/>
    </border>
    <border>
      <left/>
      <right/>
      <top style="thin">
        <color rgb="FFA5A5A5"/>
      </top>
      <bottom style="thin">
        <color theme="0" tint="-0.34998626667073579"/>
      </bottom>
      <diagonal/>
    </border>
    <border>
      <left style="thin">
        <color rgb="FFA5A5A5"/>
      </left>
      <right/>
      <top style="thin">
        <color rgb="FFA5A5A5"/>
      </top>
      <bottom/>
      <diagonal/>
    </border>
    <border>
      <left style="thin">
        <color rgb="FFA5A5A5"/>
      </left>
      <right style="thin">
        <color rgb="FFA5A5A5"/>
      </right>
      <top style="thin">
        <color theme="1" tint="0.499984740745262"/>
      </top>
      <bottom/>
      <diagonal/>
    </border>
    <border>
      <left style="thick">
        <color theme="1" tint="0.499984740745262"/>
      </left>
      <right style="thin">
        <color rgb="FFA5A5A5"/>
      </right>
      <top style="thin">
        <color theme="1" tint="0.499984740745262"/>
      </top>
      <bottom/>
      <diagonal/>
    </border>
    <border>
      <left style="thick">
        <color theme="1" tint="0.499984740745262"/>
      </left>
      <right style="thin">
        <color rgb="FFA5A5A5"/>
      </right>
      <top style="thin">
        <color rgb="FFA5A5A5"/>
      </top>
      <bottom style="thin">
        <color rgb="FFA5A5A5"/>
      </bottom>
      <diagonal/>
    </border>
    <border>
      <left style="thin">
        <color rgb="FFA5A5A5"/>
      </left>
      <right/>
      <top style="thin">
        <color theme="1" tint="0.499984740745262"/>
      </top>
      <bottom/>
      <diagonal/>
    </border>
    <border>
      <left style="thick">
        <color rgb="FFA5A5A5"/>
      </left>
      <right style="thin">
        <color theme="0" tint="-0.34998626667073579"/>
      </right>
      <top style="thin">
        <color rgb="FFA5A5A5"/>
      </top>
      <bottom style="thin">
        <color theme="0" tint="-0.34998626667073579"/>
      </bottom>
      <diagonal/>
    </border>
    <border>
      <left style="thin">
        <color theme="0" tint="-0.34998626667073579"/>
      </left>
      <right style="thin">
        <color theme="0" tint="-0.34998626667073579"/>
      </right>
      <top style="thin">
        <color rgb="FFA5A5A5"/>
      </top>
      <bottom style="thin">
        <color theme="0" tint="-0.34998626667073579"/>
      </bottom>
      <diagonal/>
    </border>
    <border>
      <left style="thin">
        <color theme="0" tint="-0.34998626667073579"/>
      </left>
      <right style="thick">
        <color rgb="FFA5A5A5"/>
      </right>
      <top style="thin">
        <color rgb="FFA5A5A5"/>
      </top>
      <bottom style="thin">
        <color theme="0" tint="-0.34998626667073579"/>
      </bottom>
      <diagonal/>
    </border>
    <border>
      <left style="thick">
        <color rgb="FFA5A5A5"/>
      </left>
      <right style="thin">
        <color rgb="FF999999"/>
      </right>
      <top/>
      <bottom/>
      <diagonal/>
    </border>
    <border>
      <left style="thin">
        <color rgb="FF999999"/>
      </left>
      <right style="thick">
        <color rgb="FFA5A5A5"/>
      </right>
      <top/>
      <bottom/>
      <diagonal/>
    </border>
    <border>
      <left style="thin">
        <color rgb="FFA5A5A5"/>
      </left>
      <right style="thick">
        <color rgb="FFA5A5A5"/>
      </right>
      <top style="thin">
        <color theme="1" tint="0.499984740745262"/>
      </top>
      <bottom/>
      <diagonal/>
    </border>
    <border>
      <left style="thick">
        <color theme="0" tint="-0.34998626667073579"/>
      </left>
      <right style="thin">
        <color rgb="FFA5A5A5"/>
      </right>
      <top style="thin">
        <color theme="1" tint="0.499984740745262"/>
      </top>
      <bottom/>
      <diagonal/>
    </border>
    <border>
      <left style="thick">
        <color theme="0" tint="-0.34998626667073579"/>
      </left>
      <right style="thin">
        <color rgb="FFA5A5A5"/>
      </right>
      <top style="thin">
        <color rgb="FFA5A5A5"/>
      </top>
      <bottom style="thin">
        <color rgb="FFA5A5A5"/>
      </bottom>
      <diagonal/>
    </border>
    <border>
      <left style="thin">
        <color indexed="64"/>
      </left>
      <right style="thin">
        <color rgb="FFA5A5A5"/>
      </right>
      <top/>
      <bottom style="thin">
        <color rgb="FFA5A5A5"/>
      </bottom>
      <diagonal/>
    </border>
    <border>
      <left style="thin">
        <color rgb="FFA5A5A5"/>
      </left>
      <right style="thin">
        <color rgb="FFA5A5A5"/>
      </right>
      <top/>
      <bottom/>
      <diagonal/>
    </border>
    <border>
      <left style="medium">
        <color rgb="FFA5A5A5"/>
      </left>
      <right style="medium">
        <color rgb="FFA5A5A5"/>
      </right>
      <top style="medium">
        <color rgb="FFA5A5A5"/>
      </top>
      <bottom style="medium">
        <color rgb="FFA5A5A5"/>
      </bottom>
      <diagonal/>
    </border>
    <border>
      <left style="medium">
        <color rgb="FFCCCCCC"/>
      </left>
      <right style="medium">
        <color rgb="FFA5A5A5"/>
      </right>
      <top style="medium">
        <color rgb="FFA5A5A5"/>
      </top>
      <bottom style="medium">
        <color rgb="FFA5A5A5"/>
      </bottom>
      <diagonal/>
    </border>
    <border>
      <left/>
      <right style="thin">
        <color rgb="FFA5A5A5"/>
      </right>
      <top/>
      <bottom/>
      <diagonal/>
    </border>
    <border>
      <left style="thin">
        <color rgb="FFA5A5A5"/>
      </left>
      <right/>
      <top/>
      <bottom/>
      <diagonal/>
    </border>
    <border>
      <left/>
      <right style="thin">
        <color rgb="FFA5A5A5"/>
      </right>
      <top style="thin">
        <color rgb="FFA5A5A5"/>
      </top>
      <bottom/>
      <diagonal/>
    </border>
    <border>
      <left style="medium">
        <color rgb="FFA5A5A5"/>
      </left>
      <right style="thin">
        <color rgb="FFA5A5A5"/>
      </right>
      <top style="thin">
        <color rgb="FFA5A5A5"/>
      </top>
      <bottom style="thin">
        <color rgb="FFA5A5A5"/>
      </bottom>
      <diagonal/>
    </border>
    <border>
      <left/>
      <right style="thick">
        <color rgb="FFA5A5A5"/>
      </right>
      <top style="thin">
        <color rgb="FFA5A5A5"/>
      </top>
      <bottom style="thin">
        <color rgb="FFA5A5A5"/>
      </bottom>
      <diagonal/>
    </border>
    <border>
      <left/>
      <right style="thin">
        <color theme="0" tint="-0.34998626667073579"/>
      </right>
      <top style="thin">
        <color theme="0" tint="-0.34998626667073579"/>
      </top>
      <bottom style="thin">
        <color theme="0" tint="-0.34998626667073579"/>
      </bottom>
      <diagonal/>
    </border>
    <border>
      <left style="thick">
        <color theme="0" tint="-0.34998626667073579"/>
      </left>
      <right style="thick">
        <color theme="0" tint="-0.34998626667073579"/>
      </right>
      <top style="thin">
        <color theme="0" tint="-0.34998626667073579"/>
      </top>
      <bottom style="thin">
        <color theme="0" tint="-0.34998626667073579"/>
      </bottom>
      <diagonal/>
    </border>
    <border>
      <left style="thin">
        <color rgb="FF999999"/>
      </left>
      <right style="thick">
        <color rgb="FF999999"/>
      </right>
      <top style="thin">
        <color theme="0" tint="-0.34998626667073579"/>
      </top>
      <bottom style="thin">
        <color rgb="FFA5A5A5"/>
      </bottom>
      <diagonal/>
    </border>
    <border>
      <left style="thick">
        <color rgb="FFA5A5A5"/>
      </left>
      <right style="thin">
        <color rgb="FFA5A5A5"/>
      </right>
      <top style="thin">
        <color theme="0" tint="-0.34998626667073579"/>
      </top>
      <bottom style="thin">
        <color rgb="FFA5A5A5"/>
      </bottom>
      <diagonal/>
    </border>
    <border>
      <left style="thin">
        <color rgb="FFA5A5A5"/>
      </left>
      <right style="thin">
        <color rgb="FFA5A5A5"/>
      </right>
      <top style="thin">
        <color theme="0" tint="-0.34998626667073579"/>
      </top>
      <bottom style="thin">
        <color rgb="FFA5A5A5"/>
      </bottom>
      <diagonal/>
    </border>
    <border>
      <left style="thin">
        <color rgb="FFA5A5A5"/>
      </left>
      <right style="thick">
        <color rgb="FFA5A5A5"/>
      </right>
      <top style="thin">
        <color theme="0" tint="-0.34998626667073579"/>
      </top>
      <bottom style="thin">
        <color rgb="FFA5A5A5"/>
      </bottom>
      <diagonal/>
    </border>
    <border>
      <left style="thin">
        <color rgb="FFA5A5A5"/>
      </left>
      <right style="thin">
        <color rgb="FFA5A5A5"/>
      </right>
      <top style="medium">
        <color rgb="FFA5A5A5"/>
      </top>
      <bottom style="thin">
        <color rgb="FFA5A5A5"/>
      </bottom>
      <diagonal/>
    </border>
    <border>
      <left style="thin">
        <color rgb="FFA5A5A5"/>
      </left>
      <right style="thick">
        <color theme="1" tint="0.499984740745262"/>
      </right>
      <top style="medium">
        <color rgb="FFA5A5A5"/>
      </top>
      <bottom style="thin">
        <color rgb="FFA5A5A5"/>
      </bottom>
      <diagonal/>
    </border>
    <border>
      <left style="thin">
        <color rgb="FFA5A5A5"/>
      </left>
      <right style="thick">
        <color theme="1" tint="0.499984740745262"/>
      </right>
      <top style="thin">
        <color rgb="FFA5A5A5"/>
      </top>
      <bottom style="thin">
        <color rgb="FFA5A5A5"/>
      </bottom>
      <diagonal/>
    </border>
    <border>
      <left style="thin">
        <color rgb="FFA5A5A5"/>
      </left>
      <right style="thick">
        <color theme="0" tint="-0.34998626667073579"/>
      </right>
      <top style="thin">
        <color rgb="FFA5A5A5"/>
      </top>
      <bottom style="thin">
        <color rgb="FFA5A5A5"/>
      </bottom>
      <diagonal/>
    </border>
    <border>
      <left style="thin">
        <color rgb="FFA5A5A5"/>
      </left>
      <right style="thin">
        <color rgb="FFA5A5A5"/>
      </right>
      <top style="medium">
        <color rgb="FFCCCCCC"/>
      </top>
      <bottom style="thin">
        <color rgb="FFA5A5A5"/>
      </bottom>
      <diagonal/>
    </border>
  </borders>
  <cellStyleXfs count="5">
    <xf numFmtId="0" fontId="0" fillId="0" borderId="0"/>
    <xf numFmtId="0" fontId="2" fillId="0" borderId="10"/>
    <xf numFmtId="0" fontId="6" fillId="0" borderId="10" applyBorder="0">
      <alignment vertical="center" wrapText="1"/>
    </xf>
    <xf numFmtId="0" fontId="12" fillId="0" borderId="10"/>
    <xf numFmtId="0" fontId="1" fillId="0" borderId="10"/>
  </cellStyleXfs>
  <cellXfs count="277">
    <xf numFmtId="0" fontId="0" fillId="0" borderId="0" xfId="0"/>
    <xf numFmtId="0" fontId="0" fillId="0" borderId="0" xfId="0" applyAlignment="1">
      <alignment vertical="center"/>
    </xf>
    <xf numFmtId="0" fontId="3" fillId="0" borderId="0" xfId="0" applyFont="1"/>
    <xf numFmtId="0" fontId="3" fillId="0" borderId="0" xfId="0" applyFont="1" applyAlignment="1">
      <alignment horizontal="center"/>
    </xf>
    <xf numFmtId="0" fontId="9" fillId="0" borderId="4"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vertical="center" wrapText="1"/>
    </xf>
    <xf numFmtId="0" fontId="3" fillId="0" borderId="4" xfId="0" applyFont="1" applyBorder="1" applyAlignment="1">
      <alignment horizontal="center" vertical="center"/>
    </xf>
    <xf numFmtId="0" fontId="5" fillId="0" borderId="3" xfId="0" applyFont="1" applyBorder="1" applyAlignment="1">
      <alignment vertical="center"/>
    </xf>
    <xf numFmtId="0" fontId="9" fillId="0" borderId="7" xfId="0" applyFont="1" applyBorder="1" applyAlignment="1">
      <alignment horizontal="center" vertical="center"/>
    </xf>
    <xf numFmtId="0" fontId="3" fillId="0" borderId="0" xfId="0" applyFont="1" applyAlignment="1">
      <alignment vertical="center"/>
    </xf>
    <xf numFmtId="0" fontId="0" fillId="0" borderId="0" xfId="0" applyAlignment="1">
      <alignment horizontal="center" vertical="center" wrapText="1"/>
    </xf>
    <xf numFmtId="0" fontId="9" fillId="0" borderId="0" xfId="0" applyFont="1" applyAlignment="1">
      <alignment horizontal="center"/>
    </xf>
    <xf numFmtId="0" fontId="3" fillId="0" borderId="0" xfId="0" applyFont="1" applyAlignment="1">
      <alignment horizontal="center" vertical="center"/>
    </xf>
    <xf numFmtId="0" fontId="10" fillId="0" borderId="4" xfId="0" applyFont="1" applyBorder="1" applyAlignment="1">
      <alignment vertical="center"/>
    </xf>
    <xf numFmtId="0" fontId="0" fillId="0" borderId="9" xfId="0" applyBorder="1"/>
    <xf numFmtId="0" fontId="8" fillId="2" borderId="10" xfId="0" applyFont="1" applyFill="1" applyBorder="1"/>
    <xf numFmtId="0" fontId="12" fillId="0" borderId="11" xfId="0" applyFont="1" applyBorder="1" applyAlignment="1">
      <alignment vertical="center" wrapText="1"/>
    </xf>
    <xf numFmtId="0" fontId="12" fillId="0" borderId="0" xfId="0" applyFont="1" applyAlignment="1">
      <alignment vertical="center"/>
    </xf>
    <xf numFmtId="14" fontId="12" fillId="0" borderId="11" xfId="0" applyNumberFormat="1" applyFont="1" applyBorder="1" applyAlignment="1">
      <alignment vertical="center" wrapText="1"/>
    </xf>
    <xf numFmtId="0" fontId="12" fillId="0" borderId="11" xfId="0" applyFont="1" applyBorder="1" applyAlignment="1">
      <alignment vertical="center"/>
    </xf>
    <xf numFmtId="0" fontId="12" fillId="0" borderId="0" xfId="0" applyFont="1"/>
    <xf numFmtId="0" fontId="2" fillId="0" borderId="10" xfId="1"/>
    <xf numFmtId="0" fontId="6" fillId="0" borderId="10" xfId="2">
      <alignment vertical="center" wrapText="1"/>
    </xf>
    <xf numFmtId="0" fontId="6" fillId="0" borderId="10" xfId="2" applyAlignment="1">
      <alignment horizontal="right" vertical="center" wrapText="1"/>
    </xf>
    <xf numFmtId="0" fontId="13" fillId="0" borderId="10" xfId="2" applyFont="1">
      <alignment vertical="center" wrapText="1"/>
    </xf>
    <xf numFmtId="0" fontId="13" fillId="0" borderId="10" xfId="2" applyFont="1" applyAlignment="1">
      <alignment horizontal="right" vertical="center" wrapText="1"/>
    </xf>
    <xf numFmtId="0" fontId="13" fillId="0" borderId="12" xfId="2" applyFont="1" applyBorder="1">
      <alignment vertical="center" wrapText="1"/>
    </xf>
    <xf numFmtId="0" fontId="13" fillId="0" borderId="14" xfId="2" applyFont="1" applyBorder="1">
      <alignment vertical="center" wrapText="1"/>
    </xf>
    <xf numFmtId="0" fontId="0" fillId="0" borderId="0" xfId="0" applyAlignment="1">
      <alignment horizontal="center"/>
    </xf>
    <xf numFmtId="0" fontId="10" fillId="0" borderId="4" xfId="0" applyFont="1" applyBorder="1" applyAlignment="1">
      <alignment vertical="center" wrapText="1"/>
    </xf>
    <xf numFmtId="0" fontId="12" fillId="0" borderId="0" xfId="0" applyFont="1" applyAlignment="1">
      <alignment horizontal="center"/>
    </xf>
    <xf numFmtId="0" fontId="3" fillId="0" borderId="5" xfId="0" applyFont="1" applyBorder="1" applyAlignment="1">
      <alignment horizontal="center" vertical="center"/>
    </xf>
    <xf numFmtId="0" fontId="3" fillId="0" borderId="8" xfId="0" applyFont="1" applyBorder="1" applyAlignment="1">
      <alignment vertical="center"/>
    </xf>
    <xf numFmtId="0" fontId="10" fillId="0" borderId="6" xfId="0" applyFont="1" applyBorder="1" applyAlignment="1">
      <alignment horizontal="center" vertical="center"/>
    </xf>
    <xf numFmtId="0" fontId="10" fillId="0" borderId="4" xfId="0" applyFont="1" applyBorder="1" applyAlignment="1">
      <alignment horizontal="center" vertical="center"/>
    </xf>
    <xf numFmtId="0" fontId="22" fillId="0" borderId="4" xfId="0" applyFont="1" applyBorder="1" applyAlignment="1">
      <alignment vertical="center"/>
    </xf>
    <xf numFmtId="0" fontId="23" fillId="0" borderId="4" xfId="0" applyFont="1" applyBorder="1" applyAlignment="1">
      <alignment vertical="center"/>
    </xf>
    <xf numFmtId="0" fontId="23" fillId="0" borderId="4" xfId="0" applyFont="1" applyBorder="1" applyAlignment="1">
      <alignment horizontal="center" vertical="center"/>
    </xf>
    <xf numFmtId="0" fontId="23" fillId="0" borderId="0" xfId="0" applyFont="1" applyAlignment="1">
      <alignment vertical="center"/>
    </xf>
    <xf numFmtId="0" fontId="23" fillId="0" borderId="0" xfId="0" applyFont="1"/>
    <xf numFmtId="0" fontId="4" fillId="0" borderId="3" xfId="0" applyFont="1" applyBorder="1"/>
    <xf numFmtId="0" fontId="19" fillId="0" borderId="4" xfId="0" applyFont="1" applyBorder="1" applyAlignment="1">
      <alignment vertical="center"/>
    </xf>
    <xf numFmtId="0" fontId="10" fillId="0" borderId="5" xfId="0" applyFont="1" applyBorder="1" applyAlignment="1">
      <alignment horizontal="center" vertical="center"/>
    </xf>
    <xf numFmtId="0" fontId="10" fillId="0" borderId="0" xfId="0" applyFont="1" applyAlignment="1">
      <alignment vertical="center"/>
    </xf>
    <xf numFmtId="0" fontId="10" fillId="0" borderId="0" xfId="0" applyFont="1"/>
    <xf numFmtId="0" fontId="8" fillId="0" borderId="8" xfId="0" applyFont="1" applyBorder="1" applyAlignment="1">
      <alignment vertical="center"/>
    </xf>
    <xf numFmtId="0" fontId="19" fillId="0" borderId="7" xfId="0" applyFont="1" applyBorder="1" applyAlignment="1">
      <alignment horizontal="center" vertical="center"/>
    </xf>
    <xf numFmtId="0" fontId="12" fillId="0" borderId="11" xfId="0" applyFont="1" applyBorder="1" applyAlignment="1">
      <alignment horizontal="center" vertical="center" wrapText="1"/>
    </xf>
    <xf numFmtId="164" fontId="12" fillId="0" borderId="11" xfId="0" applyNumberFormat="1" applyFont="1" applyBorder="1" applyAlignment="1">
      <alignment horizontal="center" vertical="center" wrapText="1"/>
    </xf>
    <xf numFmtId="0" fontId="3" fillId="0" borderId="1" xfId="0" applyFont="1" applyBorder="1" applyAlignment="1">
      <alignment horizontal="center"/>
    </xf>
    <xf numFmtId="0" fontId="4" fillId="0" borderId="2" xfId="0" applyFont="1" applyBorder="1"/>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8" xfId="0" applyFont="1" applyBorder="1" applyAlignment="1">
      <alignment horizontal="center" vertical="center"/>
    </xf>
    <xf numFmtId="0" fontId="5" fillId="0" borderId="19"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2" xfId="0" applyFont="1" applyBorder="1" applyAlignment="1">
      <alignment horizontal="center" vertical="center"/>
    </xf>
    <xf numFmtId="0" fontId="29" fillId="0" borderId="0" xfId="0" applyFont="1"/>
    <xf numFmtId="0" fontId="0" fillId="0" borderId="8" xfId="0" applyBorder="1" applyAlignment="1">
      <alignment vertical="center"/>
    </xf>
    <xf numFmtId="0" fontId="32" fillId="0" borderId="0" xfId="0" applyFont="1"/>
    <xf numFmtId="0" fontId="26" fillId="0" borderId="0" xfId="0" applyFont="1"/>
    <xf numFmtId="0" fontId="33" fillId="3" borderId="0" xfId="0" applyFont="1" applyFill="1"/>
    <xf numFmtId="0" fontId="4" fillId="0" borderId="8" xfId="0" applyFont="1" applyBorder="1"/>
    <xf numFmtId="0" fontId="9" fillId="0" borderId="5" xfId="0" applyFont="1" applyBorder="1" applyAlignment="1">
      <alignment horizontal="center" vertical="center"/>
    </xf>
    <xf numFmtId="0" fontId="29" fillId="0" borderId="6" xfId="0" applyFont="1" applyBorder="1" applyAlignment="1">
      <alignment horizontal="center" vertical="center"/>
    </xf>
    <xf numFmtId="0" fontId="29" fillId="0" borderId="4" xfId="0" applyFont="1" applyBorder="1" applyAlignment="1">
      <alignment horizontal="center" vertical="center"/>
    </xf>
    <xf numFmtId="0" fontId="28" fillId="0" borderId="4" xfId="0" applyFont="1" applyBorder="1" applyAlignment="1">
      <alignment horizontal="center" vertical="center"/>
    </xf>
    <xf numFmtId="14" fontId="29" fillId="0" borderId="7" xfId="0" applyNumberFormat="1" applyFont="1" applyBorder="1" applyAlignment="1">
      <alignment horizontal="center" vertical="center"/>
    </xf>
    <xf numFmtId="14" fontId="30" fillId="0" borderId="7" xfId="0" applyNumberFormat="1" applyFont="1" applyBorder="1" applyAlignment="1">
      <alignment horizontal="center" vertical="center"/>
    </xf>
    <xf numFmtId="14" fontId="31" fillId="0" borderId="7" xfId="0" applyNumberFormat="1" applyFont="1" applyBorder="1" applyAlignment="1">
      <alignment horizontal="center" vertical="center"/>
    </xf>
    <xf numFmtId="0" fontId="37" fillId="0" borderId="4" xfId="0" applyFont="1" applyBorder="1" applyAlignment="1">
      <alignment horizontal="center" vertical="center"/>
    </xf>
    <xf numFmtId="0" fontId="38" fillId="0" borderId="4" xfId="0" applyFont="1" applyBorder="1" applyAlignment="1">
      <alignment horizontal="center" vertical="center"/>
    </xf>
    <xf numFmtId="0" fontId="3" fillId="0" borderId="32" xfId="0" applyFont="1" applyBorder="1" applyAlignment="1">
      <alignment horizontal="center" vertical="center"/>
    </xf>
    <xf numFmtId="0" fontId="3" fillId="0" borderId="8" xfId="0" applyFont="1" applyBorder="1" applyAlignment="1">
      <alignment vertical="center" wrapText="1"/>
    </xf>
    <xf numFmtId="0" fontId="3" fillId="0" borderId="41" xfId="0" applyFont="1" applyBorder="1" applyAlignment="1">
      <alignment horizontal="center" vertical="center"/>
    </xf>
    <xf numFmtId="0" fontId="29" fillId="0" borderId="42" xfId="0" applyFont="1" applyBorder="1" applyAlignment="1">
      <alignment horizontal="center" vertical="center"/>
    </xf>
    <xf numFmtId="0" fontId="39" fillId="0" borderId="4" xfId="0" applyFont="1" applyBorder="1" applyAlignment="1">
      <alignment vertical="center"/>
    </xf>
    <xf numFmtId="0" fontId="40" fillId="0" borderId="4" xfId="0" applyFont="1" applyBorder="1" applyAlignment="1">
      <alignment vertical="center"/>
    </xf>
    <xf numFmtId="0" fontId="40" fillId="0" borderId="4" xfId="0" applyFont="1" applyBorder="1" applyAlignment="1">
      <alignment vertical="center" wrapText="1"/>
    </xf>
    <xf numFmtId="0" fontId="40" fillId="0" borderId="4" xfId="0" applyFont="1" applyBorder="1" applyAlignment="1">
      <alignment horizontal="center" vertical="center"/>
    </xf>
    <xf numFmtId="0" fontId="30" fillId="0" borderId="42" xfId="0" applyFont="1" applyBorder="1" applyAlignment="1">
      <alignment horizontal="center" vertical="center"/>
    </xf>
    <xf numFmtId="0" fontId="40" fillId="0" borderId="0" xfId="0" applyFont="1" applyAlignment="1">
      <alignment vertical="center"/>
    </xf>
    <xf numFmtId="0" fontId="37" fillId="0" borderId="42" xfId="0" applyFont="1" applyBorder="1" applyAlignment="1">
      <alignment horizontal="center" vertical="center"/>
    </xf>
    <xf numFmtId="14" fontId="37" fillId="0" borderId="7" xfId="0" applyNumberFormat="1" applyFont="1" applyBorder="1" applyAlignment="1">
      <alignment horizontal="center" vertical="center"/>
    </xf>
    <xf numFmtId="0" fontId="4" fillId="0" borderId="1" xfId="0" applyFont="1" applyBorder="1"/>
    <xf numFmtId="0" fontId="8" fillId="4" borderId="11" xfId="0" applyFont="1" applyFill="1" applyBorder="1" applyAlignment="1">
      <alignment vertical="center" wrapText="1"/>
    </xf>
    <xf numFmtId="0" fontId="8" fillId="5" borderId="11" xfId="0" applyFont="1" applyFill="1" applyBorder="1" applyAlignment="1">
      <alignment vertical="center" wrapText="1"/>
    </xf>
    <xf numFmtId="0" fontId="8" fillId="4" borderId="11" xfId="0" applyFont="1" applyFill="1" applyBorder="1" applyAlignment="1">
      <alignment horizontal="center" vertical="center" wrapText="1"/>
    </xf>
    <xf numFmtId="49" fontId="14" fillId="4" borderId="15" xfId="2" applyNumberFormat="1" applyFont="1" applyFill="1" applyBorder="1" applyAlignment="1">
      <alignment horizontal="center" vertical="center" wrapText="1"/>
    </xf>
    <xf numFmtId="0" fontId="14" fillId="4" borderId="15" xfId="2" applyFont="1" applyFill="1" applyBorder="1" applyAlignment="1">
      <alignment horizontal="center" vertical="center" wrapText="1"/>
    </xf>
    <xf numFmtId="0" fontId="14" fillId="4" borderId="13" xfId="2" applyFont="1" applyFill="1" applyBorder="1" applyAlignment="1">
      <alignment horizontal="center" vertical="center" wrapText="1"/>
    </xf>
    <xf numFmtId="0" fontId="14" fillId="7" borderId="17" xfId="2" applyFont="1" applyFill="1" applyBorder="1" applyAlignment="1">
      <alignment horizontal="center" vertical="center" wrapText="1"/>
    </xf>
    <xf numFmtId="0" fontId="14" fillId="7" borderId="16" xfId="2" applyFont="1" applyFill="1" applyBorder="1" applyAlignment="1">
      <alignment horizontal="center" vertical="center" wrapText="1"/>
    </xf>
    <xf numFmtId="0" fontId="24" fillId="8" borderId="4" xfId="0" applyFont="1" applyFill="1" applyBorder="1" applyAlignment="1">
      <alignment horizontal="center" vertical="center"/>
    </xf>
    <xf numFmtId="0" fontId="24" fillId="11" borderId="4" xfId="0" applyFont="1" applyFill="1" applyBorder="1" applyAlignment="1">
      <alignment horizontal="center" vertical="center" textRotation="90"/>
    </xf>
    <xf numFmtId="0" fontId="24" fillId="11" borderId="4"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24" fillId="8" borderId="5" xfId="0" applyFont="1" applyFill="1" applyBorder="1" applyAlignment="1">
      <alignment horizontal="center" vertical="center"/>
    </xf>
    <xf numFmtId="0" fontId="24" fillId="8" borderId="6" xfId="0" applyFont="1" applyFill="1" applyBorder="1" applyAlignment="1">
      <alignment horizontal="center" vertical="center"/>
    </xf>
    <xf numFmtId="0" fontId="24" fillId="8" borderId="8" xfId="0" applyFont="1" applyFill="1" applyBorder="1" applyAlignment="1">
      <alignment horizontal="center" vertical="center"/>
    </xf>
    <xf numFmtId="0" fontId="24" fillId="11" borderId="20" xfId="0" applyFont="1" applyFill="1" applyBorder="1" applyAlignment="1">
      <alignment horizontal="center" vertical="center" textRotation="90"/>
    </xf>
    <xf numFmtId="0" fontId="16" fillId="11" borderId="24" xfId="0" applyFont="1" applyFill="1" applyBorder="1" applyAlignment="1">
      <alignment horizontal="center" vertical="center" wrapText="1"/>
    </xf>
    <xf numFmtId="0" fontId="28" fillId="14" borderId="25" xfId="0" applyFont="1" applyFill="1" applyBorder="1" applyAlignment="1">
      <alignment horizontal="center" vertical="center" textRotation="90" wrapText="1"/>
    </xf>
    <xf numFmtId="0" fontId="28" fillId="14" borderId="26" xfId="0" applyFont="1" applyFill="1" applyBorder="1" applyAlignment="1">
      <alignment horizontal="center" vertical="center" textRotation="90" wrapText="1"/>
    </xf>
    <xf numFmtId="0" fontId="28" fillId="14" borderId="26" xfId="0" applyFont="1" applyFill="1" applyBorder="1" applyAlignment="1">
      <alignment horizontal="center" vertical="center" wrapText="1"/>
    </xf>
    <xf numFmtId="0" fontId="28" fillId="14" borderId="27" xfId="0" applyFont="1" applyFill="1" applyBorder="1" applyAlignment="1">
      <alignment horizontal="center" vertical="center" wrapText="1"/>
    </xf>
    <xf numFmtId="0" fontId="16" fillId="8" borderId="8" xfId="0" applyFont="1" applyFill="1" applyBorder="1" applyAlignment="1">
      <alignment horizontal="center" vertical="center" wrapText="1"/>
    </xf>
    <xf numFmtId="0" fontId="39" fillId="0" borderId="7" xfId="0" applyFont="1" applyBorder="1" applyAlignment="1">
      <alignment horizontal="center" vertical="center"/>
    </xf>
    <xf numFmtId="0" fontId="42" fillId="0" borderId="0" xfId="0" applyFont="1"/>
    <xf numFmtId="0" fontId="40" fillId="0" borderId="0" xfId="0" applyFont="1"/>
    <xf numFmtId="0" fontId="42" fillId="0" borderId="0" xfId="0" applyFont="1" applyAlignment="1">
      <alignment vertical="center"/>
    </xf>
    <xf numFmtId="0" fontId="40" fillId="0" borderId="43" xfId="0" applyFont="1" applyBorder="1" applyAlignment="1">
      <alignment vertical="center"/>
    </xf>
    <xf numFmtId="0" fontId="30" fillId="0" borderId="0" xfId="0" applyFont="1"/>
    <xf numFmtId="0" fontId="24" fillId="8" borderId="8" xfId="0" applyFont="1" applyFill="1" applyBorder="1" applyAlignment="1">
      <alignment horizontal="center" vertical="center" wrapText="1"/>
    </xf>
    <xf numFmtId="0" fontId="16" fillId="8" borderId="4" xfId="0" applyFont="1" applyFill="1" applyBorder="1" applyAlignment="1">
      <alignment horizontal="center" vertical="center" wrapText="1"/>
    </xf>
    <xf numFmtId="0" fontId="24" fillId="11" borderId="6" xfId="0" applyFont="1" applyFill="1" applyBorder="1" applyAlignment="1">
      <alignment horizontal="center" vertical="center" textRotation="90"/>
    </xf>
    <xf numFmtId="0" fontId="24" fillId="11" borderId="7" xfId="0" applyFont="1" applyFill="1" applyBorder="1" applyAlignment="1">
      <alignment horizontal="center" vertical="center" wrapText="1"/>
    </xf>
    <xf numFmtId="0" fontId="24" fillId="11" borderId="32" xfId="0" applyFont="1" applyFill="1" applyBorder="1" applyAlignment="1">
      <alignment horizontal="center" vertical="center" textRotation="90"/>
    </xf>
    <xf numFmtId="0" fontId="24" fillId="11" borderId="5" xfId="0" applyFont="1" applyFill="1" applyBorder="1" applyAlignment="1">
      <alignment horizontal="center" vertical="center" wrapText="1"/>
    </xf>
    <xf numFmtId="0" fontId="24" fillId="11" borderId="41" xfId="0" applyFont="1" applyFill="1" applyBorder="1" applyAlignment="1">
      <alignment horizontal="center" vertical="center" textRotation="90"/>
    </xf>
    <xf numFmtId="0" fontId="28" fillId="14" borderId="37" xfId="0" applyFont="1" applyFill="1" applyBorder="1" applyAlignment="1">
      <alignment horizontal="center" vertical="center" textRotation="90" wrapText="1"/>
    </xf>
    <xf numFmtId="0" fontId="28" fillId="14" borderId="38" xfId="0" applyFont="1" applyFill="1" applyBorder="1" applyAlignment="1">
      <alignment horizontal="center" vertical="center" wrapText="1"/>
    </xf>
    <xf numFmtId="0" fontId="28" fillId="14" borderId="37" xfId="0" applyFont="1" applyFill="1" applyBorder="1" applyAlignment="1">
      <alignment horizontal="center" vertical="center" textRotation="90"/>
    </xf>
    <xf numFmtId="0" fontId="28" fillId="14" borderId="26" xfId="0" applyFont="1" applyFill="1" applyBorder="1" applyAlignment="1">
      <alignment horizontal="center" vertical="center" textRotation="90"/>
    </xf>
    <xf numFmtId="0" fontId="9" fillId="0" borderId="4" xfId="0" applyFont="1" applyBorder="1" applyAlignment="1">
      <alignment vertical="center" wrapText="1"/>
    </xf>
    <xf numFmtId="0" fontId="3" fillId="0" borderId="44" xfId="0" applyFont="1" applyBorder="1" applyAlignment="1">
      <alignment vertical="center" wrapText="1"/>
    </xf>
    <xf numFmtId="0" fontId="3" fillId="0" borderId="45" xfId="0" applyFont="1" applyBorder="1" applyAlignment="1">
      <alignment vertical="center" wrapText="1"/>
    </xf>
    <xf numFmtId="0" fontId="4" fillId="0" borderId="22" xfId="0" applyFont="1" applyBorder="1"/>
    <xf numFmtId="0" fontId="22" fillId="11" borderId="23" xfId="0" applyFont="1" applyFill="1" applyBorder="1" applyAlignment="1">
      <alignment horizontal="center" vertical="center" textRotation="90"/>
    </xf>
    <xf numFmtId="0" fontId="22" fillId="11" borderId="20" xfId="0" applyFont="1" applyFill="1" applyBorder="1" applyAlignment="1">
      <alignment horizontal="center" vertical="center" textRotation="90"/>
    </xf>
    <xf numFmtId="0" fontId="10" fillId="15" borderId="6" xfId="0" applyFont="1" applyFill="1" applyBorder="1" applyAlignment="1">
      <alignment horizontal="center" vertical="center"/>
    </xf>
    <xf numFmtId="0" fontId="10" fillId="15" borderId="4" xfId="0" applyFont="1" applyFill="1" applyBorder="1" applyAlignment="1">
      <alignment horizontal="center" vertical="center"/>
    </xf>
    <xf numFmtId="0" fontId="37" fillId="15" borderId="4" xfId="0" applyFont="1" applyFill="1" applyBorder="1" applyAlignment="1">
      <alignment horizontal="center" vertical="center"/>
    </xf>
    <xf numFmtId="0" fontId="23" fillId="0" borderId="6" xfId="0" applyFont="1" applyBorder="1" applyAlignment="1">
      <alignment horizontal="center" vertical="center"/>
    </xf>
    <xf numFmtId="0" fontId="12" fillId="0" borderId="11" xfId="0" applyFont="1" applyBorder="1" applyAlignment="1">
      <alignment horizontal="center" vertical="center"/>
    </xf>
    <xf numFmtId="14" fontId="41" fillId="0" borderId="11" xfId="0" applyNumberFormat="1" applyFont="1" applyBorder="1" applyAlignment="1">
      <alignment horizontal="center" vertical="center" wrapText="1"/>
    </xf>
    <xf numFmtId="0" fontId="4" fillId="0" borderId="4" xfId="0" applyFont="1" applyBorder="1"/>
    <xf numFmtId="0" fontId="28" fillId="14" borderId="4" xfId="0" applyFont="1" applyFill="1" applyBorder="1" applyAlignment="1">
      <alignment horizontal="center" vertical="center" textRotation="90" wrapText="1"/>
    </xf>
    <xf numFmtId="0" fontId="28" fillId="14" borderId="4" xfId="0" applyFont="1" applyFill="1" applyBorder="1" applyAlignment="1">
      <alignment horizontal="center" vertical="center" wrapText="1"/>
    </xf>
    <xf numFmtId="0" fontId="3" fillId="0" borderId="5" xfId="0" applyFont="1" applyBorder="1" applyAlignment="1">
      <alignment horizontal="center"/>
    </xf>
    <xf numFmtId="0" fontId="3" fillId="0" borderId="3" xfId="0" applyFont="1" applyBorder="1" applyAlignment="1">
      <alignment horizontal="center"/>
    </xf>
    <xf numFmtId="0" fontId="5" fillId="0" borderId="4" xfId="0" applyFont="1" applyBorder="1" applyAlignment="1">
      <alignment horizontal="center" vertical="center"/>
    </xf>
    <xf numFmtId="0" fontId="28" fillId="12" borderId="4" xfId="0" applyFont="1" applyFill="1" applyBorder="1" applyAlignment="1">
      <alignment horizontal="center" vertical="center" textRotation="90" wrapText="1"/>
    </xf>
    <xf numFmtId="0" fontId="28" fillId="12" borderId="4" xfId="0" applyFont="1" applyFill="1" applyBorder="1" applyAlignment="1">
      <alignment horizontal="center" vertical="center" wrapText="1"/>
    </xf>
    <xf numFmtId="0" fontId="12"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49" xfId="0" applyFont="1" applyBorder="1" applyAlignment="1">
      <alignment horizontal="center" vertical="center"/>
    </xf>
    <xf numFmtId="0" fontId="3" fillId="0" borderId="50" xfId="0" applyFont="1" applyBorder="1" applyAlignment="1">
      <alignment horizontal="center" vertical="center"/>
    </xf>
    <xf numFmtId="0" fontId="43" fillId="14" borderId="25" xfId="0" applyFont="1" applyFill="1" applyBorder="1" applyAlignment="1">
      <alignment horizontal="center" vertical="center" textRotation="90" wrapText="1"/>
    </xf>
    <xf numFmtId="0" fontId="43" fillId="14" borderId="26" xfId="0" applyFont="1" applyFill="1" applyBorder="1" applyAlignment="1">
      <alignment horizontal="center" vertical="center" textRotation="90" wrapText="1"/>
    </xf>
    <xf numFmtId="0" fontId="24" fillId="8" borderId="7" xfId="0" applyFont="1" applyFill="1" applyBorder="1" applyAlignment="1">
      <alignment horizontal="center" vertical="center" wrapText="1"/>
    </xf>
    <xf numFmtId="0" fontId="10" fillId="0" borderId="7" xfId="0" applyFont="1" applyBorder="1" applyAlignment="1">
      <alignment horizontal="center" vertical="center"/>
    </xf>
    <xf numFmtId="0" fontId="24" fillId="8" borderId="3" xfId="0" applyFont="1" applyFill="1" applyBorder="1" applyAlignment="1">
      <alignment horizontal="center" vertical="center"/>
    </xf>
    <xf numFmtId="0" fontId="28" fillId="14" borderId="53" xfId="0" applyFont="1" applyFill="1" applyBorder="1" applyAlignment="1">
      <alignment horizontal="center" vertical="center" wrapText="1"/>
    </xf>
    <xf numFmtId="0" fontId="24" fillId="11" borderId="54" xfId="0" applyFont="1" applyFill="1" applyBorder="1" applyAlignment="1">
      <alignment horizontal="center" vertical="center" textRotation="90"/>
    </xf>
    <xf numFmtId="0" fontId="24" fillId="11" borderId="55" xfId="0" applyFont="1" applyFill="1" applyBorder="1" applyAlignment="1">
      <alignment horizontal="center" vertical="center" textRotation="90"/>
    </xf>
    <xf numFmtId="0" fontId="24" fillId="11" borderId="56" xfId="0" applyFont="1" applyFill="1" applyBorder="1" applyAlignment="1">
      <alignment horizontal="center" vertical="center" wrapText="1"/>
    </xf>
    <xf numFmtId="0" fontId="28" fillId="14" borderId="6" xfId="0" applyFont="1" applyFill="1" applyBorder="1" applyAlignment="1">
      <alignment horizontal="center" vertical="center" textRotation="90" wrapText="1"/>
    </xf>
    <xf numFmtId="0" fontId="28" fillId="14" borderId="7" xfId="0" applyFont="1" applyFill="1" applyBorder="1" applyAlignment="1">
      <alignment horizontal="center" vertical="center" wrapText="1"/>
    </xf>
    <xf numFmtId="0" fontId="37" fillId="0" borderId="6" xfId="0" applyFont="1" applyBorder="1" applyAlignment="1">
      <alignment horizontal="center" vertical="center"/>
    </xf>
    <xf numFmtId="0" fontId="40" fillId="0" borderId="8" xfId="0" applyFont="1" applyBorder="1" applyAlignment="1">
      <alignment vertical="center"/>
    </xf>
    <xf numFmtId="0" fontId="28" fillId="12" borderId="6" xfId="0" applyFont="1" applyFill="1" applyBorder="1" applyAlignment="1">
      <alignment horizontal="center" vertical="center" textRotation="90" wrapText="1"/>
    </xf>
    <xf numFmtId="0" fontId="28" fillId="12" borderId="7" xfId="0" applyFont="1" applyFill="1" applyBorder="1" applyAlignment="1">
      <alignment horizontal="center" vertical="center" wrapText="1"/>
    </xf>
    <xf numFmtId="0" fontId="4" fillId="0" borderId="4" xfId="0" applyFont="1" applyBorder="1" applyAlignment="1">
      <alignment vertical="center" wrapText="1"/>
    </xf>
    <xf numFmtId="0" fontId="19" fillId="0" borderId="4" xfId="0" applyFont="1" applyBorder="1" applyAlignment="1">
      <alignment horizontal="center" vertical="center"/>
    </xf>
    <xf numFmtId="0" fontId="4" fillId="0" borderId="0" xfId="0" applyFont="1" applyAlignment="1">
      <alignment vertical="center"/>
    </xf>
    <xf numFmtId="0" fontId="19" fillId="0" borderId="10" xfId="0" applyFont="1" applyBorder="1" applyAlignment="1">
      <alignment horizontal="center" vertical="center"/>
    </xf>
    <xf numFmtId="0" fontId="10" fillId="0" borderId="10" xfId="0" applyFont="1" applyBorder="1" applyAlignment="1">
      <alignment vertical="center"/>
    </xf>
    <xf numFmtId="0" fontId="5" fillId="0" borderId="50" xfId="0" applyFont="1" applyBorder="1" applyAlignment="1">
      <alignment horizontal="center" vertical="center"/>
    </xf>
    <xf numFmtId="0" fontId="10" fillId="0" borderId="5" xfId="0" applyFont="1" applyBorder="1" applyAlignment="1">
      <alignment horizontal="center" vertical="center" wrapText="1"/>
    </xf>
    <xf numFmtId="0" fontId="16" fillId="11" borderId="7" xfId="0" applyFont="1" applyFill="1" applyBorder="1" applyAlignment="1">
      <alignment horizontal="center" vertical="center" wrapText="1"/>
    </xf>
    <xf numFmtId="0" fontId="10" fillId="0" borderId="8" xfId="0" applyFont="1" applyBorder="1" applyAlignment="1">
      <alignment horizontal="center" vertical="center"/>
    </xf>
    <xf numFmtId="0" fontId="3" fillId="0" borderId="57" xfId="0" applyFont="1" applyBorder="1" applyAlignment="1">
      <alignment vertical="center" wrapText="1"/>
    </xf>
    <xf numFmtId="0" fontId="3" fillId="0" borderId="58" xfId="0" applyFont="1" applyBorder="1" applyAlignment="1">
      <alignment horizontal="center" vertical="center" wrapText="1"/>
    </xf>
    <xf numFmtId="0" fontId="3" fillId="0" borderId="59" xfId="0" applyFont="1" applyBorder="1" applyAlignment="1">
      <alignment horizontal="center" vertical="center" wrapText="1"/>
    </xf>
    <xf numFmtId="0" fontId="40" fillId="0" borderId="41" xfId="0" applyFont="1" applyBorder="1" applyAlignment="1">
      <alignment horizontal="center" vertical="center"/>
    </xf>
    <xf numFmtId="0" fontId="40" fillId="0" borderId="60" xfId="0" applyFont="1" applyBorder="1" applyAlignment="1">
      <alignment horizontal="center" vertical="center"/>
    </xf>
    <xf numFmtId="0" fontId="40" fillId="0" borderId="57" xfId="0" applyFont="1" applyBorder="1" applyAlignment="1">
      <alignment vertical="center" wrapText="1"/>
    </xf>
    <xf numFmtId="0" fontId="10" fillId="0" borderId="57" xfId="0" applyFont="1" applyBorder="1" applyAlignment="1">
      <alignment vertical="center" wrapText="1"/>
    </xf>
    <xf numFmtId="0" fontId="4" fillId="0" borderId="57" xfId="0" applyFont="1" applyBorder="1" applyAlignment="1">
      <alignment vertical="center" wrapText="1"/>
    </xf>
    <xf numFmtId="0" fontId="3" fillId="0" borderId="5" xfId="0" applyFont="1" applyBorder="1" applyAlignment="1">
      <alignment vertical="center" wrapText="1"/>
    </xf>
    <xf numFmtId="0" fontId="10" fillId="0" borderId="41" xfId="0" applyFont="1" applyBorder="1" applyAlignment="1">
      <alignment horizontal="center" vertical="center"/>
    </xf>
    <xf numFmtId="0" fontId="19" fillId="0" borderId="5" xfId="0" applyFont="1" applyBorder="1" applyAlignment="1">
      <alignment vertical="center"/>
    </xf>
    <xf numFmtId="0" fontId="23" fillId="16" borderId="4" xfId="0" applyFont="1" applyFill="1" applyBorder="1" applyAlignment="1">
      <alignment horizontal="center" vertical="center"/>
    </xf>
    <xf numFmtId="0" fontId="10" fillId="16" borderId="4" xfId="0" applyFont="1" applyFill="1" applyBorder="1" applyAlignment="1">
      <alignment horizontal="center" vertical="center"/>
    </xf>
    <xf numFmtId="0" fontId="10" fillId="0" borderId="61" xfId="0" applyFont="1" applyBorder="1" applyAlignment="1">
      <alignment vertical="center" wrapText="1"/>
    </xf>
    <xf numFmtId="0" fontId="4" fillId="0" borderId="61" xfId="0" applyFont="1" applyBorder="1" applyAlignment="1">
      <alignment vertical="center" wrapText="1"/>
    </xf>
    <xf numFmtId="0" fontId="19" fillId="0" borderId="20" xfId="0" applyFont="1" applyBorder="1" applyAlignment="1">
      <alignment vertical="center"/>
    </xf>
    <xf numFmtId="0" fontId="10" fillId="0" borderId="20" xfId="0" applyFont="1" applyBorder="1" applyAlignment="1">
      <alignment vertical="center"/>
    </xf>
    <xf numFmtId="0" fontId="10" fillId="0" borderId="20" xfId="0" applyFont="1" applyBorder="1" applyAlignment="1">
      <alignment vertical="center" wrapText="1"/>
    </xf>
    <xf numFmtId="0" fontId="10" fillId="0" borderId="19" xfId="0" applyFont="1" applyBorder="1" applyAlignment="1">
      <alignment horizontal="center" vertical="center"/>
    </xf>
    <xf numFmtId="0" fontId="32" fillId="0" borderId="14" xfId="2" applyFont="1" applyBorder="1">
      <alignment vertical="center" wrapText="1"/>
    </xf>
    <xf numFmtId="0" fontId="3" fillId="0" borderId="6" xfId="0" applyFont="1" applyBorder="1" applyAlignment="1">
      <alignment horizontal="center" vertical="center"/>
    </xf>
    <xf numFmtId="0" fontId="7" fillId="0" borderId="11" xfId="0" applyFont="1" applyBorder="1" applyAlignment="1">
      <alignment horizontal="left" vertical="center" wrapText="1"/>
    </xf>
    <xf numFmtId="0" fontId="16" fillId="6" borderId="11" xfId="0" applyFont="1" applyFill="1" applyBorder="1" applyAlignment="1">
      <alignment horizontal="center" vertical="center" wrapText="1"/>
    </xf>
    <xf numFmtId="0" fontId="12" fillId="0" borderId="11" xfId="0" applyFont="1" applyBorder="1" applyAlignment="1">
      <alignment horizontal="left" vertical="center" wrapText="1"/>
    </xf>
    <xf numFmtId="0" fontId="0" fillId="0" borderId="10" xfId="0" applyBorder="1" applyAlignment="1">
      <alignment horizontal="center"/>
    </xf>
    <xf numFmtId="14" fontId="4" fillId="0" borderId="11" xfId="0" applyNumberFormat="1" applyFont="1" applyBorder="1" applyAlignment="1">
      <alignment horizontal="left" vertical="center" wrapText="1"/>
    </xf>
    <xf numFmtId="164" fontId="12" fillId="0" borderId="11" xfId="0" applyNumberFormat="1" applyFont="1" applyBorder="1" applyAlignment="1">
      <alignment horizontal="left" vertical="center" wrapText="1"/>
    </xf>
    <xf numFmtId="0" fontId="18" fillId="6" borderId="18" xfId="1" applyFont="1" applyFill="1" applyBorder="1" applyAlignment="1">
      <alignment horizontal="center" vertical="center"/>
    </xf>
    <xf numFmtId="0" fontId="2" fillId="0" borderId="10" xfId="1" applyAlignment="1">
      <alignment horizontal="center"/>
    </xf>
    <xf numFmtId="0" fontId="36" fillId="14" borderId="21" xfId="0" applyFont="1" applyFill="1" applyBorder="1" applyAlignment="1">
      <alignment horizontal="center" vertical="center"/>
    </xf>
    <xf numFmtId="0" fontId="34" fillId="9" borderId="51" xfId="0" applyFont="1" applyFill="1" applyBorder="1" applyAlignment="1">
      <alignment horizontal="center" vertical="center"/>
    </xf>
    <xf numFmtId="0" fontId="4" fillId="0" borderId="28" xfId="0" applyFont="1" applyBorder="1" applyAlignment="1">
      <alignment horizontal="center"/>
    </xf>
    <xf numFmtId="0" fontId="3" fillId="0" borderId="1" xfId="0" applyFont="1" applyBorder="1" applyAlignment="1">
      <alignment horizont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34" fillId="9" borderId="52" xfId="0" applyFont="1" applyFill="1" applyBorder="1" applyAlignment="1">
      <alignment horizontal="center" vertical="center"/>
    </xf>
    <xf numFmtId="0" fontId="36" fillId="14" borderId="52" xfId="0" applyFont="1" applyFill="1" applyBorder="1" applyAlignment="1">
      <alignment horizontal="center" vertical="center"/>
    </xf>
    <xf numFmtId="0" fontId="4" fillId="0" borderId="22" xfId="0" applyFont="1" applyBorder="1" applyAlignment="1">
      <alignment horizontal="center"/>
    </xf>
    <xf numFmtId="0" fontId="5" fillId="0" borderId="29" xfId="0" applyFont="1" applyBorder="1" applyAlignment="1">
      <alignment horizontal="center" vertical="center"/>
    </xf>
    <xf numFmtId="0" fontId="0" fillId="0" borderId="22" xfId="0" applyBorder="1" applyAlignment="1">
      <alignment horizontal="left" vertical="center"/>
    </xf>
    <xf numFmtId="0" fontId="5" fillId="0" borderId="22" xfId="0" applyFont="1" applyBorder="1" applyAlignment="1">
      <alignment horizontal="center" vertical="center"/>
    </xf>
    <xf numFmtId="0" fontId="5" fillId="0" borderId="48" xfId="0" applyFont="1" applyBorder="1" applyAlignment="1">
      <alignment horizontal="center" vertical="center"/>
    </xf>
    <xf numFmtId="0" fontId="36" fillId="14" borderId="6" xfId="0" applyFont="1" applyFill="1" applyBorder="1" applyAlignment="1">
      <alignment horizontal="center" vertical="center"/>
    </xf>
    <xf numFmtId="0" fontId="34" fillId="9" borderId="6" xfId="0" applyFont="1" applyFill="1" applyBorder="1" applyAlignment="1">
      <alignment horizontal="center" vertical="center"/>
    </xf>
    <xf numFmtId="0" fontId="3" fillId="0" borderId="10" xfId="0" applyFont="1" applyBorder="1" applyAlignment="1">
      <alignment horizontal="center"/>
    </xf>
    <xf numFmtId="0" fontId="0" fillId="0" borderId="29" xfId="0" applyBorder="1" applyAlignment="1">
      <alignment horizontal="left" vertical="center"/>
    </xf>
    <xf numFmtId="0" fontId="5" fillId="0" borderId="47"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46" xfId="0" applyFont="1" applyBorder="1" applyAlignment="1">
      <alignment horizontal="center" vertical="center" wrapText="1"/>
    </xf>
    <xf numFmtId="0" fontId="3" fillId="0" borderId="5" xfId="0" applyFont="1" applyBorder="1" applyAlignment="1">
      <alignment horizontal="center"/>
    </xf>
    <xf numFmtId="0" fontId="3" fillId="0" borderId="3" xfId="0" applyFont="1" applyBorder="1" applyAlignment="1">
      <alignment horizontal="center"/>
    </xf>
    <xf numFmtId="0" fontId="5" fillId="0" borderId="47" xfId="0" applyFont="1" applyBorder="1" applyAlignment="1">
      <alignment horizontal="center" vertical="center"/>
    </xf>
    <xf numFmtId="0" fontId="5" fillId="0" borderId="10" xfId="0" applyFont="1" applyBorder="1" applyAlignment="1">
      <alignment horizontal="center" vertical="center"/>
    </xf>
    <xf numFmtId="0" fontId="36" fillId="12" borderId="6" xfId="0" applyFont="1" applyFill="1" applyBorder="1" applyAlignment="1">
      <alignment horizontal="center" vertical="center"/>
    </xf>
    <xf numFmtId="0" fontId="5" fillId="0" borderId="8"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36" fillId="14" borderId="34" xfId="0" applyFont="1" applyFill="1" applyBorder="1" applyAlignment="1">
      <alignment horizontal="center" vertical="center"/>
    </xf>
    <xf numFmtId="0" fontId="34" fillId="9" borderId="31" xfId="0" applyFont="1" applyFill="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34" fillId="9" borderId="40" xfId="0" applyFont="1" applyFill="1" applyBorder="1" applyAlignment="1">
      <alignment horizontal="center" vertical="center"/>
    </xf>
    <xf numFmtId="0" fontId="0" fillId="0" borderId="1" xfId="0" applyBorder="1" applyAlignment="1">
      <alignment horizontal="center" vertical="center" wrapText="1"/>
    </xf>
    <xf numFmtId="0" fontId="5" fillId="0" borderId="2"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5" fillId="0" borderId="1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1" fillId="0" borderId="9" xfId="0" applyFont="1" applyBorder="1" applyAlignment="1">
      <alignment vertical="center"/>
    </xf>
    <xf numFmtId="0" fontId="4" fillId="0" borderId="11" xfId="0" applyFont="1" applyBorder="1" applyAlignment="1"/>
    <xf numFmtId="0" fontId="17" fillId="6" borderId="11" xfId="0" applyFont="1" applyFill="1" applyBorder="1" applyAlignment="1"/>
    <xf numFmtId="0" fontId="4" fillId="0" borderId="2" xfId="0" applyFont="1" applyBorder="1" applyAlignment="1"/>
    <xf numFmtId="0" fontId="4" fillId="0" borderId="3" xfId="0" applyFont="1" applyBorder="1" applyAlignment="1"/>
    <xf numFmtId="0" fontId="4" fillId="0" borderId="28" xfId="0" applyFont="1" applyBorder="1" applyAlignment="1"/>
    <xf numFmtId="0" fontId="35" fillId="10" borderId="21" xfId="0" applyFont="1" applyFill="1" applyBorder="1" applyAlignment="1"/>
    <xf numFmtId="0" fontId="27" fillId="7" borderId="21" xfId="0" applyFont="1" applyFill="1" applyBorder="1" applyAlignment="1"/>
    <xf numFmtId="0" fontId="4" fillId="0" borderId="8" xfId="0" applyFont="1" applyBorder="1" applyAlignment="1"/>
    <xf numFmtId="0" fontId="35" fillId="10" borderId="52" xfId="0" applyFont="1" applyFill="1" applyBorder="1" applyAlignment="1"/>
    <xf numFmtId="0" fontId="27" fillId="7" borderId="52" xfId="0" applyFont="1" applyFill="1" applyBorder="1" applyAlignment="1"/>
    <xf numFmtId="0" fontId="4" fillId="0" borderId="48" xfId="0" applyFont="1" applyBorder="1" applyAlignment="1"/>
    <xf numFmtId="0" fontId="4" fillId="0" borderId="22" xfId="0" applyFont="1" applyBorder="1" applyAlignment="1"/>
    <xf numFmtId="0" fontId="35" fillId="10" borderId="4" xfId="0" applyFont="1" applyFill="1" applyBorder="1" applyAlignment="1"/>
    <xf numFmtId="0" fontId="35" fillId="10" borderId="7" xfId="0" applyFont="1" applyFill="1" applyBorder="1" applyAlignment="1"/>
    <xf numFmtId="0" fontId="27" fillId="7" borderId="4" xfId="0" applyFont="1" applyFill="1" applyBorder="1" applyAlignment="1"/>
    <xf numFmtId="0" fontId="27" fillId="7" borderId="7" xfId="0" applyFont="1" applyFill="1" applyBorder="1" applyAlignment="1"/>
    <xf numFmtId="0" fontId="4" fillId="0" borderId="46" xfId="0" applyFont="1" applyBorder="1" applyAlignment="1"/>
    <xf numFmtId="0" fontId="27" fillId="13" borderId="4" xfId="0" applyFont="1" applyFill="1" applyBorder="1" applyAlignment="1"/>
    <xf numFmtId="0" fontId="27" fillId="13" borderId="7" xfId="0" applyFont="1" applyFill="1" applyBorder="1" applyAlignment="1"/>
    <xf numFmtId="0" fontId="35" fillId="10" borderId="30" xfId="0" applyFont="1" applyFill="1" applyBorder="1" applyAlignment="1"/>
    <xf numFmtId="0" fontId="35" fillId="10" borderId="33" xfId="0" applyFont="1" applyFill="1" applyBorder="1" applyAlignment="1"/>
    <xf numFmtId="0" fontId="27" fillId="7" borderId="35" xfId="0" applyFont="1" applyFill="1" applyBorder="1" applyAlignment="1"/>
    <xf numFmtId="0" fontId="27" fillId="7" borderId="36" xfId="0" applyFont="1" applyFill="1" applyBorder="1" applyAlignment="1"/>
    <xf numFmtId="0" fontId="35" fillId="10" borderId="39" xfId="0" applyFont="1" applyFill="1" applyBorder="1" applyAlignment="1"/>
    <xf numFmtId="0" fontId="0" fillId="0" borderId="5" xfId="0" applyBorder="1" applyAlignment="1">
      <alignment horizontal="left" vertical="center"/>
    </xf>
    <xf numFmtId="0" fontId="0" fillId="0" borderId="5" xfId="0" applyBorder="1" applyAlignment="1">
      <alignment horizontal="center" vertical="center"/>
    </xf>
    <xf numFmtId="0" fontId="0" fillId="0" borderId="9" xfId="0" applyBorder="1" applyAlignment="1"/>
    <xf numFmtId="0" fontId="4" fillId="0" borderId="9" xfId="0" applyFont="1" applyBorder="1" applyAlignment="1"/>
  </cellXfs>
  <cellStyles count="5">
    <cellStyle name="Normal" xfId="0" builtinId="0"/>
    <cellStyle name="Normal 2" xfId="1" xr:uid="{5702FA3C-C939-443F-ACCC-56C53ED40912}"/>
    <cellStyle name="Normal 2 2" xfId="2" xr:uid="{7F202A87-22DD-4294-BDD1-A154B77B860B}"/>
    <cellStyle name="Normal 2 3" xfId="4" xr:uid="{2D05781F-BC7B-4EB7-875A-44C1E5E234AB}"/>
    <cellStyle name="Normal 3" xfId="3" xr:uid="{D0D5CDBC-7945-41DE-9A83-E0304711A1A6}"/>
  </cellStyles>
  <dxfs count="33">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s>
  <tableStyles count="0" defaultTableStyle="TableStyleMedium2" defaultPivotStyle="PivotStyleLight16"/>
  <colors>
    <mruColors>
      <color rgb="FF00518E"/>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56727</xdr:colOff>
      <xdr:row>0</xdr:row>
      <xdr:rowOff>234738</xdr:rowOff>
    </xdr:from>
    <xdr:to>
      <xdr:col>2</xdr:col>
      <xdr:colOff>281868</xdr:colOff>
      <xdr:row>0</xdr:row>
      <xdr:rowOff>783167</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5AD54E8D-82FB-B2FF-C68C-46A674993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477" y="234738"/>
          <a:ext cx="1336391" cy="548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933450</xdr:rowOff>
    </xdr:from>
    <xdr:ext cx="7038975" cy="38100"/>
    <xdr:grpSp>
      <xdr:nvGrpSpPr>
        <xdr:cNvPr id="2" name="Shape 2">
          <a:extLst>
            <a:ext uri="{FF2B5EF4-FFF2-40B4-BE49-F238E27FC236}">
              <a16:creationId xmlns:a16="http://schemas.microsoft.com/office/drawing/2014/main" id="{00000000-0008-0000-0F00-000002000000}"/>
            </a:ext>
          </a:extLst>
        </xdr:cNvPr>
        <xdr:cNvGrpSpPr/>
      </xdr:nvGrpSpPr>
      <xdr:grpSpPr>
        <a:xfrm>
          <a:off x="0" y="933450"/>
          <a:ext cx="7038975" cy="38100"/>
          <a:chOff x="1826513" y="3780000"/>
          <a:chExt cx="7038975" cy="0"/>
        </a:xfrm>
      </xdr:grpSpPr>
      <xdr:cxnSp macro="">
        <xdr:nvCxnSpPr>
          <xdr:cNvPr id="3" name="Shape 3">
            <a:extLst>
              <a:ext uri="{FF2B5EF4-FFF2-40B4-BE49-F238E27FC236}">
                <a16:creationId xmlns:a16="http://schemas.microsoft.com/office/drawing/2014/main" id="{00000000-0008-0000-0F00-000003000000}"/>
              </a:ext>
            </a:extLst>
          </xdr:cNvPr>
          <xdr:cNvCxnSpPr/>
        </xdr:nvCxnSpPr>
        <xdr:spPr>
          <a:xfrm>
            <a:off x="1826513" y="3780000"/>
            <a:ext cx="7038975" cy="0"/>
          </a:xfrm>
          <a:prstGeom prst="straightConnector1">
            <a:avLst/>
          </a:prstGeom>
          <a:noFill/>
          <a:ln w="19050" cap="flat" cmpd="sng">
            <a:solidFill>
              <a:srgbClr val="008000"/>
            </a:solidFill>
            <a:prstDash val="solid"/>
            <a:round/>
            <a:headEnd type="none" w="med" len="med"/>
            <a:tailEnd type="none" w="med" len="med"/>
          </a:ln>
        </xdr:spPr>
      </xdr:cxnSp>
    </xdr:grpSp>
    <xdr:clientData fLocksWithSheet="0"/>
  </xdr:oneCellAnchor>
  <xdr:oneCellAnchor>
    <xdr:from>
      <xdr:col>0</xdr:col>
      <xdr:colOff>0</xdr:colOff>
      <xdr:row>0</xdr:row>
      <xdr:rowOff>933450</xdr:rowOff>
    </xdr:from>
    <xdr:ext cx="7648575" cy="38100"/>
    <xdr:grpSp>
      <xdr:nvGrpSpPr>
        <xdr:cNvPr id="4" name="Shape 2">
          <a:extLst>
            <a:ext uri="{FF2B5EF4-FFF2-40B4-BE49-F238E27FC236}">
              <a16:creationId xmlns:a16="http://schemas.microsoft.com/office/drawing/2014/main" id="{00000000-0008-0000-0F00-000004000000}"/>
            </a:ext>
          </a:extLst>
        </xdr:cNvPr>
        <xdr:cNvGrpSpPr/>
      </xdr:nvGrpSpPr>
      <xdr:grpSpPr>
        <a:xfrm>
          <a:off x="0" y="933450"/>
          <a:ext cx="7648575" cy="38100"/>
          <a:chOff x="1521713" y="3780000"/>
          <a:chExt cx="7648575" cy="0"/>
        </a:xfrm>
      </xdr:grpSpPr>
      <xdr:cxnSp macro="">
        <xdr:nvCxnSpPr>
          <xdr:cNvPr id="5" name="Shape 4">
            <a:extLst>
              <a:ext uri="{FF2B5EF4-FFF2-40B4-BE49-F238E27FC236}">
                <a16:creationId xmlns:a16="http://schemas.microsoft.com/office/drawing/2014/main" id="{00000000-0008-0000-0F00-000005000000}"/>
              </a:ext>
            </a:extLst>
          </xdr:cNvPr>
          <xdr:cNvCxnSpPr/>
        </xdr:nvCxnSpPr>
        <xdr:spPr>
          <a:xfrm>
            <a:off x="1521713" y="3780000"/>
            <a:ext cx="7648575" cy="0"/>
          </a:xfrm>
          <a:prstGeom prst="straightConnector1">
            <a:avLst/>
          </a:prstGeom>
          <a:noFill/>
          <a:ln w="19050" cap="flat" cmpd="sng">
            <a:solidFill>
              <a:srgbClr val="008000"/>
            </a:solidFill>
            <a:prstDash val="solid"/>
            <a:round/>
            <a:headEnd type="none" w="med" len="med"/>
            <a:tailEnd type="none" w="med" len="med"/>
          </a:ln>
        </xdr:spPr>
      </xdr:cxnSp>
    </xdr:grp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91"/>
  <sheetViews>
    <sheetView zoomScale="90" zoomScaleNormal="90" workbookViewId="0">
      <selection activeCell="B9" sqref="B9:D9"/>
    </sheetView>
  </sheetViews>
  <sheetFormatPr defaultColWidth="14.28515625" defaultRowHeight="15" customHeight="1"/>
  <cols>
    <col min="1" max="1" width="4.28515625" customWidth="1"/>
    <col min="2" max="2" width="16.28515625" customWidth="1"/>
    <col min="3" max="3" width="20.28515625" customWidth="1"/>
    <col min="4" max="4" width="63.140625" customWidth="1"/>
    <col min="5" max="8" width="10.7109375" customWidth="1"/>
    <col min="9" max="9" width="10.7109375" hidden="1" customWidth="1"/>
    <col min="10" max="26" width="10.7109375" customWidth="1"/>
  </cols>
  <sheetData>
    <row r="1" spans="1:9" ht="78.599999999999994" customHeight="1">
      <c r="A1" s="202"/>
      <c r="B1" s="202"/>
      <c r="C1" s="202"/>
      <c r="D1" s="202"/>
    </row>
    <row r="2" spans="1:9" ht="20.25" customHeight="1">
      <c r="B2" s="91" t="s">
        <v>0</v>
      </c>
      <c r="C2" s="201" t="s">
        <v>1</v>
      </c>
      <c r="D2" s="249"/>
    </row>
    <row r="3" spans="1:9" ht="20.25" customHeight="1">
      <c r="B3" s="91" t="s">
        <v>2</v>
      </c>
      <c r="C3" s="203">
        <v>45855</v>
      </c>
      <c r="D3" s="249"/>
    </row>
    <row r="4" spans="1:9" ht="20.25" customHeight="1">
      <c r="B4" s="91" t="s">
        <v>3</v>
      </c>
      <c r="C4" s="201" t="s">
        <v>4</v>
      </c>
      <c r="D4" s="249"/>
    </row>
    <row r="5" spans="1:9" ht="20.25" customHeight="1">
      <c r="B5" s="91" t="s">
        <v>5</v>
      </c>
      <c r="C5" s="204" t="s">
        <v>6</v>
      </c>
      <c r="D5" s="249"/>
    </row>
    <row r="6" spans="1:9" ht="20.25" customHeight="1">
      <c r="B6" s="91" t="s">
        <v>7</v>
      </c>
      <c r="C6" s="199" t="s">
        <v>8</v>
      </c>
      <c r="D6" s="249"/>
    </row>
    <row r="7" spans="1:9" ht="46.15" customHeight="1">
      <c r="A7" s="31"/>
      <c r="B7" s="92" t="s">
        <v>9</v>
      </c>
      <c r="C7" s="201" t="s">
        <v>10</v>
      </c>
      <c r="D7" s="249"/>
      <c r="I7">
        <v>24</v>
      </c>
    </row>
    <row r="8" spans="1:9" ht="20.25" customHeight="1">
      <c r="B8" s="18"/>
      <c r="C8" s="18"/>
      <c r="D8" s="18"/>
    </row>
    <row r="9" spans="1:9" ht="20.25" customHeight="1">
      <c r="B9" s="200" t="s">
        <v>11</v>
      </c>
      <c r="C9" s="250"/>
      <c r="D9" s="250"/>
    </row>
    <row r="10" spans="1:9" ht="20.25" customHeight="1">
      <c r="B10" s="93" t="s">
        <v>12</v>
      </c>
      <c r="C10" s="93" t="s">
        <v>2</v>
      </c>
      <c r="D10" s="93" t="s">
        <v>13</v>
      </c>
    </row>
    <row r="11" spans="1:9" ht="22.15" customHeight="1">
      <c r="B11" s="140">
        <v>1</v>
      </c>
      <c r="C11" s="141">
        <v>45855</v>
      </c>
      <c r="D11" s="20" t="s">
        <v>14</v>
      </c>
    </row>
    <row r="12" spans="1:9" ht="22.15" customHeight="1">
      <c r="B12" s="48"/>
      <c r="C12" s="19"/>
      <c r="D12" s="17"/>
    </row>
    <row r="13" spans="1:9" ht="22.15" customHeight="1">
      <c r="B13" s="49"/>
      <c r="C13" s="19"/>
      <c r="D13" s="20"/>
      <c r="I13">
        <v>24</v>
      </c>
    </row>
    <row r="14" spans="1:9" ht="22.15" customHeight="1">
      <c r="B14" s="48"/>
      <c r="C14" s="19"/>
      <c r="D14" s="17"/>
    </row>
    <row r="15" spans="1:9" ht="20.25" customHeight="1">
      <c r="B15" s="21"/>
      <c r="C15" s="21"/>
      <c r="D15" s="21"/>
    </row>
    <row r="16" spans="1:9" ht="15.75" customHeight="1"/>
    <row r="17" spans="9:9" ht="15.75" customHeight="1"/>
    <row r="18" spans="9:9" ht="15.75" customHeight="1"/>
    <row r="19" spans="9:9" ht="15.75" customHeight="1"/>
    <row r="20" spans="9:9" ht="15.75" customHeight="1"/>
    <row r="21" spans="9:9" ht="15.75" customHeight="1"/>
    <row r="22" spans="9:9" ht="15.75" customHeight="1"/>
    <row r="23" spans="9:9" ht="15.75" customHeight="1"/>
    <row r="24" spans="9:9" ht="15.75" customHeight="1"/>
    <row r="25" spans="9:9" ht="15.75" customHeight="1">
      <c r="I25">
        <v>24</v>
      </c>
    </row>
    <row r="26" spans="9:9" ht="15.75" customHeight="1">
      <c r="I26">
        <v>24</v>
      </c>
    </row>
    <row r="27" spans="9:9" ht="15.75" customHeight="1">
      <c r="I27">
        <v>24</v>
      </c>
    </row>
    <row r="28" spans="9:9" ht="15.75" customHeight="1">
      <c r="I28">
        <v>24</v>
      </c>
    </row>
    <row r="29" spans="9:9" ht="15.75" customHeight="1">
      <c r="I29">
        <v>24</v>
      </c>
    </row>
    <row r="30" spans="9:9" ht="15.75" customHeight="1">
      <c r="I30">
        <v>24</v>
      </c>
    </row>
    <row r="31" spans="9:9" ht="15.75" customHeight="1"/>
    <row r="32" spans="9:9" ht="15.75" customHeight="1">
      <c r="I32">
        <v>24</v>
      </c>
    </row>
    <row r="33" spans="9:9" ht="15.75" customHeight="1">
      <c r="I33">
        <v>24</v>
      </c>
    </row>
    <row r="34" spans="9:9" ht="15.75" customHeight="1">
      <c r="I34">
        <v>24</v>
      </c>
    </row>
    <row r="35" spans="9:9" ht="15.75" customHeight="1">
      <c r="I35">
        <v>24</v>
      </c>
    </row>
    <row r="36" spans="9:9" ht="15.75" customHeight="1">
      <c r="I36">
        <v>24</v>
      </c>
    </row>
    <row r="37" spans="9:9" ht="15.75" customHeight="1">
      <c r="I37">
        <v>24</v>
      </c>
    </row>
    <row r="38" spans="9:9" ht="15.75" customHeight="1">
      <c r="I38">
        <v>24</v>
      </c>
    </row>
    <row r="39" spans="9:9" ht="15.75" customHeight="1">
      <c r="I39">
        <v>24</v>
      </c>
    </row>
    <row r="40" spans="9:9" ht="15.75" customHeight="1">
      <c r="I40">
        <v>24</v>
      </c>
    </row>
    <row r="41" spans="9:9" ht="15.75" customHeight="1">
      <c r="I41">
        <v>24</v>
      </c>
    </row>
    <row r="42" spans="9:9" ht="15.75" customHeight="1">
      <c r="I42">
        <v>24</v>
      </c>
    </row>
    <row r="43" spans="9:9" ht="15.75" customHeight="1"/>
    <row r="44" spans="9:9" ht="15.75" customHeight="1"/>
    <row r="45" spans="9:9" ht="15.75" customHeight="1"/>
    <row r="46" spans="9:9" ht="15.75" customHeight="1"/>
    <row r="47" spans="9:9" ht="15.75" customHeight="1"/>
    <row r="48" spans="9:9" ht="15.75" customHeight="1">
      <c r="I48">
        <v>24</v>
      </c>
    </row>
    <row r="49" spans="9:9" ht="15.75" customHeight="1">
      <c r="I49">
        <v>24</v>
      </c>
    </row>
    <row r="50" spans="9:9" ht="15.75" customHeight="1">
      <c r="I50">
        <v>24</v>
      </c>
    </row>
    <row r="51" spans="9:9" ht="15.75" customHeight="1">
      <c r="I51">
        <v>24</v>
      </c>
    </row>
    <row r="52" spans="9:9" ht="15.75" customHeight="1">
      <c r="I52">
        <v>24</v>
      </c>
    </row>
    <row r="53" spans="9:9" ht="15.75" customHeight="1"/>
    <row r="54" spans="9:9" ht="15.75" customHeight="1"/>
    <row r="55" spans="9:9" ht="15.75" customHeight="1"/>
    <row r="56" spans="9:9" ht="15.75" customHeight="1"/>
    <row r="57" spans="9:9" ht="15.75" customHeight="1"/>
    <row r="58" spans="9:9" ht="15.75" customHeight="1"/>
    <row r="59" spans="9:9" ht="15.75" customHeight="1"/>
    <row r="60" spans="9:9" ht="15.75" customHeight="1"/>
    <row r="61" spans="9:9" ht="15.75" customHeight="1"/>
    <row r="62" spans="9:9" ht="15.75" customHeight="1"/>
    <row r="63" spans="9:9" ht="15.75" customHeight="1"/>
    <row r="64" spans="9: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8">
    <mergeCell ref="C6:D6"/>
    <mergeCell ref="B9:D9"/>
    <mergeCell ref="C7:D7"/>
    <mergeCell ref="A1:D1"/>
    <mergeCell ref="C2:D2"/>
    <mergeCell ref="C3:D3"/>
    <mergeCell ref="C4:D4"/>
    <mergeCell ref="C5:D5"/>
  </mergeCells>
  <pageMargins left="0.7" right="0.7" top="0.75" bottom="0.75" header="0" footer="0"/>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494EB-81C8-4C8A-A82F-7F4FDBA77099}">
  <sheetPr>
    <pageSetUpPr fitToPage="1"/>
  </sheetPr>
  <dimension ref="A1:I52"/>
  <sheetViews>
    <sheetView zoomScale="70" zoomScaleNormal="70" workbookViewId="0">
      <selection activeCell="B10" sqref="B10"/>
    </sheetView>
  </sheetViews>
  <sheetFormatPr defaultColWidth="11.28515625" defaultRowHeight="14.45"/>
  <cols>
    <col min="1" max="1" width="28" style="22" customWidth="1"/>
    <col min="2" max="2" width="168.140625" style="22" customWidth="1"/>
    <col min="3" max="8" width="11.28515625" style="22"/>
    <col min="9" max="9" width="0" style="22" hidden="1" customWidth="1"/>
    <col min="10" max="16384" width="11.28515625" style="22"/>
  </cols>
  <sheetData>
    <row r="1" spans="1:9" ht="67.900000000000006" customHeight="1">
      <c r="A1" s="206"/>
      <c r="B1" s="206"/>
    </row>
    <row r="2" spans="1:9" ht="27.75" customHeight="1" thickBot="1">
      <c r="A2" s="205" t="s">
        <v>15</v>
      </c>
      <c r="B2" s="205"/>
    </row>
    <row r="3" spans="1:9" ht="24.75" customHeight="1">
      <c r="A3" s="97" t="s">
        <v>16</v>
      </c>
      <c r="B3" s="98" t="s">
        <v>17</v>
      </c>
    </row>
    <row r="4" spans="1:9" ht="39.75" customHeight="1">
      <c r="A4" s="94" t="s">
        <v>18</v>
      </c>
      <c r="B4" s="28" t="s">
        <v>19</v>
      </c>
    </row>
    <row r="5" spans="1:9" ht="57.4" customHeight="1">
      <c r="A5" s="94" t="s">
        <v>20</v>
      </c>
      <c r="B5" s="28" t="s">
        <v>21</v>
      </c>
    </row>
    <row r="6" spans="1:9" ht="45" hidden="1" customHeight="1">
      <c r="A6" s="94" t="s">
        <v>22</v>
      </c>
      <c r="B6" s="28" t="s">
        <v>23</v>
      </c>
    </row>
    <row r="7" spans="1:9" ht="41.25" customHeight="1">
      <c r="A7" s="94" t="s">
        <v>24</v>
      </c>
      <c r="B7" s="28" t="s">
        <v>25</v>
      </c>
      <c r="I7" s="22">
        <v>24</v>
      </c>
    </row>
    <row r="8" spans="1:9" ht="50.25" customHeight="1">
      <c r="A8" s="94" t="s">
        <v>26</v>
      </c>
      <c r="B8" s="28" t="s">
        <v>27</v>
      </c>
    </row>
    <row r="9" spans="1:9" ht="50.25" customHeight="1">
      <c r="A9" s="94" t="s">
        <v>28</v>
      </c>
      <c r="B9" s="28" t="s">
        <v>29</v>
      </c>
    </row>
    <row r="10" spans="1:9" ht="25.5" customHeight="1">
      <c r="A10" s="94" t="s">
        <v>30</v>
      </c>
      <c r="B10" s="28" t="s">
        <v>31</v>
      </c>
    </row>
    <row r="11" spans="1:9" ht="24.75" customHeight="1">
      <c r="A11" s="94" t="s">
        <v>32</v>
      </c>
      <c r="B11" s="28" t="s">
        <v>33</v>
      </c>
    </row>
    <row r="12" spans="1:9" ht="56.25" customHeight="1">
      <c r="A12" s="94" t="s">
        <v>34</v>
      </c>
      <c r="B12" s="28" t="s">
        <v>35</v>
      </c>
    </row>
    <row r="13" spans="1:9" ht="64.150000000000006" customHeight="1">
      <c r="A13" s="94" t="s">
        <v>36</v>
      </c>
      <c r="B13" s="28" t="s">
        <v>37</v>
      </c>
      <c r="I13" s="22">
        <v>24</v>
      </c>
    </row>
    <row r="14" spans="1:9" ht="61.15" customHeight="1">
      <c r="A14" s="94" t="s">
        <v>38</v>
      </c>
      <c r="B14" s="28" t="s">
        <v>39</v>
      </c>
    </row>
    <row r="15" spans="1:9" ht="55.5" customHeight="1">
      <c r="A15" s="94" t="s">
        <v>40</v>
      </c>
      <c r="B15" s="28" t="s">
        <v>41</v>
      </c>
    </row>
    <row r="16" spans="1:9" ht="234.75" customHeight="1">
      <c r="A16" s="95" t="s">
        <v>42</v>
      </c>
      <c r="B16" s="197" t="s">
        <v>43</v>
      </c>
    </row>
    <row r="17" spans="1:9" ht="41.25" customHeight="1" thickBot="1">
      <c r="A17" s="96" t="s">
        <v>44</v>
      </c>
      <c r="B17" s="27" t="s">
        <v>45</v>
      </c>
    </row>
    <row r="18" spans="1:9">
      <c r="A18" s="26"/>
      <c r="B18" s="25"/>
    </row>
    <row r="19" spans="1:9" ht="51.75" customHeight="1">
      <c r="A19" s="26"/>
      <c r="B19" s="25" t="s">
        <v>46</v>
      </c>
    </row>
    <row r="20" spans="1:9">
      <c r="A20" s="26"/>
      <c r="B20" s="25"/>
    </row>
    <row r="21" spans="1:9" ht="24" customHeight="1">
      <c r="A21" s="26"/>
      <c r="B21" s="25" t="s">
        <v>47</v>
      </c>
    </row>
    <row r="22" spans="1:9">
      <c r="A22" s="24"/>
      <c r="B22" s="23"/>
    </row>
    <row r="25" spans="1:9">
      <c r="I25" s="22">
        <v>24</v>
      </c>
    </row>
    <row r="26" spans="1:9">
      <c r="I26" s="22">
        <v>24</v>
      </c>
    </row>
    <row r="27" spans="1:9">
      <c r="I27" s="22">
        <v>24</v>
      </c>
    </row>
    <row r="28" spans="1:9">
      <c r="I28" s="22">
        <v>24</v>
      </c>
    </row>
    <row r="29" spans="1:9">
      <c r="I29" s="22">
        <v>24</v>
      </c>
    </row>
    <row r="30" spans="1:9">
      <c r="I30" s="22">
        <v>24</v>
      </c>
    </row>
    <row r="32" spans="1:9">
      <c r="I32" s="22">
        <v>24</v>
      </c>
    </row>
    <row r="33" spans="9:9">
      <c r="I33" s="22">
        <v>24</v>
      </c>
    </row>
    <row r="34" spans="9:9">
      <c r="I34" s="22">
        <v>24</v>
      </c>
    </row>
    <row r="35" spans="9:9">
      <c r="I35" s="22">
        <v>24</v>
      </c>
    </row>
    <row r="36" spans="9:9">
      <c r="I36" s="22">
        <v>24</v>
      </c>
    </row>
    <row r="37" spans="9:9">
      <c r="I37" s="22">
        <v>24</v>
      </c>
    </row>
    <row r="38" spans="9:9">
      <c r="I38" s="22">
        <v>24</v>
      </c>
    </row>
    <row r="39" spans="9:9">
      <c r="I39" s="22">
        <v>24</v>
      </c>
    </row>
    <row r="40" spans="9:9">
      <c r="I40" s="22">
        <v>24</v>
      </c>
    </row>
    <row r="41" spans="9:9">
      <c r="I41" s="22">
        <v>24</v>
      </c>
    </row>
    <row r="42" spans="9:9">
      <c r="I42" s="22">
        <v>24</v>
      </c>
    </row>
    <row r="48" spans="9:9">
      <c r="I48" s="22">
        <v>24</v>
      </c>
    </row>
    <row r="49" spans="9:9">
      <c r="I49" s="22">
        <v>24</v>
      </c>
    </row>
    <row r="50" spans="9:9">
      <c r="I50" s="22">
        <v>24</v>
      </c>
    </row>
    <row r="51" spans="9:9">
      <c r="I51" s="22">
        <v>24</v>
      </c>
    </row>
    <row r="52" spans="9:9">
      <c r="I52" s="22">
        <v>24</v>
      </c>
    </row>
  </sheetData>
  <mergeCells count="2">
    <mergeCell ref="A2:B2"/>
    <mergeCell ref="A1:B1"/>
  </mergeCells>
  <pageMargins left="0.7" right="0.7" top="0.75" bottom="0.75" header="0" footer="0"/>
  <pageSetup scale="6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10"/>
  <sheetViews>
    <sheetView zoomScale="80" zoomScaleNormal="80" workbookViewId="0">
      <pane xSplit="2" ySplit="3" topLeftCell="C4" activePane="bottomRight" state="frozen"/>
      <selection pane="bottomRight" activeCell="B9" sqref="B9"/>
      <selection pane="bottomLeft" activeCell="D35" sqref="D35"/>
      <selection pane="topRight" activeCell="D35" sqref="D35"/>
    </sheetView>
  </sheetViews>
  <sheetFormatPr defaultColWidth="14.28515625" defaultRowHeight="15" customHeight="1"/>
  <cols>
    <col min="1" max="1" width="5.7109375" customWidth="1"/>
    <col min="2" max="2" width="67.28515625" bestFit="1" customWidth="1"/>
    <col min="3" max="3" width="25.28515625" customWidth="1"/>
    <col min="4" max="4" width="35.140625" customWidth="1"/>
    <col min="5" max="5" width="77.28515625" customWidth="1"/>
    <col min="6" max="6" width="55" customWidth="1"/>
    <col min="7" max="7" width="22.28515625" customWidth="1"/>
    <col min="8" max="9" width="11.7109375" customWidth="1"/>
    <col min="10" max="10" width="9.28515625" customWidth="1"/>
    <col min="11" max="14" width="8.28515625" customWidth="1"/>
    <col min="15" max="15" width="13.28515625" customWidth="1"/>
    <col min="16" max="20" width="7.7109375" style="63" customWidth="1"/>
    <col min="21" max="22" width="11.28515625" style="63" customWidth="1"/>
    <col min="23" max="23" width="42.28515625" customWidth="1"/>
    <col min="24" max="34" width="9.140625" customWidth="1"/>
  </cols>
  <sheetData>
    <row r="1" spans="1:34" ht="64.5" customHeight="1">
      <c r="A1" s="210"/>
      <c r="B1" s="251"/>
      <c r="C1" s="211" t="s">
        <v>48</v>
      </c>
      <c r="D1" s="252"/>
      <c r="E1" s="252"/>
      <c r="F1" s="252"/>
      <c r="G1" s="252"/>
      <c r="H1" s="212"/>
      <c r="I1" s="212"/>
      <c r="J1" s="253"/>
      <c r="K1" s="253"/>
      <c r="L1" s="253"/>
      <c r="M1" s="253"/>
      <c r="N1" s="253"/>
      <c r="O1" s="253"/>
      <c r="P1" s="209"/>
      <c r="Q1" s="209"/>
      <c r="R1" s="209"/>
      <c r="S1" s="209"/>
      <c r="T1" s="209"/>
      <c r="U1" s="209"/>
      <c r="V1" s="209"/>
      <c r="W1" s="64"/>
      <c r="X1" s="2"/>
      <c r="Y1" s="2"/>
      <c r="Z1" s="2"/>
      <c r="AA1" s="2"/>
      <c r="AB1" s="2"/>
      <c r="AC1" s="2"/>
      <c r="AD1" s="2"/>
      <c r="AE1" s="2"/>
      <c r="AF1" s="2"/>
      <c r="AG1" s="2"/>
      <c r="AH1" s="2"/>
    </row>
    <row r="2" spans="1:34" ht="32.65" customHeight="1">
      <c r="A2" s="146"/>
      <c r="B2" s="41"/>
      <c r="C2" s="52"/>
      <c r="D2" s="41"/>
      <c r="E2" s="41"/>
      <c r="F2" s="41"/>
      <c r="G2" s="41"/>
      <c r="H2" s="52"/>
      <c r="I2" s="58"/>
      <c r="J2" s="208" t="s">
        <v>49</v>
      </c>
      <c r="K2" s="254"/>
      <c r="L2" s="254"/>
      <c r="M2" s="254"/>
      <c r="N2" s="254"/>
      <c r="O2" s="254"/>
      <c r="P2" s="207" t="s">
        <v>50</v>
      </c>
      <c r="Q2" s="255"/>
      <c r="R2" s="255"/>
      <c r="S2" s="255"/>
      <c r="T2" s="255"/>
      <c r="U2" s="255"/>
      <c r="V2" s="255"/>
      <c r="W2" s="64"/>
      <c r="X2" s="2"/>
      <c r="Y2" s="2"/>
      <c r="Z2" s="2"/>
      <c r="AA2" s="2"/>
      <c r="AB2" s="2"/>
      <c r="AC2" s="2"/>
      <c r="AD2" s="2"/>
      <c r="AE2" s="2"/>
      <c r="AF2" s="2"/>
      <c r="AG2" s="2"/>
      <c r="AH2" s="2"/>
    </row>
    <row r="3" spans="1:34" ht="96" customHeight="1">
      <c r="A3" s="103" t="s">
        <v>18</v>
      </c>
      <c r="B3" s="158" t="s">
        <v>24</v>
      </c>
      <c r="C3" s="158" t="s">
        <v>20</v>
      </c>
      <c r="D3" s="158" t="s">
        <v>26</v>
      </c>
      <c r="E3" s="158" t="s">
        <v>30</v>
      </c>
      <c r="F3" s="158" t="s">
        <v>28</v>
      </c>
      <c r="G3" s="158" t="s">
        <v>51</v>
      </c>
      <c r="H3" s="158" t="s">
        <v>52</v>
      </c>
      <c r="I3" s="105" t="s">
        <v>53</v>
      </c>
      <c r="J3" s="134" t="s">
        <v>34</v>
      </c>
      <c r="K3" s="135" t="s">
        <v>54</v>
      </c>
      <c r="L3" s="106" t="s">
        <v>55</v>
      </c>
      <c r="M3" s="135" t="s">
        <v>56</v>
      </c>
      <c r="N3" s="135" t="s">
        <v>57</v>
      </c>
      <c r="O3" s="107" t="s">
        <v>58</v>
      </c>
      <c r="P3" s="154" t="s">
        <v>34</v>
      </c>
      <c r="Q3" s="155" t="s">
        <v>54</v>
      </c>
      <c r="R3" s="109" t="s">
        <v>55</v>
      </c>
      <c r="S3" s="155" t="s">
        <v>56</v>
      </c>
      <c r="T3" s="155" t="s">
        <v>57</v>
      </c>
      <c r="U3" s="110" t="s">
        <v>59</v>
      </c>
      <c r="V3" s="111" t="s">
        <v>60</v>
      </c>
      <c r="W3" s="112" t="s">
        <v>44</v>
      </c>
      <c r="X3" s="3"/>
      <c r="Y3" s="3"/>
      <c r="Z3" s="3"/>
      <c r="AA3" s="3"/>
      <c r="AB3" s="3"/>
      <c r="AC3" s="3"/>
      <c r="AD3" s="3"/>
      <c r="AE3" s="3"/>
      <c r="AF3" s="3"/>
      <c r="AG3" s="3"/>
      <c r="AH3" s="3"/>
    </row>
    <row r="4" spans="1:34" ht="28.9" customHeight="1">
      <c r="A4" s="130" t="s">
        <v>61</v>
      </c>
      <c r="B4" s="6" t="s">
        <v>62</v>
      </c>
      <c r="C4" s="5" t="s">
        <v>63</v>
      </c>
      <c r="D4" s="6" t="s">
        <v>64</v>
      </c>
      <c r="E4" s="6" t="s">
        <v>65</v>
      </c>
      <c r="F4" s="6"/>
      <c r="G4" s="151" t="s">
        <v>4</v>
      </c>
      <c r="H4" s="152" t="s">
        <v>66</v>
      </c>
      <c r="I4" s="153" t="s">
        <v>67</v>
      </c>
      <c r="J4" s="136"/>
      <c r="K4" s="137"/>
      <c r="L4" s="35">
        <v>2</v>
      </c>
      <c r="M4" s="137"/>
      <c r="N4" s="137"/>
      <c r="O4" s="9">
        <f t="shared" ref="O4:O10" si="0">IF(OR(J4&lt;&gt;"",K4&lt;&gt;"",L4&lt;&gt;"",N4&lt;&gt;"",M4&lt;&gt;""),MAX(J4:N4),"")</f>
        <v>2</v>
      </c>
      <c r="P4" s="138" t="str">
        <f t="shared" ref="P4:P10" si="1">IF(J4="","",VLOOKUP(J4,Valor_Actiu_NivellENS,2,FALSE))</f>
        <v/>
      </c>
      <c r="Q4" s="138" t="str">
        <f t="shared" ref="Q4:Q10" si="2">IF(K4="","",VLOOKUP(K4,Valor_Actiu_NivellENS,2,FALSE))</f>
        <v/>
      </c>
      <c r="R4" s="76">
        <f t="shared" ref="R4:R10" si="3">IF(L4="","",VLOOKUP(L4,Valor_Actiu_NivellENS,2,FALSE))</f>
        <v>2</v>
      </c>
      <c r="S4" s="138" t="str">
        <f t="shared" ref="S4:S10" si="4">IF(M4="","",VLOOKUP(M4,Valor_Actiu_NivellENS,2,FALSE))</f>
        <v/>
      </c>
      <c r="T4" s="138" t="str">
        <f t="shared" ref="T4:T10" si="5">IF(N4="","",VLOOKUP(N4,Valor_Actiu_NivellENS,2,FALSE))</f>
        <v/>
      </c>
      <c r="U4" s="72">
        <f t="shared" ref="U4:U10" si="6">IF(OR(P4&lt;&gt;"",Q4&lt;&gt;"",R4&lt;&gt;"",T4&lt;&gt;"",S4&lt;&gt;""),MAX(P4:T4),"")</f>
        <v>2</v>
      </c>
      <c r="V4" s="73" t="str">
        <f t="shared" ref="V4:V10" si="7">VLOOKUP(U4,NivellENS_Categoria,2,FALSE)</f>
        <v>MEDIA</v>
      </c>
      <c r="W4" s="33"/>
      <c r="X4" s="10"/>
      <c r="Y4" s="10"/>
      <c r="Z4" s="10"/>
      <c r="AA4" s="10"/>
      <c r="AB4" s="10"/>
      <c r="AC4" s="10"/>
      <c r="AD4" s="10"/>
      <c r="AE4" s="10"/>
      <c r="AF4" s="10"/>
      <c r="AG4" s="10"/>
      <c r="AH4" s="10"/>
    </row>
    <row r="5" spans="1:34" ht="28.9" customHeight="1">
      <c r="A5" s="130" t="s">
        <v>68</v>
      </c>
      <c r="B5" s="6" t="s">
        <v>69</v>
      </c>
      <c r="C5" s="5" t="s">
        <v>63</v>
      </c>
      <c r="D5" s="6" t="s">
        <v>64</v>
      </c>
      <c r="E5" s="6" t="s">
        <v>70</v>
      </c>
      <c r="F5" s="6"/>
      <c r="G5" s="151" t="s">
        <v>71</v>
      </c>
      <c r="H5" s="152" t="s">
        <v>66</v>
      </c>
      <c r="I5" s="153" t="s">
        <v>67</v>
      </c>
      <c r="J5" s="136"/>
      <c r="K5" s="137"/>
      <c r="L5" s="35">
        <v>2</v>
      </c>
      <c r="M5" s="137"/>
      <c r="N5" s="137"/>
      <c r="O5" s="9">
        <f t="shared" si="0"/>
        <v>2</v>
      </c>
      <c r="P5" s="138" t="str">
        <f t="shared" si="1"/>
        <v/>
      </c>
      <c r="Q5" s="138" t="str">
        <f t="shared" si="2"/>
        <v/>
      </c>
      <c r="R5" s="76">
        <f t="shared" si="3"/>
        <v>2</v>
      </c>
      <c r="S5" s="138" t="str">
        <f t="shared" si="4"/>
        <v/>
      </c>
      <c r="T5" s="138" t="str">
        <f t="shared" si="5"/>
        <v/>
      </c>
      <c r="U5" s="72">
        <f t="shared" si="6"/>
        <v>2</v>
      </c>
      <c r="V5" s="73" t="str">
        <f t="shared" si="7"/>
        <v>MEDIA</v>
      </c>
      <c r="W5" s="33"/>
      <c r="X5" s="10"/>
      <c r="Y5" s="10"/>
      <c r="Z5" s="10"/>
      <c r="AA5" s="10"/>
      <c r="AB5" s="10"/>
      <c r="AC5" s="10"/>
      <c r="AD5" s="10"/>
      <c r="AE5" s="10"/>
      <c r="AF5" s="10"/>
      <c r="AG5" s="10"/>
      <c r="AH5" s="10"/>
    </row>
    <row r="6" spans="1:34" ht="28.9" customHeight="1">
      <c r="A6" s="130" t="s">
        <v>72</v>
      </c>
      <c r="B6" s="6" t="s">
        <v>73</v>
      </c>
      <c r="C6" s="5" t="s">
        <v>63</v>
      </c>
      <c r="D6" s="6" t="s">
        <v>74</v>
      </c>
      <c r="E6" s="6" t="s">
        <v>75</v>
      </c>
      <c r="F6" s="6"/>
      <c r="G6" s="151" t="s">
        <v>71</v>
      </c>
      <c r="H6" s="152" t="s">
        <v>76</v>
      </c>
      <c r="I6" s="153" t="s">
        <v>77</v>
      </c>
      <c r="J6" s="136"/>
      <c r="K6" s="137"/>
      <c r="L6" s="35">
        <v>3</v>
      </c>
      <c r="M6" s="137"/>
      <c r="N6" s="137"/>
      <c r="O6" s="9">
        <f t="shared" si="0"/>
        <v>3</v>
      </c>
      <c r="P6" s="138" t="str">
        <f t="shared" si="1"/>
        <v/>
      </c>
      <c r="Q6" s="138" t="str">
        <f t="shared" si="2"/>
        <v/>
      </c>
      <c r="R6" s="76">
        <f t="shared" si="3"/>
        <v>2</v>
      </c>
      <c r="S6" s="138" t="str">
        <f t="shared" si="4"/>
        <v/>
      </c>
      <c r="T6" s="138" t="str">
        <f t="shared" si="5"/>
        <v/>
      </c>
      <c r="U6" s="72">
        <f t="shared" si="6"/>
        <v>2</v>
      </c>
      <c r="V6" s="73" t="str">
        <f t="shared" si="7"/>
        <v>MEDIA</v>
      </c>
      <c r="W6" s="33"/>
      <c r="X6" s="10"/>
      <c r="Y6" s="10"/>
      <c r="Z6" s="10"/>
      <c r="AA6" s="10"/>
      <c r="AB6" s="10"/>
      <c r="AC6" s="10"/>
      <c r="AD6" s="10"/>
      <c r="AE6" s="10"/>
      <c r="AF6" s="10"/>
      <c r="AG6" s="10"/>
      <c r="AH6" s="10"/>
    </row>
    <row r="7" spans="1:34" ht="28.9" customHeight="1">
      <c r="A7" s="130" t="s">
        <v>78</v>
      </c>
      <c r="B7" s="6" t="s">
        <v>79</v>
      </c>
      <c r="C7" s="5" t="s">
        <v>63</v>
      </c>
      <c r="D7" s="6" t="s">
        <v>74</v>
      </c>
      <c r="E7" s="6" t="s">
        <v>80</v>
      </c>
      <c r="F7" s="6"/>
      <c r="G7" s="151" t="s">
        <v>71</v>
      </c>
      <c r="H7" s="152" t="s">
        <v>76</v>
      </c>
      <c r="I7" s="153" t="s">
        <v>77</v>
      </c>
      <c r="J7" s="136"/>
      <c r="K7" s="137"/>
      <c r="L7" s="35">
        <v>3</v>
      </c>
      <c r="M7" s="137"/>
      <c r="N7" s="137"/>
      <c r="O7" s="9">
        <f t="shared" si="0"/>
        <v>3</v>
      </c>
      <c r="P7" s="138" t="str">
        <f t="shared" si="1"/>
        <v/>
      </c>
      <c r="Q7" s="138" t="str">
        <f t="shared" si="2"/>
        <v/>
      </c>
      <c r="R7" s="76">
        <f t="shared" si="3"/>
        <v>2</v>
      </c>
      <c r="S7" s="138" t="str">
        <f t="shared" si="4"/>
        <v/>
      </c>
      <c r="T7" s="138" t="str">
        <f t="shared" si="5"/>
        <v/>
      </c>
      <c r="U7" s="72">
        <f t="shared" si="6"/>
        <v>2</v>
      </c>
      <c r="V7" s="73" t="str">
        <f t="shared" si="7"/>
        <v>MEDIA</v>
      </c>
      <c r="W7" s="33"/>
      <c r="X7" s="10"/>
      <c r="Y7" s="10"/>
      <c r="Z7" s="10"/>
      <c r="AA7" s="10"/>
      <c r="AB7" s="10"/>
      <c r="AC7" s="10"/>
      <c r="AD7" s="10"/>
      <c r="AE7" s="10"/>
      <c r="AF7" s="10"/>
      <c r="AG7" s="10"/>
      <c r="AH7" s="10"/>
    </row>
    <row r="8" spans="1:34" ht="55.15">
      <c r="A8" s="130" t="s">
        <v>81</v>
      </c>
      <c r="B8" s="6" t="s">
        <v>82</v>
      </c>
      <c r="C8" s="5" t="s">
        <v>83</v>
      </c>
      <c r="D8" s="6" t="s">
        <v>84</v>
      </c>
      <c r="E8" s="6" t="s">
        <v>85</v>
      </c>
      <c r="F8" s="6"/>
      <c r="G8" s="151" t="s">
        <v>4</v>
      </c>
      <c r="H8" s="152" t="s">
        <v>66</v>
      </c>
      <c r="I8" s="153" t="s">
        <v>86</v>
      </c>
      <c r="J8" s="136"/>
      <c r="K8" s="137"/>
      <c r="L8" s="35">
        <v>2</v>
      </c>
      <c r="M8" s="137"/>
      <c r="N8" s="137"/>
      <c r="O8" s="9">
        <f t="shared" si="0"/>
        <v>2</v>
      </c>
      <c r="P8" s="138" t="str">
        <f t="shared" si="1"/>
        <v/>
      </c>
      <c r="Q8" s="138" t="str">
        <f t="shared" si="2"/>
        <v/>
      </c>
      <c r="R8" s="76">
        <f t="shared" si="3"/>
        <v>2</v>
      </c>
      <c r="S8" s="138" t="str">
        <f t="shared" si="4"/>
        <v/>
      </c>
      <c r="T8" s="138" t="str">
        <f t="shared" si="5"/>
        <v/>
      </c>
      <c r="U8" s="72">
        <f t="shared" si="6"/>
        <v>2</v>
      </c>
      <c r="V8" s="73" t="str">
        <f t="shared" si="7"/>
        <v>MEDIA</v>
      </c>
      <c r="W8" s="33"/>
      <c r="X8" s="10"/>
      <c r="Y8" s="10"/>
      <c r="Z8" s="10"/>
      <c r="AA8" s="10"/>
      <c r="AB8" s="10"/>
      <c r="AC8" s="10"/>
      <c r="AD8" s="10"/>
      <c r="AE8" s="10"/>
      <c r="AF8" s="10"/>
      <c r="AG8" s="10"/>
      <c r="AH8" s="10"/>
    </row>
    <row r="9" spans="1:34" ht="28.9" customHeight="1">
      <c r="A9" s="130" t="s">
        <v>87</v>
      </c>
      <c r="B9" s="6" t="s">
        <v>88</v>
      </c>
      <c r="C9" s="5" t="s">
        <v>83</v>
      </c>
      <c r="D9" s="6" t="s">
        <v>89</v>
      </c>
      <c r="E9" s="6" t="s">
        <v>90</v>
      </c>
      <c r="F9" s="6" t="s">
        <v>91</v>
      </c>
      <c r="G9" s="151" t="s">
        <v>71</v>
      </c>
      <c r="H9" s="152" t="s">
        <v>76</v>
      </c>
      <c r="I9" s="153" t="s">
        <v>77</v>
      </c>
      <c r="J9" s="136"/>
      <c r="K9" s="137"/>
      <c r="L9" s="35">
        <v>3</v>
      </c>
      <c r="M9" s="137"/>
      <c r="N9" s="137"/>
      <c r="O9" s="9">
        <f t="shared" si="0"/>
        <v>3</v>
      </c>
      <c r="P9" s="138" t="str">
        <f t="shared" si="1"/>
        <v/>
      </c>
      <c r="Q9" s="138" t="str">
        <f t="shared" si="2"/>
        <v/>
      </c>
      <c r="R9" s="76">
        <f t="shared" si="3"/>
        <v>2</v>
      </c>
      <c r="S9" s="138" t="str">
        <f t="shared" si="4"/>
        <v/>
      </c>
      <c r="T9" s="138" t="str">
        <f t="shared" si="5"/>
        <v/>
      </c>
      <c r="U9" s="72">
        <f t="shared" si="6"/>
        <v>2</v>
      </c>
      <c r="V9" s="73" t="str">
        <f t="shared" si="7"/>
        <v>MEDIA</v>
      </c>
      <c r="W9" s="33"/>
      <c r="X9" s="10"/>
      <c r="Y9" s="10"/>
      <c r="Z9" s="10"/>
      <c r="AA9" s="10"/>
      <c r="AB9" s="10"/>
      <c r="AC9" s="10"/>
      <c r="AD9" s="10"/>
      <c r="AE9" s="10"/>
      <c r="AF9" s="10"/>
      <c r="AG9" s="10"/>
      <c r="AH9" s="10"/>
    </row>
    <row r="10" spans="1:34" ht="34.15" customHeight="1">
      <c r="A10" s="130" t="s">
        <v>92</v>
      </c>
      <c r="B10" s="6" t="s">
        <v>93</v>
      </c>
      <c r="C10" s="5" t="s">
        <v>83</v>
      </c>
      <c r="D10" s="6" t="s">
        <v>89</v>
      </c>
      <c r="E10" s="6" t="s">
        <v>94</v>
      </c>
      <c r="F10" s="6" t="s">
        <v>95</v>
      </c>
      <c r="G10" s="151" t="s">
        <v>71</v>
      </c>
      <c r="H10" s="152" t="s">
        <v>66</v>
      </c>
      <c r="I10" s="153" t="s">
        <v>67</v>
      </c>
      <c r="J10" s="136"/>
      <c r="K10" s="137"/>
      <c r="L10" s="35">
        <v>2</v>
      </c>
      <c r="M10" s="137"/>
      <c r="N10" s="137"/>
      <c r="O10" s="9">
        <f t="shared" si="0"/>
        <v>2</v>
      </c>
      <c r="P10" s="138" t="str">
        <f t="shared" si="1"/>
        <v/>
      </c>
      <c r="Q10" s="138" t="str">
        <f t="shared" si="2"/>
        <v/>
      </c>
      <c r="R10" s="76">
        <f t="shared" si="3"/>
        <v>2</v>
      </c>
      <c r="S10" s="138" t="str">
        <f t="shared" si="4"/>
        <v/>
      </c>
      <c r="T10" s="138" t="str">
        <f t="shared" si="5"/>
        <v/>
      </c>
      <c r="U10" s="72">
        <f t="shared" si="6"/>
        <v>2</v>
      </c>
      <c r="V10" s="74" t="str">
        <f t="shared" si="7"/>
        <v>MEDIA</v>
      </c>
      <c r="W10" s="33"/>
      <c r="X10" s="10"/>
      <c r="Y10" s="10"/>
      <c r="Z10" s="10"/>
      <c r="AA10" s="10"/>
      <c r="AB10" s="10"/>
      <c r="AC10" s="10"/>
      <c r="AD10" s="10"/>
      <c r="AE10" s="10"/>
      <c r="AF10" s="10"/>
      <c r="AG10" s="10"/>
      <c r="AH10" s="10"/>
    </row>
  </sheetData>
  <mergeCells count="7">
    <mergeCell ref="P2:V2"/>
    <mergeCell ref="J2:O2"/>
    <mergeCell ref="P1:V1"/>
    <mergeCell ref="A1:B1"/>
    <mergeCell ref="C1:G1"/>
    <mergeCell ref="H1:I1"/>
    <mergeCell ref="J1:O1"/>
  </mergeCells>
  <phoneticPr fontId="20" type="noConversion"/>
  <conditionalFormatting sqref="O4:O10">
    <cfRule type="colorScale" priority="4">
      <colorScale>
        <cfvo type="num" val="0"/>
        <cfvo type="num" val="3"/>
        <color rgb="FFFFEF9C"/>
        <color theme="5"/>
      </colorScale>
    </cfRule>
  </conditionalFormatting>
  <conditionalFormatting sqref="V4:V10">
    <cfRule type="cellIs" dxfId="32" priority="1" operator="equal">
      <formula>"ALTA"</formula>
    </cfRule>
    <cfRule type="cellIs" dxfId="31" priority="2" operator="equal">
      <formula>"BAJA"</formula>
    </cfRule>
    <cfRule type="cellIs" dxfId="30" priority="3" operator="equal">
      <formula>"MEDIA"</formula>
    </cfRule>
  </conditionalFormatting>
  <dataValidations count="2">
    <dataValidation type="list" allowBlank="1" showErrorMessage="1" sqref="C4:C10" xr:uid="{00000000-0002-0000-0200-000001000000}">
      <formula1>Capa</formula1>
    </dataValidation>
    <dataValidation type="list" allowBlank="1" showErrorMessage="1" sqref="J4:N10" xr:uid="{9AE1A7B2-6824-4333-A52E-445B21B3D008}">
      <formula1>Impacte</formula1>
    </dataValidation>
  </dataValidations>
  <pageMargins left="0.7" right="0.7" top="0.75" bottom="0.75" header="0" footer="0"/>
  <pageSetup scale="3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22"/>
  <sheetViews>
    <sheetView topLeftCell="A3" zoomScale="80" zoomScaleNormal="80" workbookViewId="0">
      <selection activeCell="C9" sqref="C9:C15"/>
    </sheetView>
  </sheetViews>
  <sheetFormatPr defaultColWidth="14.28515625" defaultRowHeight="15" customHeight="1"/>
  <cols>
    <col min="1" max="1" width="9.140625" customWidth="1"/>
    <col min="2" max="2" width="53.28515625" customWidth="1"/>
    <col min="3" max="3" width="28.28515625" customWidth="1"/>
    <col min="4" max="4" width="17.140625" customWidth="1"/>
    <col min="5" max="5" width="50.140625" customWidth="1"/>
    <col min="6" max="6" width="54" customWidth="1"/>
    <col min="7" max="7" width="23.42578125" customWidth="1"/>
    <col min="8" max="8" width="10.85546875" style="29" customWidth="1"/>
    <col min="9" max="9" width="17.28515625" customWidth="1"/>
    <col min="10" max="10" width="9.140625" customWidth="1"/>
    <col min="11" max="11" width="8.140625" customWidth="1"/>
    <col min="12" max="12" width="8" customWidth="1"/>
    <col min="13" max="14" width="8.140625" customWidth="1"/>
    <col min="15" max="15" width="14.140625" customWidth="1"/>
    <col min="16" max="20" width="7.7109375" style="63" customWidth="1"/>
    <col min="21" max="22" width="11.28515625" style="63" customWidth="1"/>
    <col min="23" max="23" width="42.28515625" customWidth="1"/>
    <col min="24" max="34" width="9.140625" customWidth="1"/>
  </cols>
  <sheetData>
    <row r="1" spans="1:34" ht="52.9" customHeight="1">
      <c r="A1" s="211"/>
      <c r="B1" s="256"/>
      <c r="C1" s="211" t="s">
        <v>96</v>
      </c>
      <c r="D1" s="252"/>
      <c r="E1" s="252"/>
      <c r="F1" s="252"/>
      <c r="G1" s="8"/>
      <c r="H1" s="41"/>
      <c r="I1" s="41"/>
      <c r="J1" s="133"/>
      <c r="K1" s="215"/>
      <c r="L1" s="215"/>
      <c r="M1" s="215"/>
      <c r="N1" s="215"/>
      <c r="O1" s="215"/>
      <c r="P1" s="209"/>
      <c r="Q1" s="209"/>
      <c r="R1" s="209"/>
      <c r="S1" s="209"/>
      <c r="T1" s="209"/>
      <c r="U1" s="209"/>
      <c r="V1" s="209"/>
      <c r="W1" s="46"/>
    </row>
    <row r="2" spans="1:34" ht="52.9" customHeight="1">
      <c r="A2" s="53"/>
      <c r="B2" s="41"/>
      <c r="C2" s="52"/>
      <c r="D2" s="41"/>
      <c r="E2" s="41"/>
      <c r="F2" s="41"/>
      <c r="G2" s="8"/>
      <c r="H2" s="41"/>
      <c r="I2" s="41"/>
      <c r="J2" s="213" t="s">
        <v>49</v>
      </c>
      <c r="K2" s="257"/>
      <c r="L2" s="257"/>
      <c r="M2" s="257"/>
      <c r="N2" s="257"/>
      <c r="O2" s="257"/>
      <c r="P2" s="214" t="s">
        <v>50</v>
      </c>
      <c r="Q2" s="258"/>
      <c r="R2" s="258"/>
      <c r="S2" s="258"/>
      <c r="T2" s="258"/>
      <c r="U2" s="258"/>
      <c r="V2" s="258"/>
      <c r="W2" s="46"/>
    </row>
    <row r="3" spans="1:34" s="2" customFormat="1" ht="94.9" customHeight="1">
      <c r="A3" s="99" t="s">
        <v>18</v>
      </c>
      <c r="B3" s="99" t="s">
        <v>24</v>
      </c>
      <c r="C3" s="99" t="s">
        <v>26</v>
      </c>
      <c r="D3" s="99" t="s">
        <v>32</v>
      </c>
      <c r="E3" s="99" t="s">
        <v>30</v>
      </c>
      <c r="F3" s="99" t="s">
        <v>28</v>
      </c>
      <c r="G3" s="103" t="s">
        <v>97</v>
      </c>
      <c r="H3" s="104" t="s">
        <v>98</v>
      </c>
      <c r="I3" s="156" t="s">
        <v>99</v>
      </c>
      <c r="J3" s="160" t="s">
        <v>34</v>
      </c>
      <c r="K3" s="161" t="s">
        <v>54</v>
      </c>
      <c r="L3" s="161" t="s">
        <v>55</v>
      </c>
      <c r="M3" s="161" t="s">
        <v>56</v>
      </c>
      <c r="N3" s="161" t="s">
        <v>57</v>
      </c>
      <c r="O3" s="162" t="s">
        <v>58</v>
      </c>
      <c r="P3" s="108" t="s">
        <v>34</v>
      </c>
      <c r="Q3" s="109" t="s">
        <v>54</v>
      </c>
      <c r="R3" s="109" t="s">
        <v>55</v>
      </c>
      <c r="S3" s="109" t="s">
        <v>56</v>
      </c>
      <c r="T3" s="109" t="s">
        <v>57</v>
      </c>
      <c r="U3" s="110" t="s">
        <v>59</v>
      </c>
      <c r="V3" s="159" t="s">
        <v>60</v>
      </c>
      <c r="W3" s="119" t="s">
        <v>44</v>
      </c>
      <c r="X3" s="3"/>
      <c r="Y3" s="3"/>
      <c r="Z3" s="3"/>
      <c r="AA3" s="3"/>
      <c r="AB3" s="3"/>
      <c r="AC3" s="3"/>
      <c r="AD3" s="3"/>
      <c r="AE3" s="3"/>
      <c r="AF3" s="3"/>
      <c r="AG3" s="3"/>
      <c r="AH3" s="3"/>
    </row>
    <row r="4" spans="1:34" s="45" customFormat="1" ht="30.6" customHeight="1">
      <c r="A4" s="42" t="s">
        <v>100</v>
      </c>
      <c r="B4" s="14" t="s">
        <v>101</v>
      </c>
      <c r="C4" s="30" t="s">
        <v>102</v>
      </c>
      <c r="D4" s="14" t="s">
        <v>103</v>
      </c>
      <c r="E4" s="30" t="s">
        <v>104</v>
      </c>
      <c r="F4" s="30" t="s">
        <v>105</v>
      </c>
      <c r="G4" s="32" t="s">
        <v>4</v>
      </c>
      <c r="H4" s="34" t="s">
        <v>106</v>
      </c>
      <c r="I4" s="157" t="s">
        <v>107</v>
      </c>
      <c r="J4" s="34">
        <v>0</v>
      </c>
      <c r="K4" s="35">
        <v>1</v>
      </c>
      <c r="L4" s="137"/>
      <c r="M4" s="35">
        <v>2</v>
      </c>
      <c r="N4" s="35">
        <v>1</v>
      </c>
      <c r="O4" s="9">
        <f t="shared" ref="O4:O22" si="0">IF(OR(J4&lt;&gt;"",K4&lt;&gt;"",L4&lt;&gt;"",N4&lt;&gt;"",M4&lt;&gt;""),MAX(J4:N4),"")</f>
        <v>2</v>
      </c>
      <c r="P4" s="76">
        <f t="shared" ref="P4" si="1">IF(J4="","",VLOOKUP(J4,Valor_Actiu_NivellENS,2,FALSE))</f>
        <v>1</v>
      </c>
      <c r="Q4" s="76">
        <f t="shared" ref="Q4" si="2">IF(K4="","",VLOOKUP(K4,Valor_Actiu_NivellENS,2,FALSE))</f>
        <v>1</v>
      </c>
      <c r="R4" s="138" t="str">
        <f t="shared" ref="R4" si="3">IF(L4="","",VLOOKUP(L4,Valor_Actiu_NivellENS,2,FALSE))</f>
        <v/>
      </c>
      <c r="S4" s="76">
        <f t="shared" ref="S4" si="4">IF(M4="","",VLOOKUP(M4,Valor_Actiu_NivellENS,2,FALSE))</f>
        <v>2</v>
      </c>
      <c r="T4" s="76">
        <f t="shared" ref="T4" si="5">IF(N4="","",VLOOKUP(N4,Valor_Actiu_NivellENS,2,FALSE))</f>
        <v>1</v>
      </c>
      <c r="U4" s="72">
        <f t="shared" ref="U4:U22" si="6">IF(OR(P4&lt;&gt;"",Q4&lt;&gt;"",R4&lt;&gt;"",T4&lt;&gt;"",S4&lt;&gt;""),MAX(P4:T4),"")</f>
        <v>2</v>
      </c>
      <c r="V4" s="73" t="str">
        <f t="shared" ref="V4" si="7">VLOOKUP(U4,NivellENS_Categoria,2,FALSE)</f>
        <v>MEDIA</v>
      </c>
      <c r="W4" s="14"/>
      <c r="X4" s="44"/>
      <c r="Y4" s="44"/>
      <c r="Z4" s="44"/>
      <c r="AA4" s="44"/>
      <c r="AB4" s="44"/>
      <c r="AC4" s="44"/>
      <c r="AD4" s="44"/>
      <c r="AE4" s="44"/>
      <c r="AF4" s="44"/>
      <c r="AG4" s="44"/>
      <c r="AH4" s="44"/>
    </row>
    <row r="5" spans="1:34" s="45" customFormat="1" ht="30.6" customHeight="1">
      <c r="A5" s="42" t="s">
        <v>108</v>
      </c>
      <c r="B5" s="14" t="s">
        <v>109</v>
      </c>
      <c r="C5" s="30" t="s">
        <v>102</v>
      </c>
      <c r="D5" s="14" t="s">
        <v>110</v>
      </c>
      <c r="E5" s="30" t="s">
        <v>111</v>
      </c>
      <c r="F5" s="30" t="s">
        <v>105</v>
      </c>
      <c r="G5" s="32" t="s">
        <v>4</v>
      </c>
      <c r="H5" s="34" t="s">
        <v>66</v>
      </c>
      <c r="I5" s="157" t="s">
        <v>112</v>
      </c>
      <c r="J5" s="34">
        <v>2</v>
      </c>
      <c r="K5" s="35">
        <v>3</v>
      </c>
      <c r="L5" s="137"/>
      <c r="M5" s="35">
        <v>3</v>
      </c>
      <c r="N5" s="35">
        <v>2</v>
      </c>
      <c r="O5" s="9">
        <f t="shared" si="0"/>
        <v>3</v>
      </c>
      <c r="P5" s="76">
        <f t="shared" ref="P5:P22" si="8">IF(J5="","",VLOOKUP(J5,Valor_Actiu_NivellENS,2,FALSE))</f>
        <v>2</v>
      </c>
      <c r="Q5" s="76">
        <f t="shared" ref="Q5:Q22" si="9">IF(K5="","",VLOOKUP(K5,Valor_Actiu_NivellENS,2,FALSE))</f>
        <v>2</v>
      </c>
      <c r="R5" s="138" t="str">
        <f t="shared" ref="R5:R22" si="10">IF(L5="","",VLOOKUP(L5,Valor_Actiu_NivellENS,2,FALSE))</f>
        <v/>
      </c>
      <c r="S5" s="76">
        <f t="shared" ref="S5:S22" si="11">IF(M5="","",VLOOKUP(M5,Valor_Actiu_NivellENS,2,FALSE))</f>
        <v>2</v>
      </c>
      <c r="T5" s="76">
        <f t="shared" ref="T5:T22" si="12">IF(N5="","",VLOOKUP(N5,Valor_Actiu_NivellENS,2,FALSE))</f>
        <v>2</v>
      </c>
      <c r="U5" s="72">
        <f t="shared" si="6"/>
        <v>2</v>
      </c>
      <c r="V5" s="73" t="str">
        <f t="shared" ref="V5:V22" si="13">VLOOKUP(U5,NivellENS_Categoria,2,FALSE)</f>
        <v>MEDIA</v>
      </c>
      <c r="W5" s="14"/>
      <c r="X5" s="44"/>
      <c r="Y5" s="44"/>
      <c r="Z5" s="44"/>
      <c r="AA5" s="44"/>
      <c r="AB5" s="44"/>
      <c r="AC5" s="44"/>
      <c r="AD5" s="44"/>
      <c r="AE5" s="44"/>
      <c r="AF5" s="44"/>
      <c r="AG5" s="44"/>
      <c r="AH5" s="44"/>
    </row>
    <row r="6" spans="1:34" s="45" customFormat="1" ht="30.6" customHeight="1">
      <c r="A6" s="42" t="s">
        <v>113</v>
      </c>
      <c r="B6" s="14" t="s">
        <v>114</v>
      </c>
      <c r="C6" s="30" t="s">
        <v>102</v>
      </c>
      <c r="D6" s="14" t="s">
        <v>110</v>
      </c>
      <c r="E6" s="30" t="s">
        <v>115</v>
      </c>
      <c r="F6" s="30" t="s">
        <v>105</v>
      </c>
      <c r="G6" s="32" t="s">
        <v>4</v>
      </c>
      <c r="H6" s="34" t="s">
        <v>66</v>
      </c>
      <c r="I6" s="157" t="s">
        <v>112</v>
      </c>
      <c r="J6" s="34">
        <v>2</v>
      </c>
      <c r="K6" s="35">
        <v>3</v>
      </c>
      <c r="L6" s="137"/>
      <c r="M6" s="35">
        <v>3</v>
      </c>
      <c r="N6" s="35">
        <v>3</v>
      </c>
      <c r="O6" s="9">
        <f t="shared" si="0"/>
        <v>3</v>
      </c>
      <c r="P6" s="76">
        <f t="shared" si="8"/>
        <v>2</v>
      </c>
      <c r="Q6" s="76">
        <f t="shared" si="9"/>
        <v>2</v>
      </c>
      <c r="R6" s="138" t="str">
        <f t="shared" si="10"/>
        <v/>
      </c>
      <c r="S6" s="76">
        <f t="shared" si="11"/>
        <v>2</v>
      </c>
      <c r="T6" s="76">
        <f t="shared" si="12"/>
        <v>2</v>
      </c>
      <c r="U6" s="72">
        <f t="shared" si="6"/>
        <v>2</v>
      </c>
      <c r="V6" s="73" t="str">
        <f t="shared" si="13"/>
        <v>MEDIA</v>
      </c>
      <c r="W6" s="14"/>
      <c r="X6" s="44"/>
      <c r="Y6" s="44"/>
      <c r="Z6" s="44"/>
      <c r="AA6" s="44"/>
      <c r="AB6" s="44"/>
      <c r="AC6" s="44"/>
      <c r="AD6" s="44"/>
      <c r="AE6" s="44"/>
      <c r="AF6" s="44"/>
      <c r="AG6" s="44"/>
      <c r="AH6" s="44"/>
    </row>
    <row r="7" spans="1:34" s="45" customFormat="1" ht="30.6" customHeight="1">
      <c r="A7" s="42" t="s">
        <v>116</v>
      </c>
      <c r="B7" s="14" t="s">
        <v>117</v>
      </c>
      <c r="C7" s="30" t="s">
        <v>102</v>
      </c>
      <c r="D7" s="14" t="s">
        <v>103</v>
      </c>
      <c r="E7" s="30" t="s">
        <v>118</v>
      </c>
      <c r="F7" s="30" t="s">
        <v>105</v>
      </c>
      <c r="G7" s="32" t="s">
        <v>4</v>
      </c>
      <c r="H7" s="34" t="s">
        <v>66</v>
      </c>
      <c r="I7" s="157" t="s">
        <v>112</v>
      </c>
      <c r="J7" s="34">
        <v>2</v>
      </c>
      <c r="K7" s="35">
        <v>2</v>
      </c>
      <c r="L7" s="137"/>
      <c r="M7" s="35">
        <v>2</v>
      </c>
      <c r="N7" s="35">
        <v>2</v>
      </c>
      <c r="O7" s="9">
        <f t="shared" si="0"/>
        <v>2</v>
      </c>
      <c r="P7" s="76">
        <f t="shared" si="8"/>
        <v>2</v>
      </c>
      <c r="Q7" s="76">
        <f t="shared" si="9"/>
        <v>2</v>
      </c>
      <c r="R7" s="138" t="str">
        <f t="shared" si="10"/>
        <v/>
      </c>
      <c r="S7" s="76">
        <f t="shared" si="11"/>
        <v>2</v>
      </c>
      <c r="T7" s="76">
        <f t="shared" si="12"/>
        <v>2</v>
      </c>
      <c r="U7" s="72">
        <f t="shared" si="6"/>
        <v>2</v>
      </c>
      <c r="V7" s="73" t="str">
        <f t="shared" si="13"/>
        <v>MEDIA</v>
      </c>
      <c r="W7" s="14"/>
      <c r="X7" s="44"/>
      <c r="Y7" s="44"/>
      <c r="Z7" s="44"/>
      <c r="AA7" s="44"/>
      <c r="AB7" s="44"/>
      <c r="AC7" s="44"/>
      <c r="AD7" s="44"/>
      <c r="AE7" s="44"/>
      <c r="AF7" s="44"/>
      <c r="AG7" s="44"/>
      <c r="AH7" s="44"/>
    </row>
    <row r="8" spans="1:34" s="45" customFormat="1" ht="30.6" customHeight="1">
      <c r="A8" s="42" t="s">
        <v>119</v>
      </c>
      <c r="B8" s="14" t="s">
        <v>120</v>
      </c>
      <c r="C8" s="30" t="s">
        <v>102</v>
      </c>
      <c r="D8" s="14" t="s">
        <v>110</v>
      </c>
      <c r="E8" s="30" t="s">
        <v>121</v>
      </c>
      <c r="F8" s="30" t="s">
        <v>105</v>
      </c>
      <c r="G8" s="32" t="s">
        <v>4</v>
      </c>
      <c r="H8" s="34" t="s">
        <v>66</v>
      </c>
      <c r="I8" s="157" t="s">
        <v>112</v>
      </c>
      <c r="J8" s="34">
        <v>2</v>
      </c>
      <c r="K8" s="35">
        <v>3</v>
      </c>
      <c r="L8" s="137"/>
      <c r="M8" s="35">
        <v>3</v>
      </c>
      <c r="N8" s="35">
        <v>3</v>
      </c>
      <c r="O8" s="9">
        <f t="shared" si="0"/>
        <v>3</v>
      </c>
      <c r="P8" s="76">
        <f t="shared" si="8"/>
        <v>2</v>
      </c>
      <c r="Q8" s="76">
        <f t="shared" si="9"/>
        <v>2</v>
      </c>
      <c r="R8" s="138" t="str">
        <f t="shared" si="10"/>
        <v/>
      </c>
      <c r="S8" s="76">
        <f t="shared" si="11"/>
        <v>2</v>
      </c>
      <c r="T8" s="76">
        <f t="shared" si="12"/>
        <v>2</v>
      </c>
      <c r="U8" s="72">
        <f t="shared" si="6"/>
        <v>2</v>
      </c>
      <c r="V8" s="73" t="str">
        <f t="shared" si="13"/>
        <v>MEDIA</v>
      </c>
      <c r="W8" s="14"/>
      <c r="X8" s="44"/>
      <c r="Y8" s="44"/>
      <c r="Z8" s="44"/>
      <c r="AA8" s="44"/>
      <c r="AB8" s="44"/>
      <c r="AC8" s="44"/>
      <c r="AD8" s="44"/>
      <c r="AE8" s="44"/>
      <c r="AF8" s="44"/>
      <c r="AG8" s="44"/>
      <c r="AH8" s="44"/>
    </row>
    <row r="9" spans="1:34" s="45" customFormat="1" ht="30.6" customHeight="1">
      <c r="A9" s="42" t="s">
        <v>122</v>
      </c>
      <c r="B9" s="14" t="s">
        <v>123</v>
      </c>
      <c r="C9" s="30" t="s">
        <v>124</v>
      </c>
      <c r="D9" s="14" t="s">
        <v>103</v>
      </c>
      <c r="E9" s="30" t="s">
        <v>125</v>
      </c>
      <c r="F9" s="30" t="s">
        <v>126</v>
      </c>
      <c r="G9" s="32" t="s">
        <v>71</v>
      </c>
      <c r="H9" s="34" t="s">
        <v>67</v>
      </c>
      <c r="I9" s="157" t="s">
        <v>112</v>
      </c>
      <c r="J9" s="34">
        <v>2</v>
      </c>
      <c r="K9" s="35">
        <v>2</v>
      </c>
      <c r="L9" s="137"/>
      <c r="M9" s="35">
        <v>2</v>
      </c>
      <c r="N9" s="35">
        <v>1</v>
      </c>
      <c r="O9" s="9">
        <f t="shared" si="0"/>
        <v>2</v>
      </c>
      <c r="P9" s="76">
        <f t="shared" si="8"/>
        <v>2</v>
      </c>
      <c r="Q9" s="76">
        <f t="shared" si="9"/>
        <v>2</v>
      </c>
      <c r="R9" s="138" t="str">
        <f t="shared" si="10"/>
        <v/>
      </c>
      <c r="S9" s="76">
        <f t="shared" si="11"/>
        <v>2</v>
      </c>
      <c r="T9" s="76">
        <f t="shared" si="12"/>
        <v>1</v>
      </c>
      <c r="U9" s="72">
        <f t="shared" si="6"/>
        <v>2</v>
      </c>
      <c r="V9" s="73" t="str">
        <f t="shared" si="13"/>
        <v>MEDIA</v>
      </c>
      <c r="W9" s="14"/>
      <c r="X9" s="44"/>
      <c r="Y9" s="44"/>
      <c r="Z9" s="44"/>
      <c r="AA9" s="44"/>
      <c r="AB9" s="44"/>
      <c r="AC9" s="44"/>
      <c r="AD9" s="44"/>
      <c r="AE9" s="44"/>
      <c r="AF9" s="44"/>
      <c r="AG9" s="44"/>
      <c r="AH9" s="44"/>
    </row>
    <row r="10" spans="1:34" s="45" customFormat="1" ht="30.6" customHeight="1">
      <c r="A10" s="42" t="s">
        <v>127</v>
      </c>
      <c r="B10" s="14" t="s">
        <v>128</v>
      </c>
      <c r="C10" s="30" t="s">
        <v>124</v>
      </c>
      <c r="D10" s="14" t="s">
        <v>103</v>
      </c>
      <c r="E10" s="30" t="s">
        <v>129</v>
      </c>
      <c r="F10" s="30" t="s">
        <v>126</v>
      </c>
      <c r="G10" s="32" t="s">
        <v>71</v>
      </c>
      <c r="H10" s="34" t="s">
        <v>76</v>
      </c>
      <c r="I10" s="157" t="s">
        <v>112</v>
      </c>
      <c r="J10" s="34">
        <v>2</v>
      </c>
      <c r="K10" s="35">
        <v>2</v>
      </c>
      <c r="L10" s="137"/>
      <c r="M10" s="35">
        <v>2</v>
      </c>
      <c r="N10" s="35">
        <v>3</v>
      </c>
      <c r="O10" s="9">
        <f t="shared" si="0"/>
        <v>3</v>
      </c>
      <c r="P10" s="76">
        <f t="shared" si="8"/>
        <v>2</v>
      </c>
      <c r="Q10" s="76">
        <f t="shared" si="9"/>
        <v>2</v>
      </c>
      <c r="R10" s="138" t="str">
        <f t="shared" si="10"/>
        <v/>
      </c>
      <c r="S10" s="76">
        <f t="shared" si="11"/>
        <v>2</v>
      </c>
      <c r="T10" s="76">
        <f t="shared" si="12"/>
        <v>2</v>
      </c>
      <c r="U10" s="72">
        <f t="shared" si="6"/>
        <v>2</v>
      </c>
      <c r="V10" s="73" t="str">
        <f t="shared" si="13"/>
        <v>MEDIA</v>
      </c>
      <c r="W10" s="14"/>
      <c r="X10" s="44"/>
      <c r="Y10" s="44"/>
      <c r="Z10" s="44"/>
      <c r="AA10" s="44"/>
      <c r="AB10" s="44"/>
      <c r="AC10" s="44"/>
      <c r="AD10" s="44"/>
      <c r="AE10" s="44"/>
      <c r="AF10" s="44"/>
      <c r="AG10" s="44"/>
      <c r="AH10" s="44"/>
    </row>
    <row r="11" spans="1:34" s="45" customFormat="1" ht="30.6" customHeight="1">
      <c r="A11" s="42" t="s">
        <v>130</v>
      </c>
      <c r="B11" s="14" t="s">
        <v>131</v>
      </c>
      <c r="C11" s="30" t="s">
        <v>124</v>
      </c>
      <c r="D11" s="14" t="s">
        <v>103</v>
      </c>
      <c r="E11" s="30" t="s">
        <v>132</v>
      </c>
      <c r="F11" s="30" t="s">
        <v>126</v>
      </c>
      <c r="G11" s="32" t="s">
        <v>71</v>
      </c>
      <c r="H11" s="34" t="s">
        <v>133</v>
      </c>
      <c r="I11" s="157" t="s">
        <v>112</v>
      </c>
      <c r="J11" s="34">
        <v>3</v>
      </c>
      <c r="K11" s="35">
        <v>2</v>
      </c>
      <c r="L11" s="137"/>
      <c r="M11" s="35">
        <v>2</v>
      </c>
      <c r="N11" s="35">
        <v>2</v>
      </c>
      <c r="O11" s="9">
        <f t="shared" si="0"/>
        <v>3</v>
      </c>
      <c r="P11" s="76">
        <f t="shared" si="8"/>
        <v>2</v>
      </c>
      <c r="Q11" s="76">
        <f t="shared" si="9"/>
        <v>2</v>
      </c>
      <c r="R11" s="138" t="str">
        <f t="shared" si="10"/>
        <v/>
      </c>
      <c r="S11" s="76">
        <f t="shared" si="11"/>
        <v>2</v>
      </c>
      <c r="T11" s="76">
        <f t="shared" si="12"/>
        <v>2</v>
      </c>
      <c r="U11" s="72">
        <f t="shared" si="6"/>
        <v>2</v>
      </c>
      <c r="V11" s="73" t="str">
        <f t="shared" si="13"/>
        <v>MEDIA</v>
      </c>
      <c r="W11" s="14"/>
      <c r="X11" s="44"/>
      <c r="Y11" s="44"/>
      <c r="Z11" s="44"/>
      <c r="AA11" s="44"/>
      <c r="AB11" s="44"/>
      <c r="AC11" s="44"/>
      <c r="AD11" s="44"/>
      <c r="AE11" s="44"/>
      <c r="AF11" s="44"/>
      <c r="AG11" s="44"/>
      <c r="AH11" s="44"/>
    </row>
    <row r="12" spans="1:34" s="45" customFormat="1" ht="30.6" customHeight="1">
      <c r="A12" s="42" t="s">
        <v>134</v>
      </c>
      <c r="B12" s="14" t="s">
        <v>135</v>
      </c>
      <c r="C12" s="30" t="s">
        <v>124</v>
      </c>
      <c r="D12" s="14" t="s">
        <v>103</v>
      </c>
      <c r="E12" s="30" t="s">
        <v>136</v>
      </c>
      <c r="F12" s="30" t="s">
        <v>126</v>
      </c>
      <c r="G12" s="32" t="s">
        <v>71</v>
      </c>
      <c r="H12" s="34" t="s">
        <v>66</v>
      </c>
      <c r="I12" s="157" t="s">
        <v>137</v>
      </c>
      <c r="J12" s="34">
        <v>1</v>
      </c>
      <c r="K12" s="35">
        <v>2</v>
      </c>
      <c r="L12" s="137"/>
      <c r="M12" s="35">
        <v>2</v>
      </c>
      <c r="N12" s="35">
        <v>2</v>
      </c>
      <c r="O12" s="9">
        <f t="shared" si="0"/>
        <v>2</v>
      </c>
      <c r="P12" s="76">
        <f t="shared" si="8"/>
        <v>1</v>
      </c>
      <c r="Q12" s="76">
        <f t="shared" si="9"/>
        <v>2</v>
      </c>
      <c r="R12" s="138" t="str">
        <f t="shared" si="10"/>
        <v/>
      </c>
      <c r="S12" s="76">
        <f t="shared" si="11"/>
        <v>2</v>
      </c>
      <c r="T12" s="76">
        <f t="shared" si="12"/>
        <v>2</v>
      </c>
      <c r="U12" s="72">
        <f t="shared" si="6"/>
        <v>2</v>
      </c>
      <c r="V12" s="73" t="str">
        <f t="shared" si="13"/>
        <v>MEDIA</v>
      </c>
      <c r="W12" s="14"/>
      <c r="X12" s="44"/>
      <c r="Y12" s="44"/>
      <c r="Z12" s="44"/>
      <c r="AA12" s="44"/>
      <c r="AB12" s="44"/>
      <c r="AC12" s="44"/>
      <c r="AD12" s="44"/>
      <c r="AE12" s="44"/>
      <c r="AF12" s="44"/>
      <c r="AG12" s="44"/>
      <c r="AH12" s="44"/>
    </row>
    <row r="13" spans="1:34" s="45" customFormat="1" ht="30.6" customHeight="1">
      <c r="A13" s="42" t="s">
        <v>138</v>
      </c>
      <c r="B13" s="14" t="s">
        <v>139</v>
      </c>
      <c r="C13" s="30" t="s">
        <v>124</v>
      </c>
      <c r="D13" s="14" t="s">
        <v>103</v>
      </c>
      <c r="E13" s="30" t="s">
        <v>140</v>
      </c>
      <c r="F13" s="30" t="s">
        <v>126</v>
      </c>
      <c r="G13" s="32" t="s">
        <v>71</v>
      </c>
      <c r="H13" s="34" t="s">
        <v>66</v>
      </c>
      <c r="I13" s="157" t="s">
        <v>112</v>
      </c>
      <c r="J13" s="34">
        <v>2</v>
      </c>
      <c r="K13" s="35">
        <v>2</v>
      </c>
      <c r="L13" s="137"/>
      <c r="M13" s="35">
        <v>2</v>
      </c>
      <c r="N13" s="35">
        <v>2</v>
      </c>
      <c r="O13" s="9">
        <f t="shared" si="0"/>
        <v>2</v>
      </c>
      <c r="P13" s="76">
        <f t="shared" si="8"/>
        <v>2</v>
      </c>
      <c r="Q13" s="76">
        <f t="shared" si="9"/>
        <v>2</v>
      </c>
      <c r="R13" s="138" t="str">
        <f t="shared" si="10"/>
        <v/>
      </c>
      <c r="S13" s="76">
        <f t="shared" si="11"/>
        <v>2</v>
      </c>
      <c r="T13" s="76">
        <f t="shared" si="12"/>
        <v>2</v>
      </c>
      <c r="U13" s="72">
        <f t="shared" si="6"/>
        <v>2</v>
      </c>
      <c r="V13" s="73" t="str">
        <f t="shared" si="13"/>
        <v>MEDIA</v>
      </c>
      <c r="W13" s="14"/>
      <c r="X13" s="44"/>
      <c r="Y13" s="44"/>
      <c r="Z13" s="44"/>
      <c r="AA13" s="44"/>
      <c r="AB13" s="44"/>
      <c r="AC13" s="44"/>
      <c r="AD13" s="44"/>
      <c r="AE13" s="44"/>
      <c r="AF13" s="44"/>
      <c r="AG13" s="44"/>
      <c r="AH13" s="44"/>
    </row>
    <row r="14" spans="1:34" s="45" customFormat="1" ht="30.6" customHeight="1">
      <c r="A14" s="42" t="s">
        <v>141</v>
      </c>
      <c r="B14" s="14" t="s">
        <v>142</v>
      </c>
      <c r="C14" s="30" t="s">
        <v>124</v>
      </c>
      <c r="D14" s="14" t="s">
        <v>103</v>
      </c>
      <c r="E14" s="30" t="s">
        <v>143</v>
      </c>
      <c r="F14" s="30" t="s">
        <v>126</v>
      </c>
      <c r="G14" s="32" t="s">
        <v>71</v>
      </c>
      <c r="H14" s="34" t="s">
        <v>66</v>
      </c>
      <c r="I14" s="157" t="s">
        <v>137</v>
      </c>
      <c r="J14" s="34">
        <v>1</v>
      </c>
      <c r="K14" s="35">
        <v>2</v>
      </c>
      <c r="L14" s="137"/>
      <c r="M14" s="35">
        <v>2</v>
      </c>
      <c r="N14" s="35">
        <v>2</v>
      </c>
      <c r="O14" s="9">
        <f t="shared" si="0"/>
        <v>2</v>
      </c>
      <c r="P14" s="76">
        <f t="shared" si="8"/>
        <v>1</v>
      </c>
      <c r="Q14" s="76">
        <f t="shared" si="9"/>
        <v>2</v>
      </c>
      <c r="R14" s="138" t="str">
        <f t="shared" si="10"/>
        <v/>
      </c>
      <c r="S14" s="76">
        <f t="shared" si="11"/>
        <v>2</v>
      </c>
      <c r="T14" s="76">
        <f t="shared" si="12"/>
        <v>2</v>
      </c>
      <c r="U14" s="72">
        <f t="shared" si="6"/>
        <v>2</v>
      </c>
      <c r="V14" s="73" t="str">
        <f t="shared" si="13"/>
        <v>MEDIA</v>
      </c>
      <c r="W14" s="14"/>
      <c r="X14" s="44"/>
      <c r="Y14" s="44"/>
      <c r="Z14" s="44"/>
      <c r="AA14" s="44"/>
      <c r="AB14" s="44"/>
      <c r="AC14" s="44"/>
      <c r="AD14" s="44"/>
      <c r="AE14" s="44"/>
      <c r="AF14" s="44"/>
      <c r="AG14" s="44"/>
      <c r="AH14" s="44"/>
    </row>
    <row r="15" spans="1:34" s="45" customFormat="1" ht="30.6" customHeight="1">
      <c r="A15" s="42" t="s">
        <v>144</v>
      </c>
      <c r="B15" s="14" t="s">
        <v>145</v>
      </c>
      <c r="C15" s="30" t="s">
        <v>124</v>
      </c>
      <c r="D15" s="14" t="s">
        <v>103</v>
      </c>
      <c r="E15" s="30" t="s">
        <v>146</v>
      </c>
      <c r="F15" s="30" t="s">
        <v>147</v>
      </c>
      <c r="G15" s="32" t="s">
        <v>71</v>
      </c>
      <c r="H15" s="34" t="s">
        <v>66</v>
      </c>
      <c r="I15" s="157" t="s">
        <v>137</v>
      </c>
      <c r="J15" s="34">
        <v>1</v>
      </c>
      <c r="K15" s="35">
        <v>2</v>
      </c>
      <c r="L15" s="137"/>
      <c r="M15" s="35">
        <v>2</v>
      </c>
      <c r="N15" s="35">
        <v>2</v>
      </c>
      <c r="O15" s="9">
        <f t="shared" si="0"/>
        <v>2</v>
      </c>
      <c r="P15" s="76">
        <f t="shared" si="8"/>
        <v>1</v>
      </c>
      <c r="Q15" s="76">
        <f t="shared" si="9"/>
        <v>2</v>
      </c>
      <c r="R15" s="138" t="str">
        <f t="shared" si="10"/>
        <v/>
      </c>
      <c r="S15" s="76">
        <f t="shared" si="11"/>
        <v>2</v>
      </c>
      <c r="T15" s="76">
        <f t="shared" si="12"/>
        <v>2</v>
      </c>
      <c r="U15" s="72">
        <f t="shared" si="6"/>
        <v>2</v>
      </c>
      <c r="V15" s="73" t="str">
        <f t="shared" si="13"/>
        <v>MEDIA</v>
      </c>
      <c r="W15" s="14"/>
      <c r="X15" s="44"/>
      <c r="Y15" s="44"/>
      <c r="Z15" s="44"/>
      <c r="AA15" s="44"/>
      <c r="AB15" s="44"/>
      <c r="AC15" s="44"/>
      <c r="AD15" s="44"/>
      <c r="AE15" s="44"/>
      <c r="AF15" s="44"/>
      <c r="AG15" s="44"/>
      <c r="AH15" s="44"/>
    </row>
    <row r="16" spans="1:34" s="45" customFormat="1" ht="30.6" customHeight="1">
      <c r="A16" s="42" t="s">
        <v>148</v>
      </c>
      <c r="B16" s="14" t="s">
        <v>149</v>
      </c>
      <c r="C16" s="30" t="s">
        <v>150</v>
      </c>
      <c r="D16" s="14" t="s">
        <v>110</v>
      </c>
      <c r="E16" s="30" t="s">
        <v>151</v>
      </c>
      <c r="F16" s="30" t="s">
        <v>152</v>
      </c>
      <c r="G16" s="32" t="s">
        <v>71</v>
      </c>
      <c r="H16" s="34" t="s">
        <v>133</v>
      </c>
      <c r="I16" s="157" t="s">
        <v>112</v>
      </c>
      <c r="J16" s="34">
        <v>2</v>
      </c>
      <c r="K16" s="35">
        <v>2</v>
      </c>
      <c r="L16" s="137"/>
      <c r="M16" s="35">
        <v>2</v>
      </c>
      <c r="N16" s="35">
        <v>2</v>
      </c>
      <c r="O16" s="9">
        <f t="shared" si="0"/>
        <v>2</v>
      </c>
      <c r="P16" s="76">
        <f t="shared" si="8"/>
        <v>2</v>
      </c>
      <c r="Q16" s="76">
        <f t="shared" si="9"/>
        <v>2</v>
      </c>
      <c r="R16" s="138" t="str">
        <f t="shared" si="10"/>
        <v/>
      </c>
      <c r="S16" s="76">
        <f t="shared" si="11"/>
        <v>2</v>
      </c>
      <c r="T16" s="76">
        <f t="shared" si="12"/>
        <v>2</v>
      </c>
      <c r="U16" s="72">
        <f t="shared" si="6"/>
        <v>2</v>
      </c>
      <c r="V16" s="73" t="str">
        <f t="shared" si="13"/>
        <v>MEDIA</v>
      </c>
      <c r="W16" s="14"/>
      <c r="X16" s="44"/>
      <c r="Y16" s="44"/>
      <c r="Z16" s="44"/>
      <c r="AA16" s="44"/>
      <c r="AB16" s="44"/>
      <c r="AC16" s="44"/>
      <c r="AD16" s="44"/>
      <c r="AE16" s="44"/>
      <c r="AF16" s="44"/>
      <c r="AG16" s="44"/>
      <c r="AH16" s="44"/>
    </row>
    <row r="17" spans="1:34" s="45" customFormat="1" ht="30.6" customHeight="1">
      <c r="A17" s="42" t="s">
        <v>153</v>
      </c>
      <c r="B17" s="14" t="s">
        <v>154</v>
      </c>
      <c r="C17" s="30" t="s">
        <v>155</v>
      </c>
      <c r="D17" s="14" t="s">
        <v>110</v>
      </c>
      <c r="E17" s="30" t="s">
        <v>156</v>
      </c>
      <c r="F17" s="30" t="s">
        <v>157</v>
      </c>
      <c r="G17" s="32" t="s">
        <v>71</v>
      </c>
      <c r="H17" s="34" t="s">
        <v>133</v>
      </c>
      <c r="I17" s="157" t="s">
        <v>112</v>
      </c>
      <c r="J17" s="34">
        <v>2</v>
      </c>
      <c r="K17" s="35">
        <v>2</v>
      </c>
      <c r="L17" s="137"/>
      <c r="M17" s="35">
        <v>2</v>
      </c>
      <c r="N17" s="35">
        <v>2</v>
      </c>
      <c r="O17" s="9">
        <f t="shared" si="0"/>
        <v>2</v>
      </c>
      <c r="P17" s="76">
        <f t="shared" si="8"/>
        <v>2</v>
      </c>
      <c r="Q17" s="76">
        <f t="shared" si="9"/>
        <v>2</v>
      </c>
      <c r="R17" s="138" t="str">
        <f t="shared" si="10"/>
        <v/>
      </c>
      <c r="S17" s="76">
        <f t="shared" si="11"/>
        <v>2</v>
      </c>
      <c r="T17" s="76">
        <f t="shared" si="12"/>
        <v>2</v>
      </c>
      <c r="U17" s="72">
        <f t="shared" si="6"/>
        <v>2</v>
      </c>
      <c r="V17" s="73" t="str">
        <f t="shared" si="13"/>
        <v>MEDIA</v>
      </c>
      <c r="W17" s="14"/>
      <c r="X17" s="44"/>
      <c r="Y17" s="44"/>
      <c r="Z17" s="44"/>
      <c r="AA17" s="44"/>
      <c r="AB17" s="44"/>
      <c r="AC17" s="44"/>
      <c r="AD17" s="44"/>
      <c r="AE17" s="44"/>
      <c r="AF17" s="44"/>
      <c r="AG17" s="44"/>
      <c r="AH17" s="44"/>
    </row>
    <row r="18" spans="1:34" s="45" customFormat="1" ht="30.6" customHeight="1">
      <c r="A18" s="42" t="s">
        <v>158</v>
      </c>
      <c r="B18" s="14" t="s">
        <v>159</v>
      </c>
      <c r="C18" s="30" t="s">
        <v>150</v>
      </c>
      <c r="D18" s="14" t="s">
        <v>110</v>
      </c>
      <c r="E18" s="30" t="s">
        <v>160</v>
      </c>
      <c r="F18" s="30" t="s">
        <v>161</v>
      </c>
      <c r="G18" s="32" t="s">
        <v>71</v>
      </c>
      <c r="H18" s="34" t="s">
        <v>76</v>
      </c>
      <c r="I18" s="157" t="s">
        <v>112</v>
      </c>
      <c r="J18" s="34">
        <v>3</v>
      </c>
      <c r="K18" s="35">
        <v>3</v>
      </c>
      <c r="L18" s="137"/>
      <c r="M18" s="35">
        <v>3</v>
      </c>
      <c r="N18" s="35">
        <v>3</v>
      </c>
      <c r="O18" s="9">
        <f t="shared" si="0"/>
        <v>3</v>
      </c>
      <c r="P18" s="76">
        <f t="shared" si="8"/>
        <v>2</v>
      </c>
      <c r="Q18" s="76">
        <f t="shared" si="9"/>
        <v>2</v>
      </c>
      <c r="R18" s="138" t="str">
        <f t="shared" si="10"/>
        <v/>
      </c>
      <c r="S18" s="76">
        <f t="shared" si="11"/>
        <v>2</v>
      </c>
      <c r="T18" s="76">
        <f t="shared" si="12"/>
        <v>2</v>
      </c>
      <c r="U18" s="72">
        <f t="shared" si="6"/>
        <v>2</v>
      </c>
      <c r="V18" s="73" t="str">
        <f t="shared" si="13"/>
        <v>MEDIA</v>
      </c>
      <c r="W18" s="14"/>
      <c r="X18" s="44"/>
      <c r="Y18" s="44"/>
      <c r="Z18" s="44"/>
      <c r="AA18" s="44"/>
      <c r="AB18" s="44"/>
      <c r="AC18" s="44"/>
      <c r="AD18" s="44"/>
      <c r="AE18" s="44"/>
      <c r="AF18" s="44"/>
      <c r="AG18" s="44"/>
      <c r="AH18" s="44"/>
    </row>
    <row r="19" spans="1:34" s="45" customFormat="1" ht="30.6" customHeight="1">
      <c r="A19" s="42" t="s">
        <v>162</v>
      </c>
      <c r="B19" s="14" t="s">
        <v>163</v>
      </c>
      <c r="C19" s="30" t="s">
        <v>150</v>
      </c>
      <c r="D19" s="14" t="s">
        <v>110</v>
      </c>
      <c r="E19" s="30" t="s">
        <v>164</v>
      </c>
      <c r="F19" s="30" t="s">
        <v>165</v>
      </c>
      <c r="G19" s="32" t="s">
        <v>71</v>
      </c>
      <c r="H19" s="34" t="s">
        <v>76</v>
      </c>
      <c r="I19" s="157" t="s">
        <v>112</v>
      </c>
      <c r="J19" s="34">
        <v>2</v>
      </c>
      <c r="K19" s="35">
        <v>2</v>
      </c>
      <c r="L19" s="137"/>
      <c r="M19" s="35">
        <v>2</v>
      </c>
      <c r="N19" s="35">
        <v>2</v>
      </c>
      <c r="O19" s="9">
        <f t="shared" si="0"/>
        <v>2</v>
      </c>
      <c r="P19" s="76">
        <f t="shared" si="8"/>
        <v>2</v>
      </c>
      <c r="Q19" s="76">
        <f t="shared" si="9"/>
        <v>2</v>
      </c>
      <c r="R19" s="138" t="str">
        <f t="shared" si="10"/>
        <v/>
      </c>
      <c r="S19" s="76">
        <f t="shared" si="11"/>
        <v>2</v>
      </c>
      <c r="T19" s="76">
        <f t="shared" si="12"/>
        <v>2</v>
      </c>
      <c r="U19" s="72">
        <f t="shared" si="6"/>
        <v>2</v>
      </c>
      <c r="V19" s="73" t="str">
        <f t="shared" si="13"/>
        <v>MEDIA</v>
      </c>
      <c r="W19" s="14"/>
      <c r="X19" s="44"/>
      <c r="Y19" s="44"/>
      <c r="Z19" s="44"/>
      <c r="AA19" s="44"/>
      <c r="AB19" s="44"/>
      <c r="AC19" s="44"/>
      <c r="AD19" s="44"/>
      <c r="AE19" s="44"/>
      <c r="AF19" s="44"/>
      <c r="AG19" s="44"/>
      <c r="AH19" s="44"/>
    </row>
    <row r="20" spans="1:34" s="45" customFormat="1" ht="30.6" customHeight="1">
      <c r="A20" s="42" t="s">
        <v>166</v>
      </c>
      <c r="B20" s="14" t="s">
        <v>167</v>
      </c>
      <c r="C20" s="30" t="s">
        <v>168</v>
      </c>
      <c r="D20" s="14" t="s">
        <v>110</v>
      </c>
      <c r="E20" s="30" t="s">
        <v>169</v>
      </c>
      <c r="F20" s="30" t="s">
        <v>165</v>
      </c>
      <c r="G20" s="32" t="s">
        <v>71</v>
      </c>
      <c r="H20" s="34" t="s">
        <v>76</v>
      </c>
      <c r="I20" s="157" t="s">
        <v>112</v>
      </c>
      <c r="J20" s="34">
        <v>2</v>
      </c>
      <c r="K20" s="35">
        <v>2</v>
      </c>
      <c r="L20" s="137"/>
      <c r="M20" s="35">
        <v>2</v>
      </c>
      <c r="N20" s="35">
        <v>2</v>
      </c>
      <c r="O20" s="9">
        <f>IF(OR(J20&lt;&gt;"",K20&lt;&gt;"",L20&lt;&gt;"",N20&lt;&gt;"",M20&lt;&gt;""),MAX(J20:N20),"")</f>
        <v>2</v>
      </c>
      <c r="P20" s="76">
        <f t="shared" si="8"/>
        <v>2</v>
      </c>
      <c r="Q20" s="76">
        <f t="shared" si="9"/>
        <v>2</v>
      </c>
      <c r="R20" s="138" t="str">
        <f t="shared" si="10"/>
        <v/>
      </c>
      <c r="S20" s="76">
        <f t="shared" si="11"/>
        <v>2</v>
      </c>
      <c r="T20" s="76">
        <f t="shared" si="12"/>
        <v>2</v>
      </c>
      <c r="U20" s="72">
        <f t="shared" si="6"/>
        <v>2</v>
      </c>
      <c r="V20" s="73" t="str">
        <f t="shared" si="13"/>
        <v>MEDIA</v>
      </c>
      <c r="W20" s="14"/>
      <c r="X20" s="44"/>
      <c r="Y20" s="44"/>
      <c r="Z20" s="44"/>
      <c r="AA20" s="44"/>
      <c r="AB20" s="44"/>
      <c r="AC20" s="44"/>
      <c r="AD20" s="44"/>
      <c r="AE20" s="44"/>
      <c r="AF20" s="44"/>
      <c r="AG20" s="44"/>
      <c r="AH20" s="44"/>
    </row>
    <row r="21" spans="1:34" s="45" customFormat="1" ht="30.6" customHeight="1">
      <c r="A21" s="42" t="s">
        <v>170</v>
      </c>
      <c r="B21" s="14" t="s">
        <v>171</v>
      </c>
      <c r="C21" s="30" t="s">
        <v>155</v>
      </c>
      <c r="D21" s="14" t="s">
        <v>110</v>
      </c>
      <c r="E21" s="30" t="s">
        <v>172</v>
      </c>
      <c r="F21" s="30" t="s">
        <v>173</v>
      </c>
      <c r="G21" s="32" t="s">
        <v>4</v>
      </c>
      <c r="H21" s="34" t="s">
        <v>66</v>
      </c>
      <c r="I21" s="157" t="s">
        <v>112</v>
      </c>
      <c r="J21" s="34">
        <v>2</v>
      </c>
      <c r="K21" s="35">
        <v>2</v>
      </c>
      <c r="L21" s="137"/>
      <c r="M21" s="35">
        <v>2</v>
      </c>
      <c r="N21" s="35">
        <v>2</v>
      </c>
      <c r="O21" s="9">
        <f t="shared" si="0"/>
        <v>2</v>
      </c>
      <c r="P21" s="76">
        <f t="shared" si="8"/>
        <v>2</v>
      </c>
      <c r="Q21" s="76">
        <f t="shared" si="9"/>
        <v>2</v>
      </c>
      <c r="R21" s="138" t="str">
        <f t="shared" si="10"/>
        <v/>
      </c>
      <c r="S21" s="76">
        <f t="shared" si="11"/>
        <v>2</v>
      </c>
      <c r="T21" s="76">
        <f t="shared" si="12"/>
        <v>2</v>
      </c>
      <c r="U21" s="72">
        <f t="shared" si="6"/>
        <v>2</v>
      </c>
      <c r="V21" s="73" t="str">
        <f t="shared" si="13"/>
        <v>MEDIA</v>
      </c>
      <c r="W21" s="14"/>
      <c r="X21" s="44"/>
      <c r="Y21" s="44"/>
      <c r="Z21" s="44"/>
      <c r="AA21" s="44"/>
      <c r="AB21" s="44"/>
      <c r="AC21" s="44"/>
      <c r="AD21" s="44"/>
      <c r="AE21" s="44"/>
      <c r="AF21" s="44"/>
      <c r="AG21" s="44"/>
      <c r="AH21" s="44"/>
    </row>
    <row r="22" spans="1:34" s="45" customFormat="1" ht="30.6" customHeight="1">
      <c r="A22" s="42" t="s">
        <v>174</v>
      </c>
      <c r="B22" s="14" t="s">
        <v>175</v>
      </c>
      <c r="C22" s="30" t="s">
        <v>150</v>
      </c>
      <c r="D22" s="14" t="s">
        <v>110</v>
      </c>
      <c r="E22" s="30" t="s">
        <v>176</v>
      </c>
      <c r="F22" s="30" t="s">
        <v>91</v>
      </c>
      <c r="G22" s="32" t="s">
        <v>71</v>
      </c>
      <c r="H22" s="34" t="s">
        <v>66</v>
      </c>
      <c r="I22" s="157" t="s">
        <v>137</v>
      </c>
      <c r="J22" s="34">
        <v>1</v>
      </c>
      <c r="K22" s="35">
        <v>2</v>
      </c>
      <c r="L22" s="137"/>
      <c r="M22" s="35">
        <v>2</v>
      </c>
      <c r="N22" s="35">
        <v>1</v>
      </c>
      <c r="O22" s="9">
        <f t="shared" si="0"/>
        <v>2</v>
      </c>
      <c r="P22" s="76">
        <f t="shared" si="8"/>
        <v>1</v>
      </c>
      <c r="Q22" s="76">
        <f t="shared" si="9"/>
        <v>2</v>
      </c>
      <c r="R22" s="138" t="str">
        <f t="shared" si="10"/>
        <v/>
      </c>
      <c r="S22" s="76">
        <f t="shared" si="11"/>
        <v>2</v>
      </c>
      <c r="T22" s="76">
        <f t="shared" si="12"/>
        <v>1</v>
      </c>
      <c r="U22" s="72">
        <f t="shared" si="6"/>
        <v>2</v>
      </c>
      <c r="V22" s="73" t="str">
        <f t="shared" si="13"/>
        <v>MEDIA</v>
      </c>
      <c r="W22" s="14"/>
      <c r="X22" s="44"/>
      <c r="Y22" s="44"/>
      <c r="Z22" s="44"/>
      <c r="AA22" s="44"/>
      <c r="AB22" s="44"/>
      <c r="AC22" s="44"/>
      <c r="AD22" s="44"/>
      <c r="AE22" s="44"/>
      <c r="AF22" s="44"/>
      <c r="AG22" s="44"/>
      <c r="AH22" s="44"/>
    </row>
  </sheetData>
  <mergeCells count="6">
    <mergeCell ref="A1:B1"/>
    <mergeCell ref="C1:F1"/>
    <mergeCell ref="J2:O2"/>
    <mergeCell ref="P2:V2"/>
    <mergeCell ref="K1:O1"/>
    <mergeCell ref="P1:V1"/>
  </mergeCells>
  <phoneticPr fontId="20" type="noConversion"/>
  <conditionalFormatting sqref="O4:O22">
    <cfRule type="colorScale" priority="7">
      <colorScale>
        <cfvo type="num" val="0"/>
        <cfvo type="num" val="3"/>
        <color rgb="FFFFEF9C"/>
        <color theme="5"/>
      </colorScale>
    </cfRule>
  </conditionalFormatting>
  <conditionalFormatting sqref="V4:V22">
    <cfRule type="cellIs" dxfId="29" priority="1" operator="equal">
      <formula>"ALTA"</formula>
    </cfRule>
    <cfRule type="cellIs" dxfId="28" priority="2" operator="equal">
      <formula>"BAJA"</formula>
    </cfRule>
    <cfRule type="cellIs" dxfId="27" priority="3" operator="equal">
      <formula>"MEDIA"</formula>
    </cfRule>
  </conditionalFormatting>
  <dataValidations count="3">
    <dataValidation type="list" allowBlank="1" showErrorMessage="1" sqref="J4:K22 M4:N22" xr:uid="{00000000-0002-0000-0300-000003000000}">
      <formula1>Impacte</formula1>
    </dataValidation>
    <dataValidation type="list" allowBlank="1" showErrorMessage="1" sqref="D4:D22" xr:uid="{00000000-0002-0000-0300-000001000000}">
      <formula1>dades_personals</formula1>
    </dataValidation>
    <dataValidation type="list" allowBlank="1" showErrorMessage="1" sqref="I4:I22" xr:uid="{00000000-0002-0000-0300-000004000000}">
      <formula1>Classificacio_informacio</formula1>
    </dataValidation>
  </dataValidations>
  <pageMargins left="0.7" right="0.7" top="0.75" bottom="0.75" header="0" footer="0"/>
  <pageSetup scale="3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I11"/>
  <sheetViews>
    <sheetView zoomScale="80" zoomScaleNormal="80" workbookViewId="0">
      <selection activeCell="D11" sqref="D11"/>
    </sheetView>
  </sheetViews>
  <sheetFormatPr defaultColWidth="14.28515625" defaultRowHeight="15" customHeight="1"/>
  <cols>
    <col min="1" max="1" width="9.140625" customWidth="1"/>
    <col min="2" max="2" width="41.7109375" customWidth="1"/>
    <col min="3" max="3" width="16.7109375" customWidth="1"/>
    <col min="4" max="4" width="52" bestFit="1" customWidth="1"/>
    <col min="5" max="5" width="54.140625" customWidth="1"/>
    <col min="6" max="6" width="16.28515625" customWidth="1"/>
    <col min="7" max="7" width="8.140625" customWidth="1"/>
    <col min="8" max="8" width="8.85546875" customWidth="1"/>
    <col min="9" max="10" width="7.85546875" customWidth="1"/>
    <col min="11" max="11" width="8" customWidth="1"/>
    <col min="12" max="12" width="11.42578125" customWidth="1"/>
    <col min="13" max="17" width="7.7109375" style="63" customWidth="1"/>
    <col min="18" max="18" width="11.28515625" style="63" customWidth="1"/>
    <col min="19" max="19" width="13.28515625" style="63" customWidth="1"/>
    <col min="20" max="20" width="42.28515625" customWidth="1"/>
    <col min="21" max="35" width="9.140625" customWidth="1"/>
  </cols>
  <sheetData>
    <row r="1" spans="1:35" ht="62.65" customHeight="1">
      <c r="A1" s="216"/>
      <c r="B1" s="259"/>
      <c r="C1" s="216" t="s">
        <v>177</v>
      </c>
      <c r="D1" s="218"/>
      <c r="E1" s="218"/>
      <c r="F1" s="219"/>
      <c r="G1" s="217"/>
      <c r="H1" s="260"/>
      <c r="I1" s="260"/>
      <c r="J1" s="260"/>
      <c r="K1" s="260"/>
      <c r="L1" s="260"/>
      <c r="M1" s="260"/>
      <c r="N1" s="260"/>
      <c r="O1" s="260"/>
      <c r="P1" s="260"/>
      <c r="Q1" s="260"/>
      <c r="R1" s="260"/>
      <c r="S1" s="260"/>
      <c r="T1" s="259"/>
      <c r="U1" s="2"/>
      <c r="V1" s="2"/>
      <c r="W1" s="2"/>
      <c r="X1" s="2"/>
      <c r="Y1" s="2"/>
      <c r="Z1" s="2"/>
      <c r="AA1" s="2"/>
      <c r="AB1" s="2"/>
      <c r="AC1" s="2"/>
      <c r="AD1" s="2"/>
      <c r="AE1" s="2"/>
      <c r="AF1" s="2"/>
      <c r="AG1" s="2"/>
      <c r="AH1" s="2"/>
      <c r="AI1" s="2"/>
    </row>
    <row r="2" spans="1:35" ht="46.9" customHeight="1">
      <c r="A2" s="147"/>
      <c r="B2" s="142"/>
      <c r="C2" s="147"/>
      <c r="D2" s="147"/>
      <c r="E2" s="147"/>
      <c r="F2" s="53"/>
      <c r="G2" s="221" t="s">
        <v>49</v>
      </c>
      <c r="H2" s="261"/>
      <c r="I2" s="261"/>
      <c r="J2" s="261"/>
      <c r="K2" s="261"/>
      <c r="L2" s="262"/>
      <c r="M2" s="220" t="s">
        <v>50</v>
      </c>
      <c r="N2" s="263"/>
      <c r="O2" s="263"/>
      <c r="P2" s="263"/>
      <c r="Q2" s="263"/>
      <c r="R2" s="263"/>
      <c r="S2" s="264"/>
      <c r="T2" s="68"/>
      <c r="U2" s="2"/>
      <c r="V2" s="2"/>
      <c r="W2" s="2"/>
      <c r="X2" s="2"/>
      <c r="Y2" s="2"/>
      <c r="Z2" s="2"/>
      <c r="AA2" s="2"/>
      <c r="AB2" s="2"/>
      <c r="AC2" s="2"/>
      <c r="AD2" s="2"/>
      <c r="AE2" s="2"/>
      <c r="AF2" s="2"/>
      <c r="AG2" s="2"/>
      <c r="AH2" s="2"/>
      <c r="AI2" s="2"/>
    </row>
    <row r="3" spans="1:35" ht="93.75" customHeight="1">
      <c r="A3" s="99" t="s">
        <v>18</v>
      </c>
      <c r="B3" s="99" t="s">
        <v>24</v>
      </c>
      <c r="C3" s="99" t="s">
        <v>26</v>
      </c>
      <c r="D3" s="99" t="s">
        <v>30</v>
      </c>
      <c r="E3" s="99" t="s">
        <v>28</v>
      </c>
      <c r="F3" s="103" t="s">
        <v>97</v>
      </c>
      <c r="G3" s="121" t="s">
        <v>55</v>
      </c>
      <c r="H3" s="100" t="s">
        <v>54</v>
      </c>
      <c r="I3" s="100" t="s">
        <v>34</v>
      </c>
      <c r="J3" s="100" t="s">
        <v>56</v>
      </c>
      <c r="K3" s="100" t="s">
        <v>57</v>
      </c>
      <c r="L3" s="176" t="s">
        <v>58</v>
      </c>
      <c r="M3" s="163" t="s">
        <v>55</v>
      </c>
      <c r="N3" s="143" t="s">
        <v>54</v>
      </c>
      <c r="O3" s="143" t="s">
        <v>34</v>
      </c>
      <c r="P3" s="143" t="s">
        <v>56</v>
      </c>
      <c r="Q3" s="143" t="s">
        <v>57</v>
      </c>
      <c r="R3" s="144" t="s">
        <v>59</v>
      </c>
      <c r="S3" s="164" t="s">
        <v>60</v>
      </c>
      <c r="T3" s="112" t="s">
        <v>44</v>
      </c>
      <c r="U3" s="3"/>
      <c r="V3" s="3"/>
      <c r="W3" s="3"/>
      <c r="X3" s="3"/>
      <c r="Y3" s="3"/>
      <c r="Z3" s="3"/>
      <c r="AA3" s="3"/>
      <c r="AB3" s="3"/>
      <c r="AC3" s="3"/>
      <c r="AD3" s="3"/>
      <c r="AE3" s="3"/>
      <c r="AF3" s="3"/>
      <c r="AG3" s="3"/>
      <c r="AH3" s="3"/>
      <c r="AI3" s="3"/>
    </row>
    <row r="4" spans="1:35" s="171" customFormat="1" ht="45" customHeight="1">
      <c r="A4" s="42" t="s">
        <v>178</v>
      </c>
      <c r="B4" s="30" t="s">
        <v>179</v>
      </c>
      <c r="C4" s="30" t="s">
        <v>180</v>
      </c>
      <c r="D4" s="30" t="s">
        <v>181</v>
      </c>
      <c r="E4" s="30" t="s">
        <v>182</v>
      </c>
      <c r="F4" s="151" t="s">
        <v>71</v>
      </c>
      <c r="G4" s="34">
        <v>2</v>
      </c>
      <c r="H4" s="35"/>
      <c r="I4" s="35"/>
      <c r="J4" s="35"/>
      <c r="K4" s="35"/>
      <c r="L4" s="9">
        <f t="shared" ref="L4:L6" si="0">IF(OR(G4&lt;&gt;"",H4&lt;&gt;"",I4&lt;&gt;"",K4&lt;&gt;"",J4&lt;&gt;""),MAX(G4:K4),"")</f>
        <v>2</v>
      </c>
      <c r="M4" s="165">
        <f t="shared" ref="M4:Q6" si="1">IF(G4="","",VLOOKUP(G4,Valor_Actiu_NivellENS,2,FALSE))</f>
        <v>2</v>
      </c>
      <c r="N4" s="76" t="str">
        <f t="shared" si="1"/>
        <v/>
      </c>
      <c r="O4" s="76" t="str">
        <f t="shared" si="1"/>
        <v/>
      </c>
      <c r="P4" s="76" t="str">
        <f t="shared" si="1"/>
        <v/>
      </c>
      <c r="Q4" s="76" t="str">
        <f t="shared" si="1"/>
        <v/>
      </c>
      <c r="R4" s="72">
        <f t="shared" ref="R4:R6" si="2">IF(OR(M4&lt;&gt;"",N4&lt;&gt;"",O4&lt;&gt;"",Q4&lt;&gt;"",P4&lt;&gt;""),MAX(M4:Q4),"")</f>
        <v>2</v>
      </c>
      <c r="S4" s="73" t="str">
        <f t="shared" ref="S4:S6" si="3">VLOOKUP(R4,NivellENS_Categoria,2,FALSE)</f>
        <v>MEDIA</v>
      </c>
      <c r="T4" s="177"/>
      <c r="U4" s="170"/>
      <c r="V4" s="14"/>
      <c r="W4" s="14"/>
      <c r="X4" s="44"/>
      <c r="Y4" s="44"/>
      <c r="Z4" s="44"/>
      <c r="AA4" s="44"/>
      <c r="AB4" s="44"/>
      <c r="AC4" s="44"/>
      <c r="AD4" s="44"/>
      <c r="AE4" s="44"/>
      <c r="AF4" s="44"/>
      <c r="AG4" s="44"/>
      <c r="AH4" s="44"/>
      <c r="AI4" s="44"/>
    </row>
    <row r="5" spans="1:35" s="171" customFormat="1" ht="35.450000000000003" customHeight="1">
      <c r="A5" s="42" t="s">
        <v>183</v>
      </c>
      <c r="B5" s="30" t="s">
        <v>184</v>
      </c>
      <c r="C5" s="30" t="s">
        <v>180</v>
      </c>
      <c r="D5" s="30" t="s">
        <v>185</v>
      </c>
      <c r="E5" s="30" t="s">
        <v>165</v>
      </c>
      <c r="F5" s="151" t="s">
        <v>71</v>
      </c>
      <c r="G5" s="34">
        <v>3</v>
      </c>
      <c r="H5" s="35"/>
      <c r="I5" s="35"/>
      <c r="J5" s="35"/>
      <c r="K5" s="35"/>
      <c r="L5" s="9">
        <f t="shared" si="0"/>
        <v>3</v>
      </c>
      <c r="M5" s="165">
        <f t="shared" si="1"/>
        <v>2</v>
      </c>
      <c r="N5" s="76" t="str">
        <f t="shared" si="1"/>
        <v/>
      </c>
      <c r="O5" s="76" t="str">
        <f t="shared" si="1"/>
        <v/>
      </c>
      <c r="P5" s="76" t="str">
        <f t="shared" si="1"/>
        <v/>
      </c>
      <c r="Q5" s="76" t="str">
        <f t="shared" si="1"/>
        <v/>
      </c>
      <c r="R5" s="72">
        <f t="shared" si="2"/>
        <v>2</v>
      </c>
      <c r="S5" s="73" t="str">
        <f t="shared" si="3"/>
        <v>MEDIA</v>
      </c>
      <c r="T5" s="177"/>
      <c r="U5" s="172"/>
      <c r="V5" s="173"/>
      <c r="W5" s="173"/>
      <c r="X5" s="44"/>
      <c r="Y5" s="44"/>
      <c r="Z5" s="44"/>
      <c r="AA5" s="44"/>
      <c r="AB5" s="44"/>
      <c r="AC5" s="44"/>
      <c r="AD5" s="44"/>
      <c r="AE5" s="44"/>
      <c r="AF5" s="44"/>
      <c r="AG5" s="44"/>
      <c r="AH5" s="44"/>
      <c r="AI5" s="44"/>
    </row>
    <row r="6" spans="1:35" s="171" customFormat="1" ht="75" customHeight="1">
      <c r="A6" s="42" t="s">
        <v>186</v>
      </c>
      <c r="B6" s="30" t="s">
        <v>187</v>
      </c>
      <c r="C6" s="30" t="s">
        <v>180</v>
      </c>
      <c r="D6" s="30" t="s">
        <v>188</v>
      </c>
      <c r="E6" s="30" t="s">
        <v>189</v>
      </c>
      <c r="F6" s="151" t="s">
        <v>71</v>
      </c>
      <c r="G6" s="34">
        <v>3</v>
      </c>
      <c r="H6" s="35"/>
      <c r="I6" s="35"/>
      <c r="J6" s="35"/>
      <c r="K6" s="35"/>
      <c r="L6" s="9">
        <f t="shared" si="0"/>
        <v>3</v>
      </c>
      <c r="M6" s="165">
        <f t="shared" si="1"/>
        <v>2</v>
      </c>
      <c r="N6" s="76" t="str">
        <f t="shared" si="1"/>
        <v/>
      </c>
      <c r="O6" s="76" t="str">
        <f t="shared" si="1"/>
        <v/>
      </c>
      <c r="P6" s="76" t="str">
        <f t="shared" si="1"/>
        <v/>
      </c>
      <c r="Q6" s="76" t="str">
        <f t="shared" si="1"/>
        <v/>
      </c>
      <c r="R6" s="72">
        <f t="shared" si="2"/>
        <v>2</v>
      </c>
      <c r="S6" s="73" t="str">
        <f t="shared" si="3"/>
        <v>MEDIA</v>
      </c>
      <c r="T6" s="177"/>
      <c r="U6" s="172"/>
      <c r="V6" s="173"/>
      <c r="W6" s="173"/>
      <c r="X6" s="44"/>
      <c r="Y6" s="44"/>
      <c r="Z6" s="44"/>
      <c r="AA6" s="44"/>
      <c r="AB6" s="44"/>
      <c r="AC6" s="44"/>
      <c r="AD6" s="44"/>
      <c r="AE6" s="44"/>
      <c r="AF6" s="44"/>
      <c r="AG6" s="44"/>
      <c r="AH6" s="44"/>
      <c r="AI6" s="44"/>
    </row>
    <row r="11" spans="1:35" ht="15" customHeight="1">
      <c r="L11" s="21"/>
    </row>
  </sheetData>
  <mergeCells count="5">
    <mergeCell ref="A1:B1"/>
    <mergeCell ref="G1:T1"/>
    <mergeCell ref="C1:F1"/>
    <mergeCell ref="M2:S2"/>
    <mergeCell ref="G2:L2"/>
  </mergeCells>
  <phoneticPr fontId="20" type="noConversion"/>
  <conditionalFormatting sqref="L4:L6">
    <cfRule type="colorScale" priority="1">
      <colorScale>
        <cfvo type="num" val="0"/>
        <cfvo type="num" val="3"/>
        <color rgb="FFFFEF9C"/>
        <color theme="5"/>
      </colorScale>
    </cfRule>
  </conditionalFormatting>
  <conditionalFormatting sqref="S4:S6">
    <cfRule type="cellIs" dxfId="26" priority="3" operator="equal">
      <formula>"ALTA"</formula>
    </cfRule>
    <cfRule type="cellIs" dxfId="25" priority="4" operator="equal">
      <formula>"BAJA"</formula>
    </cfRule>
    <cfRule type="cellIs" dxfId="24" priority="5" operator="equal">
      <formula>"MEDIA"</formula>
    </cfRule>
  </conditionalFormatting>
  <conditionalFormatting sqref="U4:U6">
    <cfRule type="colorScale" priority="24">
      <colorScale>
        <cfvo type="formula" val="0"/>
        <cfvo type="formula" val="5"/>
        <color rgb="FFFFFFFF"/>
        <color rgb="FFE36C09"/>
      </colorScale>
    </cfRule>
    <cfRule type="colorScale" priority="25">
      <colorScale>
        <cfvo type="min"/>
        <cfvo type="max"/>
        <color rgb="FFFDE9D9"/>
        <color rgb="FFCC3300"/>
      </colorScale>
    </cfRule>
    <cfRule type="colorScale" priority="26">
      <colorScale>
        <cfvo type="min"/>
        <cfvo type="max"/>
        <color rgb="FFFFEF9C"/>
        <color rgb="FFFF7128"/>
      </colorScale>
    </cfRule>
    <cfRule type="colorScale" priority="27">
      <colorScale>
        <cfvo type="formula" val="0"/>
        <cfvo type="formula" val="5"/>
        <color rgb="FFFFFFFF"/>
        <color rgb="FFE36C09"/>
      </colorScale>
    </cfRule>
    <cfRule type="colorScale" priority="28">
      <colorScale>
        <cfvo type="min"/>
        <cfvo type="max"/>
        <color rgb="FFFDE9D9"/>
        <color rgb="FFCC3300"/>
      </colorScale>
    </cfRule>
    <cfRule type="colorScale" priority="29">
      <colorScale>
        <cfvo type="min"/>
        <cfvo type="max"/>
        <color rgb="FFFFEF9C"/>
        <color rgb="FFFF7128"/>
      </colorScale>
    </cfRule>
  </conditionalFormatting>
  <dataValidations count="1">
    <dataValidation type="list" allowBlank="1" showErrorMessage="1" sqref="G4:K6" xr:uid="{BE5E99DE-E223-4B78-BCF4-1B3B8D0EC052}">
      <formula1>Impacte</formula1>
    </dataValidation>
  </dataValidations>
  <pageMargins left="0.7" right="0.7" top="0.75" bottom="0.75" header="0" footer="0"/>
  <pageSetup scale="4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I8"/>
  <sheetViews>
    <sheetView zoomScale="80" zoomScaleNormal="80" workbookViewId="0">
      <selection activeCell="C15" sqref="C15"/>
    </sheetView>
  </sheetViews>
  <sheetFormatPr defaultColWidth="14.28515625" defaultRowHeight="15" customHeight="1"/>
  <cols>
    <col min="1" max="1" width="9.28515625" customWidth="1"/>
    <col min="2" max="2" width="28.7109375" bestFit="1" customWidth="1"/>
    <col min="3" max="3" width="25.85546875" bestFit="1" customWidth="1"/>
    <col min="4" max="4" width="53.7109375" customWidth="1"/>
    <col min="5" max="5" width="30.140625" bestFit="1" customWidth="1"/>
    <col min="6" max="6" width="22.85546875" customWidth="1"/>
    <col min="7" max="7" width="7.7109375" customWidth="1"/>
    <col min="8" max="10" width="7.28515625" customWidth="1"/>
    <col min="11" max="11" width="8.140625" customWidth="1"/>
    <col min="12" max="12" width="9.140625" customWidth="1"/>
    <col min="13" max="17" width="7.7109375" style="63" customWidth="1"/>
    <col min="18" max="19" width="11.28515625" style="63" customWidth="1"/>
    <col min="20" max="20" width="52.7109375" customWidth="1"/>
    <col min="21" max="35" width="9.140625" customWidth="1"/>
  </cols>
  <sheetData>
    <row r="1" spans="1:35" ht="55.15" customHeight="1">
      <c r="A1" s="222"/>
      <c r="B1" s="265"/>
      <c r="C1" s="224" t="s">
        <v>190</v>
      </c>
      <c r="D1" s="225"/>
      <c r="E1" s="225"/>
      <c r="F1" s="226"/>
      <c r="G1" s="223"/>
      <c r="H1" s="260"/>
      <c r="I1" s="260"/>
      <c r="J1" s="260"/>
      <c r="K1" s="260"/>
      <c r="L1" s="260"/>
      <c r="M1" s="260"/>
      <c r="N1" s="260"/>
      <c r="O1" s="260"/>
      <c r="P1" s="260"/>
      <c r="Q1" s="260"/>
      <c r="R1" s="260"/>
      <c r="S1" s="260"/>
      <c r="T1" s="259"/>
    </row>
    <row r="2" spans="1:35" ht="44.1" customHeight="1">
      <c r="A2" s="227"/>
      <c r="B2" s="228"/>
      <c r="C2" s="228"/>
      <c r="D2" s="228"/>
      <c r="E2" s="228"/>
      <c r="F2" s="228"/>
      <c r="G2" s="221" t="s">
        <v>49</v>
      </c>
      <c r="H2" s="261"/>
      <c r="I2" s="261"/>
      <c r="J2" s="261"/>
      <c r="K2" s="261"/>
      <c r="L2" s="262"/>
      <c r="M2" s="220" t="s">
        <v>50</v>
      </c>
      <c r="N2" s="263"/>
      <c r="O2" s="263"/>
      <c r="P2" s="263"/>
      <c r="Q2" s="263"/>
      <c r="R2" s="263"/>
      <c r="S2" s="264"/>
      <c r="T2" s="68"/>
    </row>
    <row r="3" spans="1:35" s="2" customFormat="1" ht="93.6" customHeight="1">
      <c r="A3" s="99" t="s">
        <v>18</v>
      </c>
      <c r="B3" s="99" t="s">
        <v>24</v>
      </c>
      <c r="C3" s="99" t="s">
        <v>26</v>
      </c>
      <c r="D3" s="99" t="s">
        <v>30</v>
      </c>
      <c r="E3" s="99" t="s">
        <v>28</v>
      </c>
      <c r="F3" s="103" t="s">
        <v>97</v>
      </c>
      <c r="G3" s="121" t="s">
        <v>34</v>
      </c>
      <c r="H3" s="100" t="s">
        <v>54</v>
      </c>
      <c r="I3" s="100" t="s">
        <v>55</v>
      </c>
      <c r="J3" s="100" t="s">
        <v>56</v>
      </c>
      <c r="K3" s="100" t="s">
        <v>57</v>
      </c>
      <c r="L3" s="122" t="s">
        <v>58</v>
      </c>
      <c r="M3" s="163" t="s">
        <v>34</v>
      </c>
      <c r="N3" s="143" t="s">
        <v>54</v>
      </c>
      <c r="O3" s="143" t="s">
        <v>55</v>
      </c>
      <c r="P3" s="143" t="s">
        <v>56</v>
      </c>
      <c r="Q3" s="143" t="s">
        <v>57</v>
      </c>
      <c r="R3" s="144" t="s">
        <v>59</v>
      </c>
      <c r="S3" s="164" t="s">
        <v>60</v>
      </c>
      <c r="T3" s="119" t="s">
        <v>44</v>
      </c>
      <c r="U3" s="3"/>
      <c r="V3" s="3"/>
      <c r="W3" s="3"/>
      <c r="X3" s="3"/>
      <c r="Y3" s="3"/>
      <c r="Z3" s="3"/>
      <c r="AA3" s="3"/>
      <c r="AB3" s="3"/>
      <c r="AC3" s="3"/>
      <c r="AD3" s="3"/>
      <c r="AE3" s="3"/>
      <c r="AF3" s="3"/>
      <c r="AG3" s="3"/>
      <c r="AH3" s="3"/>
      <c r="AI3" s="3"/>
    </row>
    <row r="4" spans="1:35" s="2" customFormat="1" ht="30" customHeight="1">
      <c r="A4" s="4" t="s">
        <v>191</v>
      </c>
      <c r="B4" s="5" t="s">
        <v>192</v>
      </c>
      <c r="C4" s="6" t="s">
        <v>193</v>
      </c>
      <c r="D4" s="6" t="s">
        <v>194</v>
      </c>
      <c r="E4" s="6" t="s">
        <v>95</v>
      </c>
      <c r="F4" s="32" t="s">
        <v>195</v>
      </c>
      <c r="G4" s="34"/>
      <c r="H4" s="35"/>
      <c r="I4" s="35">
        <v>2</v>
      </c>
      <c r="J4" s="35"/>
      <c r="K4" s="35"/>
      <c r="L4" s="9">
        <f t="shared" ref="L4:L7" si="0">IF(OR(G4&lt;&gt;"",H4&lt;&gt;"",I4&lt;&gt;"",K4&lt;&gt;"",J4&lt;&gt;""),MAX(G4:K4),"")</f>
        <v>2</v>
      </c>
      <c r="M4" s="76" t="str">
        <f t="shared" ref="M4:Q7" si="1">IF(G4="","",VLOOKUP(G4,Valor_Actiu_NivellENS,2,FALSE))</f>
        <v/>
      </c>
      <c r="N4" s="76" t="str">
        <f t="shared" si="1"/>
        <v/>
      </c>
      <c r="O4" s="76">
        <f t="shared" si="1"/>
        <v>2</v>
      </c>
      <c r="P4" s="76" t="str">
        <f t="shared" si="1"/>
        <v/>
      </c>
      <c r="Q4" s="76" t="str">
        <f t="shared" si="1"/>
        <v/>
      </c>
      <c r="R4" s="72">
        <f t="shared" ref="R4:R7" si="2">IF(OR(M4&lt;&gt;"",N4&lt;&gt;"",O4&lt;&gt;"",Q4&lt;&gt;"",P4&lt;&gt;""),MAX(M4:Q4),"")</f>
        <v>2</v>
      </c>
      <c r="S4" s="73" t="str">
        <f t="shared" ref="S4:S7" si="3">VLOOKUP(R4,NivellENS_Categoria,2,FALSE)</f>
        <v>MEDIA</v>
      </c>
      <c r="T4" s="79"/>
      <c r="U4" s="10"/>
      <c r="V4" s="10"/>
      <c r="W4" s="10"/>
      <c r="X4" s="10"/>
      <c r="Y4" s="10"/>
      <c r="Z4" s="10"/>
      <c r="AA4" s="10"/>
      <c r="AB4" s="10"/>
      <c r="AC4" s="10"/>
      <c r="AD4" s="10"/>
      <c r="AE4" s="10"/>
      <c r="AF4" s="10"/>
      <c r="AG4" s="10"/>
      <c r="AH4" s="10"/>
      <c r="AI4" s="10"/>
    </row>
    <row r="5" spans="1:35" s="2" customFormat="1" ht="28.15" customHeight="1">
      <c r="A5" s="4" t="s">
        <v>196</v>
      </c>
      <c r="B5" s="5" t="s">
        <v>197</v>
      </c>
      <c r="C5" s="6" t="s">
        <v>198</v>
      </c>
      <c r="D5" s="6" t="s">
        <v>199</v>
      </c>
      <c r="E5" s="6" t="s">
        <v>95</v>
      </c>
      <c r="F5" s="32" t="s">
        <v>195</v>
      </c>
      <c r="G5" s="34"/>
      <c r="H5" s="35"/>
      <c r="I5" s="35">
        <v>3</v>
      </c>
      <c r="J5" s="35"/>
      <c r="K5" s="35"/>
      <c r="L5" s="9">
        <f t="shared" si="0"/>
        <v>3</v>
      </c>
      <c r="M5" s="76" t="str">
        <f t="shared" si="1"/>
        <v/>
      </c>
      <c r="N5" s="76" t="str">
        <f t="shared" si="1"/>
        <v/>
      </c>
      <c r="O5" s="76">
        <f t="shared" si="1"/>
        <v>2</v>
      </c>
      <c r="P5" s="76" t="str">
        <f t="shared" si="1"/>
        <v/>
      </c>
      <c r="Q5" s="76" t="str">
        <f t="shared" si="1"/>
        <v/>
      </c>
      <c r="R5" s="72">
        <f t="shared" si="2"/>
        <v>2</v>
      </c>
      <c r="S5" s="73" t="str">
        <f t="shared" si="3"/>
        <v>MEDIA</v>
      </c>
      <c r="T5" s="79"/>
      <c r="U5" s="10"/>
      <c r="V5" s="10"/>
      <c r="W5" s="10"/>
      <c r="X5" s="10"/>
      <c r="Y5" s="10"/>
      <c r="Z5" s="10"/>
      <c r="AA5" s="10"/>
      <c r="AB5" s="10"/>
      <c r="AC5" s="10"/>
      <c r="AD5" s="10"/>
      <c r="AE5" s="10"/>
      <c r="AF5" s="10"/>
      <c r="AG5" s="10"/>
      <c r="AH5" s="10"/>
      <c r="AI5" s="10"/>
    </row>
    <row r="6" spans="1:35" s="2" customFormat="1" ht="31.15" customHeight="1">
      <c r="A6" s="4" t="s">
        <v>200</v>
      </c>
      <c r="B6" s="5" t="s">
        <v>201</v>
      </c>
      <c r="C6" s="6" t="s">
        <v>202</v>
      </c>
      <c r="D6" s="6" t="s">
        <v>203</v>
      </c>
      <c r="E6" s="6" t="s">
        <v>204</v>
      </c>
      <c r="F6" s="32" t="s">
        <v>195</v>
      </c>
      <c r="G6" s="34"/>
      <c r="H6" s="35"/>
      <c r="I6" s="35">
        <v>2</v>
      </c>
      <c r="J6" s="35"/>
      <c r="K6" s="35"/>
      <c r="L6" s="9">
        <f t="shared" si="0"/>
        <v>2</v>
      </c>
      <c r="M6" s="76" t="str">
        <f t="shared" si="1"/>
        <v/>
      </c>
      <c r="N6" s="76" t="str">
        <f t="shared" si="1"/>
        <v/>
      </c>
      <c r="O6" s="76">
        <f t="shared" si="1"/>
        <v>2</v>
      </c>
      <c r="P6" s="76" t="str">
        <f t="shared" si="1"/>
        <v/>
      </c>
      <c r="Q6" s="76" t="str">
        <f t="shared" si="1"/>
        <v/>
      </c>
      <c r="R6" s="72">
        <f t="shared" si="2"/>
        <v>2</v>
      </c>
      <c r="S6" s="73" t="str">
        <f t="shared" si="3"/>
        <v>MEDIA</v>
      </c>
      <c r="T6" s="79"/>
      <c r="U6" s="10"/>
      <c r="V6" s="10"/>
      <c r="W6" s="10"/>
      <c r="X6" s="10"/>
      <c r="Y6" s="10"/>
      <c r="Z6" s="10"/>
      <c r="AA6" s="10"/>
      <c r="AB6" s="10"/>
      <c r="AC6" s="10"/>
      <c r="AD6" s="10"/>
      <c r="AE6" s="10"/>
      <c r="AF6" s="10"/>
      <c r="AG6" s="10"/>
      <c r="AH6" s="10"/>
      <c r="AI6" s="10"/>
    </row>
    <row r="7" spans="1:35" s="2" customFormat="1" ht="28.15" customHeight="1">
      <c r="A7" s="4" t="s">
        <v>205</v>
      </c>
      <c r="B7" s="5" t="s">
        <v>206</v>
      </c>
      <c r="C7" s="6" t="s">
        <v>193</v>
      </c>
      <c r="D7" s="6" t="s">
        <v>207</v>
      </c>
      <c r="E7" s="6" t="s">
        <v>89</v>
      </c>
      <c r="F7" s="32" t="s">
        <v>195</v>
      </c>
      <c r="G7" s="34"/>
      <c r="H7" s="35"/>
      <c r="I7" s="35">
        <v>3</v>
      </c>
      <c r="J7" s="35"/>
      <c r="K7" s="35"/>
      <c r="L7" s="9">
        <f t="shared" si="0"/>
        <v>3</v>
      </c>
      <c r="M7" s="76" t="str">
        <f t="shared" si="1"/>
        <v/>
      </c>
      <c r="N7" s="76" t="str">
        <f t="shared" si="1"/>
        <v/>
      </c>
      <c r="O7" s="76">
        <f t="shared" si="1"/>
        <v>2</v>
      </c>
      <c r="P7" s="76" t="str">
        <f t="shared" si="1"/>
        <v/>
      </c>
      <c r="Q7" s="76" t="str">
        <f t="shared" si="1"/>
        <v/>
      </c>
      <c r="R7" s="72">
        <f t="shared" si="2"/>
        <v>2</v>
      </c>
      <c r="S7" s="73" t="str">
        <f t="shared" si="3"/>
        <v>MEDIA</v>
      </c>
      <c r="T7" s="79"/>
      <c r="U7" s="10"/>
      <c r="V7" s="10"/>
      <c r="W7" s="10"/>
      <c r="X7" s="10"/>
      <c r="Y7" s="10"/>
      <c r="Z7" s="10"/>
      <c r="AA7" s="10"/>
      <c r="AB7" s="10"/>
      <c r="AC7" s="10"/>
      <c r="AD7" s="10"/>
      <c r="AE7" s="10"/>
      <c r="AF7" s="10"/>
      <c r="AG7" s="10"/>
      <c r="AH7" s="10"/>
      <c r="AI7" s="10"/>
    </row>
    <row r="8" spans="1:35" s="2" customFormat="1" ht="21.6" customHeight="1">
      <c r="A8" s="4" t="s">
        <v>208</v>
      </c>
      <c r="B8" s="5" t="s">
        <v>209</v>
      </c>
      <c r="C8" s="6" t="s">
        <v>210</v>
      </c>
      <c r="D8" s="6" t="s">
        <v>211</v>
      </c>
      <c r="E8" s="6" t="s">
        <v>89</v>
      </c>
      <c r="F8" s="32" t="s">
        <v>195</v>
      </c>
      <c r="G8" s="34"/>
      <c r="H8" s="35">
        <v>3</v>
      </c>
      <c r="I8" s="35">
        <v>3</v>
      </c>
      <c r="J8" s="35">
        <v>3</v>
      </c>
      <c r="K8" s="35"/>
      <c r="L8" s="9">
        <f t="shared" ref="L8" si="4">IF(OR(G8&lt;&gt;"",H8&lt;&gt;"",I8&lt;&gt;"",K8&lt;&gt;"",J8&lt;&gt;""),MAX(G8:K8),"")</f>
        <v>3</v>
      </c>
      <c r="M8" s="76" t="str">
        <f t="shared" ref="M8" si="5">IF(G8="","",VLOOKUP(G8,Valor_Actiu_NivellENS,2,FALSE))</f>
        <v/>
      </c>
      <c r="N8" s="76">
        <f t="shared" ref="N8" si="6">IF(H8="","",VLOOKUP(H8,Valor_Actiu_NivellENS,2,FALSE))</f>
        <v>2</v>
      </c>
      <c r="O8" s="76">
        <f t="shared" ref="O8" si="7">IF(I8="","",VLOOKUP(I8,Valor_Actiu_NivellENS,2,FALSE))</f>
        <v>2</v>
      </c>
      <c r="P8" s="76">
        <f t="shared" ref="P8" si="8">IF(J8="","",VLOOKUP(J8,Valor_Actiu_NivellENS,2,FALSE))</f>
        <v>2</v>
      </c>
      <c r="Q8" s="76" t="str">
        <f t="shared" ref="Q8" si="9">IF(K8="","",VLOOKUP(K8,Valor_Actiu_NivellENS,2,FALSE))</f>
        <v/>
      </c>
      <c r="R8" s="72">
        <f t="shared" ref="R8" si="10">IF(OR(M8&lt;&gt;"",N8&lt;&gt;"",O8&lt;&gt;"",Q8&lt;&gt;"",P8&lt;&gt;""),MAX(M8:Q8),"")</f>
        <v>2</v>
      </c>
      <c r="S8" s="73" t="str">
        <f t="shared" ref="S8" si="11">VLOOKUP(R8,NivellENS_Categoria,2,FALSE)</f>
        <v>MEDIA</v>
      </c>
      <c r="T8" s="79"/>
      <c r="U8" s="10"/>
      <c r="V8" s="10"/>
      <c r="W8" s="10"/>
      <c r="X8" s="10"/>
      <c r="Y8" s="10"/>
      <c r="Z8" s="10"/>
      <c r="AA8" s="10"/>
      <c r="AB8" s="10"/>
      <c r="AC8" s="10"/>
      <c r="AD8" s="10"/>
      <c r="AE8" s="10"/>
      <c r="AF8" s="10"/>
      <c r="AG8" s="10"/>
      <c r="AH8" s="10"/>
      <c r="AI8" s="10"/>
    </row>
  </sheetData>
  <mergeCells count="6">
    <mergeCell ref="A1:B1"/>
    <mergeCell ref="G1:T1"/>
    <mergeCell ref="C1:F1"/>
    <mergeCell ref="M2:S2"/>
    <mergeCell ref="G2:L2"/>
    <mergeCell ref="A2:F2"/>
  </mergeCells>
  <phoneticPr fontId="21" type="noConversion"/>
  <conditionalFormatting sqref="L4:L8">
    <cfRule type="colorScale" priority="4">
      <colorScale>
        <cfvo type="num" val="0"/>
        <cfvo type="num" val="3"/>
        <color rgb="FFFFEF9C"/>
        <color theme="5"/>
      </colorScale>
    </cfRule>
  </conditionalFormatting>
  <conditionalFormatting sqref="S4:S8">
    <cfRule type="cellIs" dxfId="23" priority="1" operator="equal">
      <formula>"ALTA"</formula>
    </cfRule>
    <cfRule type="cellIs" dxfId="22" priority="2" operator="equal">
      <formula>"BAJA"</formula>
    </cfRule>
    <cfRule type="cellIs" dxfId="21" priority="3" operator="equal">
      <formula>"MEDIA"</formula>
    </cfRule>
  </conditionalFormatting>
  <dataValidations count="1">
    <dataValidation type="list" allowBlank="1" showErrorMessage="1" sqref="G4:H8 J4:K8" xr:uid="{3D652FE2-B979-4763-8979-6ADCED60E9D4}">
      <formula1>Impacte</formula1>
    </dataValidation>
  </dataValidations>
  <pageMargins left="0.7" right="0.7" top="0.75" bottom="0.75" header="0" footer="0"/>
  <pageSetup scale="4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I21"/>
  <sheetViews>
    <sheetView tabSelected="1" zoomScale="80" zoomScaleNormal="80" workbookViewId="0">
      <selection activeCell="E7" sqref="E7"/>
    </sheetView>
  </sheetViews>
  <sheetFormatPr defaultColWidth="14.28515625" defaultRowHeight="15" customHeight="1"/>
  <cols>
    <col min="1" max="1" width="7.28515625" customWidth="1"/>
    <col min="2" max="2" width="29.140625" customWidth="1"/>
    <col min="3" max="3" width="30.42578125" customWidth="1"/>
    <col min="4" max="4" width="44" customWidth="1"/>
    <col min="5" max="5" width="52.28515625" customWidth="1"/>
    <col min="6" max="6" width="14.140625" customWidth="1"/>
    <col min="7" max="11" width="6.7109375" customWidth="1"/>
    <col min="12" max="12" width="9.140625" customWidth="1"/>
    <col min="13" max="17" width="7.7109375" style="63" customWidth="1"/>
    <col min="18" max="19" width="11.28515625" style="63" customWidth="1"/>
    <col min="20" max="20" width="52.7109375" customWidth="1"/>
    <col min="21" max="35" width="9.140625" customWidth="1"/>
  </cols>
  <sheetData>
    <row r="1" spans="1:35" ht="60.4" customHeight="1">
      <c r="A1" s="222"/>
      <c r="B1" s="265"/>
      <c r="C1" s="229" t="s">
        <v>212</v>
      </c>
      <c r="D1" s="230"/>
      <c r="E1" s="230"/>
      <c r="F1" s="230"/>
      <c r="G1" s="218"/>
      <c r="H1" s="260"/>
      <c r="I1" s="260"/>
      <c r="J1" s="260"/>
      <c r="K1" s="260"/>
      <c r="L1" s="260"/>
      <c r="M1" s="260"/>
      <c r="N1" s="260"/>
      <c r="O1" s="260"/>
      <c r="P1" s="260"/>
      <c r="Q1" s="260"/>
      <c r="R1" s="260"/>
      <c r="S1" s="260"/>
      <c r="T1" s="259"/>
    </row>
    <row r="2" spans="1:35" ht="46.9" customHeight="1">
      <c r="A2" s="145"/>
      <c r="B2" s="41"/>
      <c r="C2" s="52"/>
      <c r="D2" s="52"/>
      <c r="E2" s="52"/>
      <c r="F2" s="174"/>
      <c r="G2" s="221" t="s">
        <v>49</v>
      </c>
      <c r="H2" s="261"/>
      <c r="I2" s="261"/>
      <c r="J2" s="261"/>
      <c r="K2" s="261"/>
      <c r="L2" s="262"/>
      <c r="M2" s="231" t="s">
        <v>50</v>
      </c>
      <c r="N2" s="266"/>
      <c r="O2" s="266"/>
      <c r="P2" s="266"/>
      <c r="Q2" s="266"/>
      <c r="R2" s="266"/>
      <c r="S2" s="267"/>
      <c r="T2" s="68"/>
    </row>
    <row r="3" spans="1:35" s="2" customFormat="1" ht="94.9" customHeight="1">
      <c r="A3" s="99" t="s">
        <v>18</v>
      </c>
      <c r="B3" s="99" t="s">
        <v>24</v>
      </c>
      <c r="C3" s="99" t="s">
        <v>26</v>
      </c>
      <c r="D3" s="99" t="s">
        <v>30</v>
      </c>
      <c r="E3" s="99" t="s">
        <v>28</v>
      </c>
      <c r="F3" s="103" t="s">
        <v>97</v>
      </c>
      <c r="G3" s="121" t="s">
        <v>55</v>
      </c>
      <c r="H3" s="100" t="s">
        <v>54</v>
      </c>
      <c r="I3" s="100" t="s">
        <v>34</v>
      </c>
      <c r="J3" s="100" t="s">
        <v>56</v>
      </c>
      <c r="K3" s="100" t="s">
        <v>57</v>
      </c>
      <c r="L3" s="122" t="s">
        <v>58</v>
      </c>
      <c r="M3" s="167" t="s">
        <v>55</v>
      </c>
      <c r="N3" s="148" t="s">
        <v>54</v>
      </c>
      <c r="O3" s="148" t="s">
        <v>34</v>
      </c>
      <c r="P3" s="148" t="s">
        <v>56</v>
      </c>
      <c r="Q3" s="148" t="s">
        <v>57</v>
      </c>
      <c r="R3" s="149" t="s">
        <v>59</v>
      </c>
      <c r="S3" s="168" t="s">
        <v>60</v>
      </c>
      <c r="T3" s="119" t="s">
        <v>44</v>
      </c>
      <c r="U3" s="3"/>
      <c r="V3" s="3"/>
      <c r="W3" s="3"/>
      <c r="X3" s="3"/>
      <c r="Y3" s="3"/>
      <c r="Z3" s="3"/>
      <c r="AA3" s="3"/>
      <c r="AB3" s="3"/>
      <c r="AC3" s="3"/>
      <c r="AD3" s="3"/>
      <c r="AE3" s="3"/>
      <c r="AF3" s="3"/>
      <c r="AG3" s="3"/>
      <c r="AH3" s="3"/>
      <c r="AI3" s="3"/>
    </row>
    <row r="4" spans="1:35" s="2" customFormat="1" ht="37.5" customHeight="1">
      <c r="A4" s="42" t="s">
        <v>213</v>
      </c>
      <c r="B4" s="6" t="s">
        <v>214</v>
      </c>
      <c r="C4" s="6" t="s">
        <v>215</v>
      </c>
      <c r="D4" s="6" t="s">
        <v>216</v>
      </c>
      <c r="E4" s="30" t="s">
        <v>147</v>
      </c>
      <c r="F4" s="151" t="s">
        <v>71</v>
      </c>
      <c r="G4" s="34">
        <v>2</v>
      </c>
      <c r="H4" s="35">
        <v>2</v>
      </c>
      <c r="I4" s="35">
        <v>2</v>
      </c>
      <c r="J4" s="35">
        <v>1</v>
      </c>
      <c r="K4" s="35">
        <v>1</v>
      </c>
      <c r="L4" s="9">
        <f t="shared" ref="L4:L8" si="0">IF(OR(G4&lt;&gt;"",H4&lt;&gt;"",I4&lt;&gt;"",K4&lt;&gt;"",J4&lt;&gt;""),MAX(G4:K4),"")</f>
        <v>2</v>
      </c>
      <c r="M4" s="165">
        <f t="shared" ref="M4:Q9" si="1">IF(G4="","",VLOOKUP(G4,Valor_Actiu_NivellENS,2,FALSE))</f>
        <v>2</v>
      </c>
      <c r="N4" s="76">
        <f t="shared" si="1"/>
        <v>2</v>
      </c>
      <c r="O4" s="76">
        <f t="shared" si="1"/>
        <v>2</v>
      </c>
      <c r="P4" s="76">
        <f t="shared" si="1"/>
        <v>1</v>
      </c>
      <c r="Q4" s="76">
        <f t="shared" si="1"/>
        <v>1</v>
      </c>
      <c r="R4" s="72">
        <f t="shared" ref="R4:R9" si="2">IF(OR(M4&lt;&gt;"",N4&lt;&gt;"",O4&lt;&gt;"",Q4&lt;&gt;"",P4&lt;&gt;""),MAX(M4:Q4),"")</f>
        <v>2</v>
      </c>
      <c r="S4" s="73" t="str">
        <f t="shared" ref="S4:S9" si="3">VLOOKUP(R4,NivellENS_Categoria,2,FALSE)</f>
        <v>MEDIA</v>
      </c>
      <c r="T4" s="33"/>
      <c r="U4" s="10"/>
      <c r="V4" s="10"/>
      <c r="W4" s="10"/>
      <c r="X4" s="10"/>
      <c r="Y4" s="10"/>
      <c r="Z4" s="10"/>
      <c r="AA4" s="10"/>
      <c r="AB4" s="10"/>
      <c r="AC4" s="10"/>
      <c r="AD4" s="10"/>
      <c r="AE4" s="10"/>
      <c r="AF4" s="10"/>
      <c r="AG4" s="10"/>
      <c r="AH4" s="10"/>
      <c r="AI4" s="10"/>
    </row>
    <row r="5" spans="1:35" s="115" customFormat="1" ht="41.45">
      <c r="A5" s="42" t="s">
        <v>217</v>
      </c>
      <c r="B5" s="6" t="s">
        <v>218</v>
      </c>
      <c r="C5" s="6" t="s">
        <v>219</v>
      </c>
      <c r="D5" s="6" t="s">
        <v>220</v>
      </c>
      <c r="E5" s="6" t="s">
        <v>221</v>
      </c>
      <c r="F5" s="151" t="s">
        <v>71</v>
      </c>
      <c r="G5" s="34">
        <v>3</v>
      </c>
      <c r="H5" s="35">
        <v>2</v>
      </c>
      <c r="I5" s="35">
        <v>2</v>
      </c>
      <c r="J5" s="35">
        <v>2</v>
      </c>
      <c r="K5" s="35">
        <v>1</v>
      </c>
      <c r="L5" s="9">
        <f t="shared" si="0"/>
        <v>3</v>
      </c>
      <c r="M5" s="165">
        <f t="shared" si="1"/>
        <v>2</v>
      </c>
      <c r="N5" s="76">
        <f t="shared" si="1"/>
        <v>2</v>
      </c>
      <c r="O5" s="76">
        <f t="shared" si="1"/>
        <v>2</v>
      </c>
      <c r="P5" s="76">
        <f t="shared" si="1"/>
        <v>2</v>
      </c>
      <c r="Q5" s="76">
        <f t="shared" si="1"/>
        <v>1</v>
      </c>
      <c r="R5" s="72">
        <f t="shared" si="2"/>
        <v>2</v>
      </c>
      <c r="S5" s="74" t="str">
        <f t="shared" si="3"/>
        <v>MEDIA</v>
      </c>
      <c r="T5" s="166"/>
      <c r="U5" s="87"/>
      <c r="V5" s="87"/>
      <c r="W5" s="87"/>
      <c r="X5" s="87"/>
      <c r="Y5" s="87"/>
      <c r="Z5" s="87"/>
      <c r="AA5" s="87"/>
      <c r="AB5" s="87"/>
      <c r="AC5" s="87"/>
      <c r="AD5" s="87"/>
      <c r="AE5" s="87"/>
      <c r="AF5" s="87"/>
      <c r="AG5" s="87"/>
      <c r="AH5" s="87"/>
      <c r="AI5" s="87"/>
    </row>
    <row r="6" spans="1:35" s="115" customFormat="1" ht="55.15">
      <c r="A6" s="42" t="s">
        <v>217</v>
      </c>
      <c r="B6" s="6" t="s">
        <v>222</v>
      </c>
      <c r="C6" s="6" t="s">
        <v>219</v>
      </c>
      <c r="D6" s="6" t="s">
        <v>223</v>
      </c>
      <c r="E6" s="30" t="s">
        <v>224</v>
      </c>
      <c r="F6" s="151" t="s">
        <v>71</v>
      </c>
      <c r="G6" s="34">
        <v>3</v>
      </c>
      <c r="H6" s="35">
        <v>2</v>
      </c>
      <c r="I6" s="35">
        <v>2</v>
      </c>
      <c r="J6" s="35">
        <v>2</v>
      </c>
      <c r="K6" s="35">
        <v>1</v>
      </c>
      <c r="L6" s="9">
        <f t="shared" si="0"/>
        <v>3</v>
      </c>
      <c r="M6" s="165">
        <f t="shared" ref="M6" si="4">IF(G6="","",VLOOKUP(G6,Valor_Actiu_NivellENS,2,FALSE))</f>
        <v>2</v>
      </c>
      <c r="N6" s="76">
        <f t="shared" ref="N6" si="5">IF(H6="","",VLOOKUP(H6,Valor_Actiu_NivellENS,2,FALSE))</f>
        <v>2</v>
      </c>
      <c r="O6" s="76">
        <f t="shared" ref="O6" si="6">IF(I6="","",VLOOKUP(I6,Valor_Actiu_NivellENS,2,FALSE))</f>
        <v>2</v>
      </c>
      <c r="P6" s="76">
        <f t="shared" ref="P6" si="7">IF(J6="","",VLOOKUP(J6,Valor_Actiu_NivellENS,2,FALSE))</f>
        <v>2</v>
      </c>
      <c r="Q6" s="76">
        <f t="shared" ref="Q6" si="8">IF(K6="","",VLOOKUP(K6,Valor_Actiu_NivellENS,2,FALSE))</f>
        <v>1</v>
      </c>
      <c r="R6" s="72">
        <f t="shared" ref="R6" si="9">IF(OR(M6&lt;&gt;"",N6&lt;&gt;"",O6&lt;&gt;"",Q6&lt;&gt;"",P6&lt;&gt;""),MAX(M6:Q6),"")</f>
        <v>2</v>
      </c>
      <c r="S6" s="74" t="str">
        <f t="shared" ref="S6" si="10">VLOOKUP(R6,NivellENS_Categoria,2,FALSE)</f>
        <v>MEDIA</v>
      </c>
      <c r="T6" s="166"/>
      <c r="U6" s="87"/>
      <c r="V6" s="87"/>
      <c r="W6" s="87"/>
      <c r="X6" s="87"/>
      <c r="Y6" s="87"/>
      <c r="Z6" s="87"/>
      <c r="AA6" s="87"/>
      <c r="AB6" s="87"/>
      <c r="AC6" s="87"/>
      <c r="AD6" s="87"/>
      <c r="AE6" s="87"/>
      <c r="AF6" s="87"/>
      <c r="AG6" s="87"/>
      <c r="AH6" s="87"/>
      <c r="AI6" s="87"/>
    </row>
    <row r="7" spans="1:35" s="115" customFormat="1" ht="42" customHeight="1">
      <c r="A7" s="42" t="s">
        <v>225</v>
      </c>
      <c r="B7" s="6" t="s">
        <v>226</v>
      </c>
      <c r="C7" s="6" t="s">
        <v>227</v>
      </c>
      <c r="D7" s="6" t="s">
        <v>228</v>
      </c>
      <c r="E7" s="30" t="s">
        <v>126</v>
      </c>
      <c r="F7" s="151" t="s">
        <v>71</v>
      </c>
      <c r="G7" s="34">
        <v>2</v>
      </c>
      <c r="H7" s="35">
        <v>2</v>
      </c>
      <c r="I7" s="35">
        <v>2</v>
      </c>
      <c r="J7" s="35">
        <v>2</v>
      </c>
      <c r="K7" s="35">
        <v>2</v>
      </c>
      <c r="L7" s="9">
        <f t="shared" si="0"/>
        <v>2</v>
      </c>
      <c r="M7" s="165">
        <f t="shared" si="1"/>
        <v>2</v>
      </c>
      <c r="N7" s="76">
        <f t="shared" si="1"/>
        <v>2</v>
      </c>
      <c r="O7" s="76">
        <f t="shared" si="1"/>
        <v>2</v>
      </c>
      <c r="P7" s="76">
        <f t="shared" si="1"/>
        <v>2</v>
      </c>
      <c r="Q7" s="76">
        <f t="shared" si="1"/>
        <v>2</v>
      </c>
      <c r="R7" s="72">
        <f t="shared" si="2"/>
        <v>2</v>
      </c>
      <c r="S7" s="74" t="str">
        <f t="shared" si="3"/>
        <v>MEDIA</v>
      </c>
      <c r="T7" s="166"/>
      <c r="U7" s="87"/>
      <c r="V7" s="87"/>
      <c r="W7" s="87"/>
      <c r="X7" s="87"/>
      <c r="Y7" s="87"/>
      <c r="Z7" s="87"/>
      <c r="AA7" s="87"/>
      <c r="AB7" s="87"/>
      <c r="AC7" s="87"/>
      <c r="AD7" s="87"/>
      <c r="AE7" s="87"/>
      <c r="AF7" s="87"/>
      <c r="AG7" s="87"/>
      <c r="AH7" s="87"/>
      <c r="AI7" s="87"/>
    </row>
    <row r="8" spans="1:35" s="115" customFormat="1" ht="37.5" customHeight="1">
      <c r="A8" s="42" t="s">
        <v>229</v>
      </c>
      <c r="B8" s="6" t="s">
        <v>230</v>
      </c>
      <c r="C8" s="6" t="s">
        <v>219</v>
      </c>
      <c r="D8" s="6" t="s">
        <v>231</v>
      </c>
      <c r="E8" s="6" t="s">
        <v>84</v>
      </c>
      <c r="F8" s="151" t="s">
        <v>71</v>
      </c>
      <c r="G8" s="34">
        <v>1</v>
      </c>
      <c r="H8" s="35">
        <v>1</v>
      </c>
      <c r="I8" s="35">
        <v>1</v>
      </c>
      <c r="J8" s="35">
        <v>1</v>
      </c>
      <c r="K8" s="35">
        <v>1</v>
      </c>
      <c r="L8" s="9">
        <f t="shared" si="0"/>
        <v>1</v>
      </c>
      <c r="M8" s="165">
        <f t="shared" si="1"/>
        <v>1</v>
      </c>
      <c r="N8" s="76">
        <f t="shared" si="1"/>
        <v>1</v>
      </c>
      <c r="O8" s="76">
        <f t="shared" si="1"/>
        <v>1</v>
      </c>
      <c r="P8" s="76">
        <f t="shared" si="1"/>
        <v>1</v>
      </c>
      <c r="Q8" s="76">
        <f t="shared" si="1"/>
        <v>1</v>
      </c>
      <c r="R8" s="72">
        <f t="shared" si="2"/>
        <v>1</v>
      </c>
      <c r="S8" s="74" t="str">
        <f t="shared" si="3"/>
        <v>BAJA</v>
      </c>
      <c r="T8" s="166"/>
      <c r="U8" s="87"/>
      <c r="V8" s="87"/>
      <c r="W8" s="87"/>
      <c r="X8" s="87"/>
      <c r="Y8" s="87"/>
      <c r="Z8" s="87"/>
      <c r="AA8" s="87"/>
      <c r="AB8" s="87"/>
      <c r="AC8" s="87"/>
      <c r="AD8" s="87"/>
      <c r="AE8" s="87"/>
      <c r="AF8" s="87"/>
      <c r="AG8" s="87"/>
      <c r="AH8" s="87"/>
      <c r="AI8" s="87"/>
    </row>
    <row r="9" spans="1:35" s="21" customFormat="1" ht="37.5" customHeight="1">
      <c r="A9" s="4" t="s">
        <v>232</v>
      </c>
      <c r="B9" s="6" t="s">
        <v>233</v>
      </c>
      <c r="C9" s="6" t="s">
        <v>227</v>
      </c>
      <c r="D9" s="6" t="s">
        <v>234</v>
      </c>
      <c r="E9" s="6" t="s">
        <v>147</v>
      </c>
      <c r="F9" s="151" t="s">
        <v>71</v>
      </c>
      <c r="G9" s="198">
        <v>3</v>
      </c>
      <c r="H9" s="7">
        <v>2</v>
      </c>
      <c r="I9" s="7">
        <v>3</v>
      </c>
      <c r="J9" s="7">
        <v>3</v>
      </c>
      <c r="K9" s="7">
        <v>3</v>
      </c>
      <c r="L9" s="9">
        <v>3</v>
      </c>
      <c r="M9" s="70">
        <f t="shared" si="1"/>
        <v>2</v>
      </c>
      <c r="N9" s="71">
        <f t="shared" si="1"/>
        <v>2</v>
      </c>
      <c r="O9" s="71">
        <f t="shared" si="1"/>
        <v>2</v>
      </c>
      <c r="P9" s="71">
        <f t="shared" si="1"/>
        <v>2</v>
      </c>
      <c r="Q9" s="71">
        <f t="shared" si="1"/>
        <v>2</v>
      </c>
      <c r="R9" s="72">
        <f t="shared" si="2"/>
        <v>2</v>
      </c>
      <c r="S9" s="73" t="str">
        <f t="shared" si="3"/>
        <v>MEDIA</v>
      </c>
      <c r="T9" s="33"/>
      <c r="U9" s="18"/>
      <c r="V9" s="18"/>
      <c r="W9" s="18"/>
      <c r="X9" s="18"/>
      <c r="Y9" s="18"/>
      <c r="Z9" s="18"/>
      <c r="AA9" s="18"/>
      <c r="AB9" s="18"/>
      <c r="AC9" s="18"/>
      <c r="AD9" s="18"/>
      <c r="AE9" s="18"/>
      <c r="AF9" s="18"/>
      <c r="AG9" s="18"/>
      <c r="AH9" s="18"/>
      <c r="AI9" s="18"/>
    </row>
    <row r="10" spans="1:35" s="114" customFormat="1" ht="37.5" customHeight="1">
      <c r="A10" s="82" t="s">
        <v>235</v>
      </c>
      <c r="B10" s="150"/>
      <c r="C10" s="6"/>
      <c r="D10" s="6"/>
      <c r="E10" s="84"/>
      <c r="F10" s="151"/>
      <c r="G10" s="34"/>
      <c r="H10" s="35"/>
      <c r="I10" s="35"/>
      <c r="J10" s="35"/>
      <c r="K10" s="35"/>
      <c r="L10" s="9"/>
      <c r="M10" s="165" t="str">
        <f t="shared" ref="M10" si="11">IF(G10="","",VLOOKUP(G10,Valor_Actiu_NivellENS,2,FALSE))</f>
        <v/>
      </c>
      <c r="N10" s="76" t="str">
        <f t="shared" ref="N10" si="12">IF(H10="","",VLOOKUP(H10,Valor_Actiu_NivellENS,2,FALSE))</f>
        <v/>
      </c>
      <c r="O10" s="76" t="str">
        <f t="shared" ref="O10" si="13">IF(I10="","",VLOOKUP(I10,Valor_Actiu_NivellENS,2,FALSE))</f>
        <v/>
      </c>
      <c r="P10" s="76" t="str">
        <f t="shared" ref="P10" si="14">IF(J10="","",VLOOKUP(J10,Valor_Actiu_NivellENS,2,FALSE))</f>
        <v/>
      </c>
      <c r="Q10" s="76" t="str">
        <f t="shared" ref="Q10" si="15">IF(K10="","",VLOOKUP(K10,Valor_Actiu_NivellENS,2,FALSE))</f>
        <v/>
      </c>
      <c r="R10" s="72" t="str">
        <f t="shared" ref="R10" si="16">IF(OR(M10&lt;&gt;"",N10&lt;&gt;"",O10&lt;&gt;"",Q10&lt;&gt;"",P10&lt;&gt;""),MAX(M10:Q10),"")</f>
        <v/>
      </c>
      <c r="S10" s="74" t="e">
        <f t="shared" ref="S10" si="17">VLOOKUP(R10,NivellENS_Categoria,2,FALSE)</f>
        <v>#N/A</v>
      </c>
      <c r="T10" s="166"/>
      <c r="U10" s="116"/>
      <c r="V10" s="116"/>
      <c r="W10" s="116"/>
      <c r="X10" s="116"/>
      <c r="Y10" s="116"/>
      <c r="Z10" s="116"/>
      <c r="AA10" s="116"/>
      <c r="AB10" s="116"/>
      <c r="AC10" s="116"/>
      <c r="AD10" s="116"/>
      <c r="AE10" s="116"/>
      <c r="AF10" s="116"/>
      <c r="AG10" s="116"/>
      <c r="AH10" s="116"/>
      <c r="AI10" s="116"/>
    </row>
    <row r="21" spans="5:5" ht="15" customHeight="1">
      <c r="E21" s="6" t="s">
        <v>236</v>
      </c>
    </row>
  </sheetData>
  <mergeCells count="5">
    <mergeCell ref="A1:B1"/>
    <mergeCell ref="G1:T1"/>
    <mergeCell ref="C1:F1"/>
    <mergeCell ref="M2:S2"/>
    <mergeCell ref="G2:L2"/>
  </mergeCells>
  <phoneticPr fontId="21" type="noConversion"/>
  <conditionalFormatting sqref="L4:L8">
    <cfRule type="colorScale" priority="1">
      <colorScale>
        <cfvo type="num" val="0"/>
        <cfvo type="num" val="3"/>
        <color rgb="FFFFEF9C"/>
        <color theme="5"/>
      </colorScale>
    </cfRule>
  </conditionalFormatting>
  <conditionalFormatting sqref="L9:L10">
    <cfRule type="colorScale" priority="2">
      <colorScale>
        <cfvo type="num" val="0"/>
        <cfvo type="num" val="3"/>
        <color rgb="FFFFEF9C"/>
        <color theme="5"/>
      </colorScale>
    </cfRule>
  </conditionalFormatting>
  <conditionalFormatting sqref="S4:S10">
    <cfRule type="cellIs" dxfId="20" priority="3" operator="equal">
      <formula>"ALTA"</formula>
    </cfRule>
    <cfRule type="cellIs" dxfId="19" priority="4" operator="equal">
      <formula>"BAJA"</formula>
    </cfRule>
    <cfRule type="cellIs" dxfId="18" priority="5" operator="equal">
      <formula>"MEDIA"</formula>
    </cfRule>
  </conditionalFormatting>
  <dataValidations count="1">
    <dataValidation type="list" allowBlank="1" showErrorMessage="1" sqref="G4:K10" xr:uid="{CAC354AC-FFEB-4A37-87DE-C9AC9E2854F9}">
      <formula1>Impacte</formula1>
    </dataValidation>
  </dataValidations>
  <pageMargins left="0.7" right="0.7" top="0.75" bottom="0.75" header="0" footer="0"/>
  <pageSetup scale="47"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I5"/>
  <sheetViews>
    <sheetView zoomScale="80" zoomScaleNormal="80" workbookViewId="0">
      <selection activeCell="D29" sqref="D29"/>
    </sheetView>
  </sheetViews>
  <sheetFormatPr defaultColWidth="14.28515625" defaultRowHeight="15" customHeight="1"/>
  <cols>
    <col min="1" max="1" width="7.28515625" customWidth="1"/>
    <col min="2" max="2" width="39.28515625" customWidth="1"/>
    <col min="3" max="3" width="31.85546875" bestFit="1" customWidth="1"/>
    <col min="4" max="4" width="56.28515625" customWidth="1"/>
    <col min="5" max="5" width="41.140625" bestFit="1" customWidth="1"/>
    <col min="6" max="6" width="24.28515625" customWidth="1"/>
    <col min="7" max="11" width="8" customWidth="1"/>
    <col min="12" max="12" width="11.28515625" customWidth="1"/>
    <col min="13" max="17" width="7.7109375" style="63" customWidth="1"/>
    <col min="18" max="19" width="11.28515625" style="63" customWidth="1"/>
    <col min="20" max="20" width="52.7109375" customWidth="1"/>
    <col min="21" max="35" width="9.140625" customWidth="1"/>
  </cols>
  <sheetData>
    <row r="1" spans="1:35" ht="58.15" customHeight="1">
      <c r="A1" s="233"/>
      <c r="B1" s="234"/>
      <c r="C1" s="211" t="s">
        <v>237</v>
      </c>
      <c r="D1" s="212"/>
      <c r="E1" s="212"/>
      <c r="F1" s="232"/>
      <c r="G1" s="223"/>
      <c r="H1" s="260"/>
      <c r="I1" s="260"/>
      <c r="J1" s="260"/>
      <c r="K1" s="260"/>
      <c r="L1" s="260"/>
      <c r="M1" s="252"/>
      <c r="N1" s="252"/>
      <c r="O1" s="252"/>
      <c r="P1" s="252"/>
      <c r="Q1" s="252"/>
      <c r="R1" s="252"/>
      <c r="S1" s="252"/>
      <c r="T1" s="256"/>
    </row>
    <row r="2" spans="1:35" ht="33.4" customHeight="1">
      <c r="A2" s="54"/>
      <c r="B2" s="55"/>
      <c r="C2" s="53"/>
      <c r="D2" s="52"/>
      <c r="E2" s="52"/>
      <c r="F2" s="52"/>
      <c r="G2" s="236" t="s">
        <v>49</v>
      </c>
      <c r="H2" s="268"/>
      <c r="I2" s="268"/>
      <c r="J2" s="268"/>
      <c r="K2" s="268"/>
      <c r="L2" s="269"/>
      <c r="M2" s="235" t="s">
        <v>50</v>
      </c>
      <c r="N2" s="270"/>
      <c r="O2" s="270"/>
      <c r="P2" s="270"/>
      <c r="Q2" s="270"/>
      <c r="R2" s="270"/>
      <c r="S2" s="271"/>
      <c r="T2" s="68"/>
    </row>
    <row r="3" spans="1:35" s="2" customFormat="1" ht="81.599999999999994" customHeight="1" thickBot="1">
      <c r="A3" s="99" t="s">
        <v>18</v>
      </c>
      <c r="B3" s="99" t="s">
        <v>24</v>
      </c>
      <c r="C3" s="99" t="s">
        <v>26</v>
      </c>
      <c r="D3" s="99" t="s">
        <v>30</v>
      </c>
      <c r="E3" s="99" t="s">
        <v>28</v>
      </c>
      <c r="F3" s="103" t="s">
        <v>97</v>
      </c>
      <c r="G3" s="123" t="s">
        <v>55</v>
      </c>
      <c r="H3" s="100" t="s">
        <v>54</v>
      </c>
      <c r="I3" s="100" t="s">
        <v>34</v>
      </c>
      <c r="J3" s="100" t="s">
        <v>56</v>
      </c>
      <c r="K3" s="100" t="s">
        <v>57</v>
      </c>
      <c r="L3" s="124" t="s">
        <v>58</v>
      </c>
      <c r="M3" s="126" t="s">
        <v>55</v>
      </c>
      <c r="N3" s="109" t="s">
        <v>54</v>
      </c>
      <c r="O3" s="109" t="s">
        <v>34</v>
      </c>
      <c r="P3" s="109" t="s">
        <v>56</v>
      </c>
      <c r="Q3" s="109" t="s">
        <v>57</v>
      </c>
      <c r="R3" s="110" t="s">
        <v>59</v>
      </c>
      <c r="S3" s="127" t="s">
        <v>60</v>
      </c>
      <c r="T3" s="119" t="s">
        <v>44</v>
      </c>
      <c r="U3" s="3"/>
      <c r="V3" s="3"/>
      <c r="W3" s="3"/>
      <c r="X3" s="3"/>
      <c r="Y3" s="3"/>
      <c r="Z3" s="3"/>
      <c r="AA3" s="3"/>
      <c r="AB3" s="3"/>
      <c r="AC3" s="3"/>
      <c r="AD3" s="3"/>
      <c r="AE3" s="3"/>
      <c r="AF3" s="3"/>
      <c r="AG3" s="3"/>
      <c r="AH3" s="3"/>
      <c r="AI3" s="3"/>
    </row>
    <row r="4" spans="1:35" s="10" customFormat="1" ht="28.15" customHeight="1">
      <c r="A4" s="4" t="s">
        <v>238</v>
      </c>
      <c r="B4" s="178" t="s">
        <v>239</v>
      </c>
      <c r="C4" s="178" t="s">
        <v>240</v>
      </c>
      <c r="D4" s="178" t="s">
        <v>241</v>
      </c>
      <c r="E4" s="6" t="s">
        <v>95</v>
      </c>
      <c r="F4" s="179" t="s">
        <v>71</v>
      </c>
      <c r="G4" s="78">
        <v>2</v>
      </c>
      <c r="H4" s="7">
        <v>2</v>
      </c>
      <c r="I4" s="7">
        <v>1</v>
      </c>
      <c r="J4" s="7">
        <v>2</v>
      </c>
      <c r="K4" s="7">
        <v>2</v>
      </c>
      <c r="L4" s="69">
        <f t="shared" ref="L4" si="0">IF(OR(G4&lt;&gt;"",H4&lt;&gt;"",I4&lt;&gt;"",K4&lt;&gt;"",J4&lt;&gt;""),MAX(G4:K4),"")</f>
        <v>2</v>
      </c>
      <c r="M4" s="81">
        <f t="shared" ref="M4" si="1">IF(G4="","",VLOOKUP(G4,Valor_Actiu_NivellENS,2,FALSE))</f>
        <v>2</v>
      </c>
      <c r="N4" s="81">
        <f t="shared" ref="N4" si="2">IF(H4="","",VLOOKUP(H4,Valor_Actiu_NivellENS,2,FALSE))</f>
        <v>2</v>
      </c>
      <c r="O4" s="81">
        <f t="shared" ref="O4" si="3">IF(I4="","",VLOOKUP(I4,Valor_Actiu_NivellENS,2,FALSE))</f>
        <v>1</v>
      </c>
      <c r="P4" s="81">
        <f t="shared" ref="P4" si="4">IF(J4="","",VLOOKUP(J4,Valor_Actiu_NivellENS,2,FALSE))</f>
        <v>2</v>
      </c>
      <c r="Q4" s="81">
        <f t="shared" ref="Q4" si="5">IF(K4="","",VLOOKUP(K4,Valor_Actiu_NivellENS,2,FALSE))</f>
        <v>2</v>
      </c>
      <c r="R4" s="72">
        <f t="shared" ref="R4:R5" si="6">IF(OR(M4&lt;&gt;"",N4&lt;&gt;"",O4&lt;&gt;"",Q4&lt;&gt;"",P4&lt;&gt;""),MAX(M4:Q4),"")</f>
        <v>2</v>
      </c>
      <c r="S4" s="75" t="str">
        <f t="shared" ref="S4" si="7">VLOOKUP(R4,NivellENS_Categoria,2,FALSE)</f>
        <v>MEDIA</v>
      </c>
      <c r="T4" s="79"/>
    </row>
    <row r="5" spans="1:35" s="10" customFormat="1" ht="28.15" customHeight="1">
      <c r="A5" s="4" t="s">
        <v>242</v>
      </c>
      <c r="B5" s="6" t="s">
        <v>243</v>
      </c>
      <c r="C5" s="6" t="s">
        <v>240</v>
      </c>
      <c r="D5" s="6" t="s">
        <v>244</v>
      </c>
      <c r="E5" s="6" t="s">
        <v>95</v>
      </c>
      <c r="F5" s="180" t="s">
        <v>71</v>
      </c>
      <c r="G5" s="78">
        <v>2</v>
      </c>
      <c r="H5" s="7">
        <v>2</v>
      </c>
      <c r="I5" s="7">
        <v>2</v>
      </c>
      <c r="J5" s="7">
        <v>2</v>
      </c>
      <c r="K5" s="7">
        <v>2</v>
      </c>
      <c r="L5" s="69">
        <v>2</v>
      </c>
      <c r="M5" s="81">
        <v>2</v>
      </c>
      <c r="N5" s="81">
        <v>2</v>
      </c>
      <c r="O5" s="81">
        <v>2</v>
      </c>
      <c r="P5" s="81">
        <v>2</v>
      </c>
      <c r="Q5" s="81">
        <v>2</v>
      </c>
      <c r="R5" s="72">
        <f t="shared" si="6"/>
        <v>2</v>
      </c>
      <c r="S5" s="75"/>
      <c r="T5" s="79"/>
    </row>
  </sheetData>
  <mergeCells count="5">
    <mergeCell ref="G1:T1"/>
    <mergeCell ref="C1:F1"/>
    <mergeCell ref="A1:B1"/>
    <mergeCell ref="M2:S2"/>
    <mergeCell ref="G2:L2"/>
  </mergeCells>
  <phoneticPr fontId="20" type="noConversion"/>
  <conditionalFormatting sqref="L4:L5">
    <cfRule type="colorScale" priority="5">
      <colorScale>
        <cfvo type="num" val="0"/>
        <cfvo type="num" val="3"/>
        <color rgb="FFFFEF9C"/>
        <color theme="5"/>
      </colorScale>
    </cfRule>
  </conditionalFormatting>
  <conditionalFormatting sqref="S4:S5">
    <cfRule type="cellIs" dxfId="17" priority="1" operator="equal">
      <formula>"ALTA"</formula>
    </cfRule>
    <cfRule type="cellIs" dxfId="16" priority="2" operator="equal">
      <formula>"BAJA"</formula>
    </cfRule>
    <cfRule type="cellIs" dxfId="15" priority="3" operator="equal">
      <formula>"MEDIA"</formula>
    </cfRule>
  </conditionalFormatting>
  <dataValidations count="1">
    <dataValidation type="list" allowBlank="1" showErrorMessage="1" sqref="G4:K5 M4:Q5" xr:uid="{00000000-0002-0000-0700-000000000000}">
      <formula1>Impacte</formula1>
    </dataValidation>
  </dataValidations>
  <pageMargins left="0.7" right="0.7" top="0.75" bottom="0.75" header="0" footer="0"/>
  <pageSetup scale="4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I5"/>
  <sheetViews>
    <sheetView zoomScale="80" zoomScaleNormal="80" workbookViewId="0">
      <selection activeCell="L4" sqref="L4"/>
    </sheetView>
  </sheetViews>
  <sheetFormatPr defaultColWidth="14.28515625" defaultRowHeight="15" customHeight="1"/>
  <cols>
    <col min="1" max="1" width="9.28515625" customWidth="1"/>
    <col min="2" max="2" width="26.7109375" customWidth="1"/>
    <col min="3" max="3" width="31.28515625" customWidth="1"/>
    <col min="4" max="4" width="59" customWidth="1"/>
    <col min="5" max="5" width="57.85546875" customWidth="1"/>
    <col min="6" max="6" width="23.85546875" customWidth="1"/>
    <col min="7" max="11" width="7" customWidth="1"/>
    <col min="12" max="12" width="9.140625" customWidth="1"/>
    <col min="13" max="17" width="7.7109375" style="63" customWidth="1"/>
    <col min="18" max="19" width="11.28515625" style="63" customWidth="1"/>
    <col min="20" max="20" width="52.7109375" customWidth="1"/>
    <col min="21" max="35" width="9.140625" customWidth="1"/>
  </cols>
  <sheetData>
    <row r="1" spans="1:35" ht="55.15" customHeight="1">
      <c r="A1" s="210"/>
      <c r="B1" s="251"/>
      <c r="C1" s="237" t="s">
        <v>245</v>
      </c>
      <c r="D1" s="238"/>
      <c r="E1" s="238"/>
      <c r="F1" s="238"/>
      <c r="G1" s="212"/>
      <c r="H1" s="252"/>
      <c r="I1" s="252"/>
      <c r="J1" s="252"/>
      <c r="K1" s="252"/>
      <c r="L1" s="252"/>
      <c r="M1" s="252"/>
      <c r="N1" s="252"/>
      <c r="O1" s="252"/>
      <c r="P1" s="252"/>
      <c r="Q1" s="252"/>
      <c r="R1" s="252"/>
      <c r="S1" s="252"/>
      <c r="T1" s="256"/>
    </row>
    <row r="2" spans="1:35" ht="28.5" customHeight="1">
      <c r="A2" s="50"/>
      <c r="B2" s="51"/>
      <c r="C2" s="56"/>
      <c r="D2" s="57"/>
      <c r="E2" s="57"/>
      <c r="F2" s="57"/>
      <c r="G2" s="239" t="s">
        <v>49</v>
      </c>
      <c r="H2" s="268"/>
      <c r="I2" s="268"/>
      <c r="J2" s="268"/>
      <c r="K2" s="268"/>
      <c r="L2" s="272"/>
      <c r="M2" s="235" t="s">
        <v>50</v>
      </c>
      <c r="N2" s="270"/>
      <c r="O2" s="270"/>
      <c r="P2" s="270"/>
      <c r="Q2" s="270"/>
      <c r="R2" s="270"/>
      <c r="S2" s="271"/>
      <c r="T2" s="68"/>
    </row>
    <row r="3" spans="1:35" s="2" customFormat="1" ht="80.099999999999994" customHeight="1" thickBot="1">
      <c r="A3" s="99" t="s">
        <v>18</v>
      </c>
      <c r="B3" s="99" t="s">
        <v>24</v>
      </c>
      <c r="C3" s="99" t="s">
        <v>26</v>
      </c>
      <c r="D3" s="99" t="s">
        <v>30</v>
      </c>
      <c r="E3" s="99" t="s">
        <v>28</v>
      </c>
      <c r="F3" s="103" t="s">
        <v>97</v>
      </c>
      <c r="G3" s="125" t="s">
        <v>55</v>
      </c>
      <c r="H3" s="100" t="s">
        <v>54</v>
      </c>
      <c r="I3" s="100" t="s">
        <v>34</v>
      </c>
      <c r="J3" s="100" t="s">
        <v>56</v>
      </c>
      <c r="K3" s="100" t="s">
        <v>57</v>
      </c>
      <c r="L3" s="122" t="s">
        <v>58</v>
      </c>
      <c r="M3" s="126" t="s">
        <v>55</v>
      </c>
      <c r="N3" s="109" t="s">
        <v>54</v>
      </c>
      <c r="O3" s="109" t="s">
        <v>34</v>
      </c>
      <c r="P3" s="109" t="s">
        <v>56</v>
      </c>
      <c r="Q3" s="109" t="s">
        <v>57</v>
      </c>
      <c r="R3" s="110" t="s">
        <v>59</v>
      </c>
      <c r="S3" s="127" t="s">
        <v>60</v>
      </c>
      <c r="T3" s="102" t="s">
        <v>44</v>
      </c>
      <c r="U3" s="3"/>
      <c r="V3" s="3"/>
      <c r="W3" s="3"/>
      <c r="X3" s="3"/>
      <c r="Y3" s="3"/>
      <c r="Z3" s="3"/>
      <c r="AA3" s="3"/>
      <c r="AB3" s="3"/>
      <c r="AC3" s="3"/>
      <c r="AD3" s="3"/>
      <c r="AE3" s="3"/>
      <c r="AF3" s="3"/>
      <c r="AG3" s="3"/>
      <c r="AH3" s="3"/>
      <c r="AI3" s="3"/>
    </row>
    <row r="4" spans="1:35" s="10" customFormat="1" ht="54.6" customHeight="1" thickBot="1">
      <c r="A4" s="4" t="s">
        <v>246</v>
      </c>
      <c r="B4" s="131" t="s">
        <v>247</v>
      </c>
      <c r="C4" s="131" t="s">
        <v>248</v>
      </c>
      <c r="D4" s="132" t="s">
        <v>249</v>
      </c>
      <c r="E4" s="30" t="s">
        <v>161</v>
      </c>
      <c r="F4" s="32" t="s">
        <v>71</v>
      </c>
      <c r="G4" s="80">
        <v>3</v>
      </c>
      <c r="H4" s="7">
        <v>2</v>
      </c>
      <c r="I4" s="7">
        <v>2</v>
      </c>
      <c r="J4" s="7">
        <v>2</v>
      </c>
      <c r="K4" s="7">
        <v>2</v>
      </c>
      <c r="L4" s="9">
        <f t="shared" ref="L4" si="0">IF(OR(G4&lt;&gt;"",H4&lt;&gt;"",I4&lt;&gt;"",K4&lt;&gt;"",J4&lt;&gt;""),MAX(G4:K4),"")</f>
        <v>3</v>
      </c>
      <c r="M4" s="70">
        <f t="shared" ref="M4" si="1">VLOOKUP(G4,Valor_Actiu_NivellENS,2,FALSE)</f>
        <v>2</v>
      </c>
      <c r="N4" s="71">
        <f t="shared" ref="N4" si="2">VLOOKUP(H4,Valor_Actiu_NivellENS,2,FALSE)</f>
        <v>2</v>
      </c>
      <c r="O4" s="71">
        <f t="shared" ref="O4" si="3">VLOOKUP(I4,Valor_Actiu_NivellENS,2,FALSE)</f>
        <v>2</v>
      </c>
      <c r="P4" s="71">
        <f t="shared" ref="P4" si="4">VLOOKUP(J4,Valor_Actiu_NivellENS,2,FALSE)</f>
        <v>2</v>
      </c>
      <c r="Q4" s="71">
        <f t="shared" ref="Q4" si="5">VLOOKUP(K4,Valor_Actiu_NivellENS,2,FALSE)</f>
        <v>2</v>
      </c>
      <c r="R4" s="72">
        <f t="shared" ref="R4" si="6">IF(OR(M4&lt;&gt;"",N4&lt;&gt;"",O4&lt;&gt;"",Q4&lt;&gt;"",P4&lt;&gt;""),MAX(M4:Q4),"")</f>
        <v>2</v>
      </c>
      <c r="S4" s="73" t="str">
        <f t="shared" ref="S4" si="7">VLOOKUP(R4,NivellENS_Categoria,2,FALSE)</f>
        <v>MEDIA</v>
      </c>
      <c r="T4" s="5"/>
    </row>
    <row r="5" spans="1:35" s="10" customFormat="1" ht="55.15" customHeight="1" thickBot="1">
      <c r="A5" s="4" t="s">
        <v>250</v>
      </c>
      <c r="B5" s="5" t="s">
        <v>251</v>
      </c>
      <c r="C5" s="131" t="s">
        <v>248</v>
      </c>
      <c r="D5" s="10" t="s">
        <v>249</v>
      </c>
      <c r="E5" s="30" t="s">
        <v>252</v>
      </c>
      <c r="F5" s="32" t="s">
        <v>71</v>
      </c>
      <c r="G5" s="80">
        <v>3</v>
      </c>
      <c r="H5" s="7">
        <v>2</v>
      </c>
      <c r="I5" s="7">
        <v>2</v>
      </c>
      <c r="J5" s="7">
        <v>2</v>
      </c>
      <c r="K5" s="7">
        <v>2</v>
      </c>
      <c r="L5" s="9">
        <f t="shared" ref="L5" si="8">IF(OR(G5&lt;&gt;"",H5&lt;&gt;"",I5&lt;&gt;"",K5&lt;&gt;"",J5&lt;&gt;""),MAX(G5:K5),"")</f>
        <v>3</v>
      </c>
      <c r="M5" s="70">
        <f t="shared" ref="M5" si="9">VLOOKUP(G5,Valor_Actiu_NivellENS,2,FALSE)</f>
        <v>2</v>
      </c>
      <c r="N5" s="71">
        <f t="shared" ref="N5" si="10">VLOOKUP(H5,Valor_Actiu_NivellENS,2,FALSE)</f>
        <v>2</v>
      </c>
      <c r="O5" s="71">
        <f t="shared" ref="O5" si="11">VLOOKUP(I5,Valor_Actiu_NivellENS,2,FALSE)</f>
        <v>2</v>
      </c>
      <c r="P5" s="71">
        <f t="shared" ref="P5" si="12">VLOOKUP(J5,Valor_Actiu_NivellENS,2,FALSE)</f>
        <v>2</v>
      </c>
      <c r="Q5" s="71">
        <f t="shared" ref="Q5" si="13">VLOOKUP(K5,Valor_Actiu_NivellENS,2,FALSE)</f>
        <v>2</v>
      </c>
      <c r="R5" s="72">
        <f t="shared" ref="R5" si="14">IF(OR(M5&lt;&gt;"",N5&lt;&gt;"",O5&lt;&gt;"",Q5&lt;&gt;"",P5&lt;&gt;""),MAX(M5:Q5),"")</f>
        <v>2</v>
      </c>
      <c r="S5" s="73" t="str">
        <f t="shared" ref="S5" si="15">VLOOKUP(R5,NivellENS_Categoria,2,FALSE)</f>
        <v>MEDIA</v>
      </c>
      <c r="T5" s="5"/>
    </row>
  </sheetData>
  <mergeCells count="5">
    <mergeCell ref="A1:B1"/>
    <mergeCell ref="G1:T1"/>
    <mergeCell ref="C1:F1"/>
    <mergeCell ref="G2:L2"/>
    <mergeCell ref="M2:S2"/>
  </mergeCells>
  <phoneticPr fontId="21" type="noConversion"/>
  <conditionalFormatting sqref="L4:L5">
    <cfRule type="colorScale" priority="6">
      <colorScale>
        <cfvo type="num" val="0"/>
        <cfvo type="num" val="3"/>
        <color rgb="FFFFEF9C"/>
        <color theme="5"/>
      </colorScale>
    </cfRule>
  </conditionalFormatting>
  <conditionalFormatting sqref="S4:S5">
    <cfRule type="cellIs" dxfId="14" priority="1" operator="equal">
      <formula>"ALTA"</formula>
    </cfRule>
    <cfRule type="cellIs" dxfId="13" priority="2" operator="equal">
      <formula>"BAJA"</formula>
    </cfRule>
    <cfRule type="cellIs" dxfId="12" priority="3" operator="equal">
      <formula>"MEDIA"</formula>
    </cfRule>
  </conditionalFormatting>
  <dataValidations count="1">
    <dataValidation type="list" allowBlank="1" showErrorMessage="1" sqref="M4:Q5 G4:K5" xr:uid="{00000000-0002-0000-0800-000000000000}">
      <formula1>Impacte</formula1>
    </dataValidation>
  </dataValidations>
  <pageMargins left="0.7" right="0.7" top="0.75" bottom="0.75" header="0" footer="0"/>
  <pageSetup scale="4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I5"/>
  <sheetViews>
    <sheetView zoomScale="70" zoomScaleNormal="70" workbookViewId="0">
      <selection activeCell="T14" sqref="T14"/>
    </sheetView>
  </sheetViews>
  <sheetFormatPr defaultColWidth="14.28515625" defaultRowHeight="15" customHeight="1"/>
  <cols>
    <col min="1" max="1" width="10" customWidth="1"/>
    <col min="2" max="2" width="27" customWidth="1"/>
    <col min="3" max="3" width="14.28515625" bestFit="1" customWidth="1"/>
    <col min="4" max="4" width="44.7109375" bestFit="1" customWidth="1"/>
    <col min="5" max="5" width="32.7109375" bestFit="1" customWidth="1"/>
    <col min="6" max="6" width="23" customWidth="1"/>
    <col min="7" max="11" width="8.140625" customWidth="1"/>
    <col min="12" max="12" width="13" customWidth="1"/>
    <col min="13" max="17" width="7.7109375" style="63" customWidth="1"/>
    <col min="18" max="18" width="11.28515625" style="63" customWidth="1"/>
    <col min="19" max="19" width="13.85546875" style="63" customWidth="1"/>
    <col min="20" max="20" width="42.28515625" customWidth="1"/>
    <col min="21" max="35" width="9.140625" customWidth="1"/>
  </cols>
  <sheetData>
    <row r="1" spans="1:35" ht="73.900000000000006" customHeight="1">
      <c r="A1" s="240"/>
      <c r="B1" s="251"/>
      <c r="C1" s="237" t="s">
        <v>253</v>
      </c>
      <c r="D1" s="238"/>
      <c r="E1" s="238"/>
      <c r="F1" s="241"/>
      <c r="G1" s="273"/>
      <c r="H1" s="252"/>
      <c r="I1" s="252"/>
      <c r="J1" s="252"/>
      <c r="K1" s="252"/>
      <c r="L1" s="252"/>
      <c r="M1" s="252"/>
      <c r="N1" s="252"/>
      <c r="O1" s="252"/>
      <c r="P1" s="252"/>
      <c r="Q1" s="252"/>
      <c r="R1" s="252"/>
      <c r="S1" s="252"/>
      <c r="T1" s="256"/>
      <c r="U1" s="11"/>
      <c r="V1" s="11"/>
      <c r="W1" s="11"/>
      <c r="X1" s="11"/>
      <c r="Y1" s="11"/>
      <c r="Z1" s="11"/>
      <c r="AA1" s="11"/>
      <c r="AB1" s="11"/>
      <c r="AC1" s="11"/>
      <c r="AD1" s="11"/>
      <c r="AE1" s="11"/>
      <c r="AF1" s="11"/>
      <c r="AG1" s="11"/>
      <c r="AH1" s="11"/>
      <c r="AI1" s="11"/>
    </row>
    <row r="2" spans="1:35" ht="33.4" customHeight="1">
      <c r="A2" s="61"/>
      <c r="B2" s="51"/>
      <c r="C2" s="56"/>
      <c r="D2" s="57"/>
      <c r="E2" s="57"/>
      <c r="F2" s="57"/>
      <c r="G2" s="239" t="s">
        <v>49</v>
      </c>
      <c r="H2" s="268"/>
      <c r="I2" s="268"/>
      <c r="J2" s="268"/>
      <c r="K2" s="268"/>
      <c r="L2" s="272"/>
      <c r="M2" s="235" t="s">
        <v>50</v>
      </c>
      <c r="N2" s="270"/>
      <c r="O2" s="270"/>
      <c r="P2" s="270"/>
      <c r="Q2" s="270"/>
      <c r="R2" s="270"/>
      <c r="S2" s="271"/>
      <c r="T2" s="68"/>
      <c r="U2" s="11"/>
      <c r="V2" s="11"/>
      <c r="W2" s="11"/>
      <c r="X2" s="11"/>
      <c r="Y2" s="11"/>
      <c r="Z2" s="11"/>
      <c r="AA2" s="11"/>
      <c r="AB2" s="11"/>
      <c r="AC2" s="11"/>
      <c r="AD2" s="11"/>
      <c r="AE2" s="11"/>
      <c r="AF2" s="11"/>
      <c r="AG2" s="11"/>
      <c r="AH2" s="11"/>
      <c r="AI2" s="11"/>
    </row>
    <row r="3" spans="1:35" ht="101.25" customHeight="1" thickBot="1">
      <c r="A3" s="99" t="s">
        <v>18</v>
      </c>
      <c r="B3" s="99" t="s">
        <v>24</v>
      </c>
      <c r="C3" s="99" t="s">
        <v>26</v>
      </c>
      <c r="D3" s="99" t="s">
        <v>30</v>
      </c>
      <c r="E3" s="99" t="s">
        <v>28</v>
      </c>
      <c r="F3" s="103" t="s">
        <v>97</v>
      </c>
      <c r="G3" s="125" t="s">
        <v>55</v>
      </c>
      <c r="H3" s="100" t="s">
        <v>54</v>
      </c>
      <c r="I3" s="100" t="s">
        <v>34</v>
      </c>
      <c r="J3" s="100" t="s">
        <v>56</v>
      </c>
      <c r="K3" s="100" t="s">
        <v>57</v>
      </c>
      <c r="L3" s="176" t="s">
        <v>58</v>
      </c>
      <c r="M3" s="128" t="s">
        <v>55</v>
      </c>
      <c r="N3" s="129" t="s">
        <v>54</v>
      </c>
      <c r="O3" s="129" t="s">
        <v>34</v>
      </c>
      <c r="P3" s="129" t="s">
        <v>56</v>
      </c>
      <c r="Q3" s="129" t="s">
        <v>57</v>
      </c>
      <c r="R3" s="110" t="s">
        <v>59</v>
      </c>
      <c r="S3" s="127" t="s">
        <v>60</v>
      </c>
      <c r="T3" s="120" t="s">
        <v>44</v>
      </c>
      <c r="U3" s="3"/>
      <c r="V3" s="3"/>
      <c r="W3" s="3"/>
      <c r="X3" s="3"/>
      <c r="Y3" s="3"/>
      <c r="Z3" s="3"/>
      <c r="AA3" s="3"/>
      <c r="AB3" s="3"/>
      <c r="AC3" s="3"/>
      <c r="AD3" s="3"/>
      <c r="AE3" s="3"/>
      <c r="AF3" s="3"/>
      <c r="AG3" s="3"/>
      <c r="AH3" s="3"/>
      <c r="AI3" s="3"/>
    </row>
    <row r="4" spans="1:35" s="115" customFormat="1" ht="59.25" customHeight="1">
      <c r="A4" s="82" t="s">
        <v>254</v>
      </c>
      <c r="B4" s="183"/>
      <c r="C4" s="84"/>
      <c r="D4" s="84"/>
      <c r="E4" s="83"/>
      <c r="F4" s="182"/>
      <c r="G4" s="181"/>
      <c r="H4" s="85"/>
      <c r="I4" s="85"/>
      <c r="J4" s="85"/>
      <c r="K4" s="85"/>
      <c r="L4" s="113" t="str">
        <f t="shared" ref="L4:L5" si="0">IF(OR(G4&lt;&gt;"",H4&lt;&gt;"",I4&lt;&gt;"",K4&lt;&gt;"",J4&lt;&gt;""),MAX(G4:K4),"")</f>
        <v/>
      </c>
      <c r="M4" s="86" t="str">
        <f t="shared" ref="M4:Q5" si="1">IF(G4="","",VLOOKUP(G4,Valor_Actiu_NivellENS,2,FALSE))</f>
        <v/>
      </c>
      <c r="N4" s="86" t="str">
        <f t="shared" si="1"/>
        <v/>
      </c>
      <c r="O4" s="86" t="str">
        <f t="shared" si="1"/>
        <v/>
      </c>
      <c r="P4" s="86" t="str">
        <f t="shared" si="1"/>
        <v/>
      </c>
      <c r="Q4" s="86" t="str">
        <f t="shared" si="1"/>
        <v/>
      </c>
      <c r="R4" s="72" t="str">
        <f t="shared" ref="R4:R5" si="2">IF(OR(M4&lt;&gt;"",N4&lt;&gt;"",O4&lt;&gt;"",Q4&lt;&gt;"",P4&lt;&gt;""),MAX(M4:Q4),"")</f>
        <v/>
      </c>
      <c r="S4" s="74" t="e">
        <f t="shared" ref="S4:S5" si="3">VLOOKUP(R4,NivellENS_Categoria,2,FALSE)</f>
        <v>#N/A</v>
      </c>
      <c r="T4" s="83"/>
    </row>
    <row r="5" spans="1:35" s="115" customFormat="1" ht="59.25" customHeight="1">
      <c r="A5" s="82" t="s">
        <v>255</v>
      </c>
      <c r="B5" s="84"/>
      <c r="C5" s="84"/>
      <c r="D5" s="84"/>
      <c r="E5" s="84"/>
      <c r="F5" s="182"/>
      <c r="G5" s="181"/>
      <c r="H5" s="85"/>
      <c r="I5" s="85"/>
      <c r="J5" s="85"/>
      <c r="K5" s="85"/>
      <c r="L5" s="113" t="str">
        <f t="shared" si="0"/>
        <v/>
      </c>
      <c r="M5" s="86" t="str">
        <f t="shared" si="1"/>
        <v/>
      </c>
      <c r="N5" s="86" t="str">
        <f t="shared" si="1"/>
        <v/>
      </c>
      <c r="O5" s="86" t="str">
        <f t="shared" si="1"/>
        <v/>
      </c>
      <c r="P5" s="86" t="str">
        <f t="shared" si="1"/>
        <v/>
      </c>
      <c r="Q5" s="86" t="str">
        <f t="shared" si="1"/>
        <v/>
      </c>
      <c r="R5" s="72" t="str">
        <f t="shared" si="2"/>
        <v/>
      </c>
      <c r="S5" s="74" t="e">
        <f t="shared" si="3"/>
        <v>#N/A</v>
      </c>
      <c r="T5" s="83"/>
    </row>
  </sheetData>
  <mergeCells count="5">
    <mergeCell ref="A1:B1"/>
    <mergeCell ref="G1:T1"/>
    <mergeCell ref="C1:F1"/>
    <mergeCell ref="M2:S2"/>
    <mergeCell ref="G2:L2"/>
  </mergeCells>
  <phoneticPr fontId="20" type="noConversion"/>
  <conditionalFormatting sqref="L4:L5">
    <cfRule type="colorScale" priority="4">
      <colorScale>
        <cfvo type="num" val="0"/>
        <cfvo type="num" val="3"/>
        <color rgb="FFFFEF9C"/>
        <color theme="5"/>
      </colorScale>
    </cfRule>
  </conditionalFormatting>
  <conditionalFormatting sqref="S4:S5">
    <cfRule type="cellIs" dxfId="11" priority="1" operator="equal">
      <formula>"ALTA"</formula>
    </cfRule>
    <cfRule type="cellIs" dxfId="10" priority="2" operator="equal">
      <formula>"BAJA"</formula>
    </cfRule>
    <cfRule type="cellIs" dxfId="9" priority="3" operator="equal">
      <formula>"MEDIA"</formula>
    </cfRule>
  </conditionalFormatting>
  <dataValidations count="1">
    <dataValidation type="list" allowBlank="1" showErrorMessage="1" sqref="M4:Q5 G4:K5" xr:uid="{00000000-0002-0000-0900-000000000000}">
      <formula1>Impacte</formula1>
    </dataValidation>
  </dataValidations>
  <pageMargins left="0.7" right="0.7" top="0.75" bottom="0.75" header="0" footer="0"/>
  <pageSetup scale="50"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I5"/>
  <sheetViews>
    <sheetView zoomScale="70" zoomScaleNormal="70" workbookViewId="0">
      <selection activeCell="B4" sqref="B4"/>
    </sheetView>
  </sheetViews>
  <sheetFormatPr defaultColWidth="14.28515625" defaultRowHeight="15" customHeight="1"/>
  <cols>
    <col min="1" max="1" width="8.7109375" customWidth="1"/>
    <col min="2" max="2" width="27.28515625" customWidth="1"/>
    <col min="3" max="3" width="15.28515625" customWidth="1"/>
    <col min="4" max="4" width="54.28515625" customWidth="1"/>
    <col min="5" max="5" width="49" customWidth="1"/>
    <col min="6" max="6" width="24.140625" customWidth="1"/>
    <col min="7" max="11" width="7.28515625" customWidth="1"/>
    <col min="12" max="12" width="9.7109375" customWidth="1"/>
    <col min="13" max="17" width="7.7109375" style="63" customWidth="1"/>
    <col min="18" max="18" width="11.28515625" style="63" customWidth="1"/>
    <col min="19" max="19" width="15" style="63" customWidth="1"/>
    <col min="20" max="20" width="42.28515625" customWidth="1"/>
    <col min="21" max="35" width="9.140625" customWidth="1"/>
  </cols>
  <sheetData>
    <row r="1" spans="1:35" ht="64.150000000000006" customHeight="1">
      <c r="A1" s="242"/>
      <c r="B1" s="251"/>
      <c r="C1" s="237" t="s">
        <v>256</v>
      </c>
      <c r="D1" s="238"/>
      <c r="E1" s="238"/>
      <c r="F1" s="241"/>
      <c r="G1" s="274"/>
      <c r="H1" s="252"/>
      <c r="I1" s="252"/>
      <c r="J1" s="252"/>
      <c r="K1" s="252"/>
      <c r="L1" s="252"/>
      <c r="M1" s="252"/>
      <c r="N1" s="252"/>
      <c r="O1" s="252"/>
      <c r="P1" s="252"/>
      <c r="Q1" s="252"/>
      <c r="R1" s="252"/>
      <c r="S1" s="252"/>
      <c r="T1" s="256"/>
      <c r="U1" s="1"/>
      <c r="V1" s="1"/>
      <c r="W1" s="1"/>
      <c r="X1" s="1"/>
      <c r="Y1" s="1"/>
      <c r="Z1" s="1"/>
      <c r="AA1" s="1"/>
      <c r="AB1" s="1"/>
      <c r="AC1" s="1"/>
      <c r="AD1" s="1"/>
      <c r="AE1" s="1"/>
      <c r="AF1" s="1"/>
      <c r="AG1" s="1"/>
      <c r="AH1" s="1"/>
      <c r="AI1" s="1"/>
    </row>
    <row r="2" spans="1:35" ht="28.9">
      <c r="A2" s="243"/>
      <c r="B2" s="244"/>
      <c r="C2" s="56"/>
      <c r="D2" s="57"/>
      <c r="E2" s="57"/>
      <c r="F2" s="57"/>
      <c r="G2" s="239" t="s">
        <v>49</v>
      </c>
      <c r="H2" s="268"/>
      <c r="I2" s="268"/>
      <c r="J2" s="268"/>
      <c r="K2" s="268"/>
      <c r="L2" s="272"/>
      <c r="M2" s="235" t="s">
        <v>50</v>
      </c>
      <c r="N2" s="270"/>
      <c r="O2" s="270"/>
      <c r="P2" s="270"/>
      <c r="Q2" s="270"/>
      <c r="R2" s="270"/>
      <c r="S2" s="271"/>
      <c r="T2" s="68"/>
      <c r="U2" s="1"/>
      <c r="V2" s="1"/>
      <c r="W2" s="1"/>
      <c r="X2" s="1"/>
      <c r="Y2" s="1"/>
      <c r="Z2" s="1"/>
      <c r="AA2" s="1"/>
      <c r="AB2" s="1"/>
      <c r="AC2" s="1"/>
      <c r="AD2" s="1"/>
      <c r="AE2" s="1"/>
      <c r="AF2" s="1"/>
      <c r="AG2" s="1"/>
      <c r="AH2" s="1"/>
      <c r="AI2" s="1"/>
    </row>
    <row r="3" spans="1:35" s="2" customFormat="1" ht="93.2" customHeight="1" thickBot="1">
      <c r="A3" s="99" t="s">
        <v>18</v>
      </c>
      <c r="B3" s="99" t="s">
        <v>24</v>
      </c>
      <c r="C3" s="99" t="s">
        <v>26</v>
      </c>
      <c r="D3" s="99" t="s">
        <v>30</v>
      </c>
      <c r="E3" s="99" t="s">
        <v>28</v>
      </c>
      <c r="F3" s="103" t="s">
        <v>97</v>
      </c>
      <c r="G3" s="125" t="s">
        <v>55</v>
      </c>
      <c r="H3" s="100" t="s">
        <v>54</v>
      </c>
      <c r="I3" s="100" t="s">
        <v>34</v>
      </c>
      <c r="J3" s="100" t="s">
        <v>56</v>
      </c>
      <c r="K3" s="100" t="s">
        <v>57</v>
      </c>
      <c r="L3" s="122" t="s">
        <v>58</v>
      </c>
      <c r="M3" s="128" t="s">
        <v>55</v>
      </c>
      <c r="N3" s="129" t="s">
        <v>54</v>
      </c>
      <c r="O3" s="129" t="s">
        <v>34</v>
      </c>
      <c r="P3" s="129" t="s">
        <v>56</v>
      </c>
      <c r="Q3" s="129" t="s">
        <v>57</v>
      </c>
      <c r="R3" s="110" t="s">
        <v>59</v>
      </c>
      <c r="S3" s="127" t="s">
        <v>60</v>
      </c>
      <c r="T3" s="102" t="s">
        <v>44</v>
      </c>
      <c r="U3" s="13"/>
      <c r="V3" s="13"/>
      <c r="W3" s="13"/>
      <c r="X3" s="13"/>
      <c r="Y3" s="13"/>
      <c r="Z3" s="13"/>
      <c r="AA3" s="13"/>
      <c r="AB3" s="13"/>
      <c r="AC3" s="13"/>
      <c r="AD3" s="13"/>
      <c r="AE3" s="13"/>
      <c r="AF3" s="13"/>
      <c r="AG3" s="13"/>
      <c r="AH3" s="13"/>
      <c r="AI3" s="13"/>
    </row>
    <row r="4" spans="1:35" s="115" customFormat="1" ht="71.45" customHeight="1">
      <c r="A4" s="42" t="s">
        <v>257</v>
      </c>
      <c r="B4" s="191" t="s">
        <v>258</v>
      </c>
      <c r="C4" s="192"/>
      <c r="D4" s="192" t="s">
        <v>259</v>
      </c>
      <c r="E4" s="30" t="s">
        <v>260</v>
      </c>
      <c r="F4" s="43" t="s">
        <v>4</v>
      </c>
      <c r="G4" s="187">
        <v>1</v>
      </c>
      <c r="H4" s="35">
        <v>1</v>
      </c>
      <c r="I4" s="35">
        <v>2</v>
      </c>
      <c r="J4" s="35">
        <v>1</v>
      </c>
      <c r="K4" s="35">
        <v>1</v>
      </c>
      <c r="L4" s="47">
        <f t="shared" ref="L4:L5" si="0">IF(OR(G4&lt;&gt;"",H4&lt;&gt;"",I4&lt;&gt;"",K4&lt;&gt;"",J4&lt;&gt;""),MAX(G4:K4),"")</f>
        <v>2</v>
      </c>
      <c r="M4" s="88">
        <f t="shared" ref="M4:Q5" si="1">IF(G4="","",VLOOKUP(G4,Valor_Actiu_NivellENS,2,FALSE))</f>
        <v>1</v>
      </c>
      <c r="N4" s="88">
        <f t="shared" si="1"/>
        <v>1</v>
      </c>
      <c r="O4" s="88">
        <f t="shared" si="1"/>
        <v>2</v>
      </c>
      <c r="P4" s="88">
        <f t="shared" si="1"/>
        <v>1</v>
      </c>
      <c r="Q4" s="88">
        <f t="shared" si="1"/>
        <v>1</v>
      </c>
      <c r="R4" s="77">
        <f t="shared" ref="R4:R5" si="2">IF(OR(M4&lt;&gt;"",N4&lt;&gt;"",O4&lt;&gt;"",Q4&lt;&gt;"",P4&lt;&gt;""),MAX(M4:Q4),"")</f>
        <v>2</v>
      </c>
      <c r="S4" s="89" t="str">
        <f t="shared" ref="S4:S5" si="3">VLOOKUP(R4,NivellENS_Categoria,2,FALSE)</f>
        <v>MEDIA</v>
      </c>
      <c r="T4" s="84"/>
      <c r="U4" s="87"/>
      <c r="V4" s="87"/>
      <c r="W4" s="87"/>
      <c r="X4" s="87"/>
      <c r="Y4" s="87"/>
      <c r="Z4" s="87"/>
      <c r="AA4" s="87"/>
      <c r="AB4" s="87"/>
      <c r="AC4" s="87"/>
      <c r="AD4" s="87"/>
      <c r="AE4" s="87"/>
      <c r="AF4" s="87"/>
      <c r="AG4" s="87"/>
      <c r="AH4" s="87"/>
      <c r="AI4" s="87"/>
    </row>
    <row r="5" spans="1:35" s="115" customFormat="1" ht="68.45" customHeight="1">
      <c r="A5" s="193"/>
      <c r="B5" s="194"/>
      <c r="C5" s="194"/>
      <c r="D5" s="195"/>
      <c r="E5" s="195"/>
      <c r="F5" s="196"/>
      <c r="G5" s="187"/>
      <c r="H5" s="35"/>
      <c r="I5" s="35"/>
      <c r="J5" s="35"/>
      <c r="K5" s="35"/>
      <c r="L5" s="47" t="str">
        <f t="shared" si="0"/>
        <v/>
      </c>
      <c r="M5" s="88" t="str">
        <f t="shared" si="1"/>
        <v/>
      </c>
      <c r="N5" s="88" t="str">
        <f t="shared" si="1"/>
        <v/>
      </c>
      <c r="O5" s="88" t="str">
        <f t="shared" si="1"/>
        <v/>
      </c>
      <c r="P5" s="88" t="str">
        <f t="shared" si="1"/>
        <v/>
      </c>
      <c r="Q5" s="88" t="str">
        <f t="shared" si="1"/>
        <v/>
      </c>
      <c r="R5" s="77" t="str">
        <f t="shared" si="2"/>
        <v/>
      </c>
      <c r="S5" s="89" t="e">
        <f t="shared" si="3"/>
        <v>#N/A</v>
      </c>
      <c r="T5" s="84"/>
      <c r="U5" s="87"/>
      <c r="V5" s="87"/>
      <c r="W5" s="87"/>
      <c r="X5" s="87"/>
      <c r="Y5" s="87"/>
      <c r="Z5" s="87"/>
      <c r="AA5" s="87"/>
      <c r="AB5" s="87"/>
      <c r="AC5" s="87"/>
      <c r="AD5" s="87"/>
      <c r="AE5" s="87"/>
      <c r="AF5" s="87"/>
      <c r="AG5" s="87"/>
      <c r="AH5" s="87"/>
      <c r="AI5" s="87"/>
    </row>
  </sheetData>
  <mergeCells count="6">
    <mergeCell ref="A1:B1"/>
    <mergeCell ref="G1:T1"/>
    <mergeCell ref="C1:F1"/>
    <mergeCell ref="M2:S2"/>
    <mergeCell ref="G2:L2"/>
    <mergeCell ref="A2:B2"/>
  </mergeCells>
  <phoneticPr fontId="21" type="noConversion"/>
  <conditionalFormatting sqref="L4:L5">
    <cfRule type="colorScale" priority="4">
      <colorScale>
        <cfvo type="num" val="0"/>
        <cfvo type="num" val="3"/>
        <color rgb="FFFFEF9C"/>
        <color theme="5"/>
      </colorScale>
    </cfRule>
  </conditionalFormatting>
  <conditionalFormatting sqref="S4:S5">
    <cfRule type="cellIs" dxfId="8" priority="1" operator="equal">
      <formula>"ALTA"</formula>
    </cfRule>
    <cfRule type="cellIs" dxfId="7" priority="2" operator="equal">
      <formula>"BAJA"</formula>
    </cfRule>
    <cfRule type="cellIs" dxfId="6" priority="3" operator="equal">
      <formula>"MEDIA"</formula>
    </cfRule>
  </conditionalFormatting>
  <dataValidations count="1">
    <dataValidation type="list" allowBlank="1" showErrorMessage="1" sqref="G4:K5 M4:Q5" xr:uid="{00000000-0002-0000-0D00-000000000000}">
      <formula1>Impacte</formula1>
    </dataValidation>
  </dataValidations>
  <pageMargins left="0.7" right="0.7" top="0.75" bottom="0.75" header="0" footer="0"/>
  <pageSetup scale="45"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I10"/>
  <sheetViews>
    <sheetView zoomScale="70" zoomScaleNormal="70" workbookViewId="0">
      <selection activeCell="C5" sqref="C5"/>
    </sheetView>
  </sheetViews>
  <sheetFormatPr defaultColWidth="14.28515625" defaultRowHeight="15" customHeight="1"/>
  <cols>
    <col min="1" max="1" width="10.28515625" customWidth="1"/>
    <col min="2" max="2" width="40.7109375" bestFit="1" customWidth="1"/>
    <col min="3" max="3" width="34.28515625" customWidth="1"/>
    <col min="4" max="4" width="46" customWidth="1"/>
    <col min="5" max="5" width="58" customWidth="1"/>
    <col min="6" max="6" width="35.5703125" customWidth="1"/>
    <col min="7" max="7" width="8" customWidth="1"/>
    <col min="8" max="10" width="7.85546875" customWidth="1"/>
    <col min="11" max="11" width="9.140625" customWidth="1"/>
    <col min="12" max="12" width="13.28515625" customWidth="1"/>
    <col min="13" max="17" width="7.7109375" style="63" customWidth="1"/>
    <col min="18" max="18" width="11.28515625" style="63" customWidth="1"/>
    <col min="19" max="19" width="14.140625" style="63" customWidth="1"/>
    <col min="20" max="20" width="50.140625" customWidth="1"/>
    <col min="21" max="35" width="9.140625" customWidth="1"/>
  </cols>
  <sheetData>
    <row r="1" spans="1:35" ht="59.1" customHeight="1">
      <c r="A1" s="233"/>
      <c r="B1" s="251"/>
      <c r="C1" s="237" t="s">
        <v>261</v>
      </c>
      <c r="D1" s="238"/>
      <c r="E1" s="238"/>
      <c r="F1" s="241"/>
      <c r="G1" s="274"/>
      <c r="H1" s="252"/>
      <c r="I1" s="252"/>
      <c r="J1" s="252"/>
      <c r="K1" s="252"/>
      <c r="L1" s="252"/>
      <c r="M1" s="252"/>
      <c r="N1" s="252"/>
      <c r="O1" s="252"/>
      <c r="P1" s="252"/>
      <c r="Q1" s="252"/>
      <c r="R1" s="252"/>
      <c r="S1" s="252"/>
      <c r="T1" s="256"/>
    </row>
    <row r="2" spans="1:35" ht="47.65" customHeight="1">
      <c r="A2" s="54"/>
      <c r="B2" s="51"/>
      <c r="C2" s="56"/>
      <c r="D2" s="57"/>
      <c r="E2" s="57"/>
      <c r="F2" s="62"/>
      <c r="G2" s="239" t="s">
        <v>49</v>
      </c>
      <c r="H2" s="268"/>
      <c r="I2" s="268"/>
      <c r="J2" s="268"/>
      <c r="K2" s="268"/>
      <c r="L2" s="272"/>
      <c r="M2" s="235" t="s">
        <v>50</v>
      </c>
      <c r="N2" s="270"/>
      <c r="O2" s="270"/>
      <c r="P2" s="270"/>
      <c r="Q2" s="270"/>
      <c r="R2" s="270"/>
      <c r="S2" s="271"/>
      <c r="T2" s="68"/>
    </row>
    <row r="3" spans="1:35" s="2" customFormat="1" ht="95.85" customHeight="1" thickBot="1">
      <c r="A3" s="99" t="s">
        <v>18</v>
      </c>
      <c r="B3" s="99" t="s">
        <v>24</v>
      </c>
      <c r="C3" s="99" t="s">
        <v>26</v>
      </c>
      <c r="D3" s="99" t="s">
        <v>30</v>
      </c>
      <c r="E3" s="99" t="s">
        <v>28</v>
      </c>
      <c r="F3" s="103" t="s">
        <v>97</v>
      </c>
      <c r="G3" s="121" t="s">
        <v>55</v>
      </c>
      <c r="H3" s="100" t="s">
        <v>54</v>
      </c>
      <c r="I3" s="100" t="s">
        <v>34</v>
      </c>
      <c r="J3" s="100" t="s">
        <v>56</v>
      </c>
      <c r="K3" s="100" t="s">
        <v>57</v>
      </c>
      <c r="L3" s="122" t="s">
        <v>58</v>
      </c>
      <c r="M3" s="128" t="s">
        <v>55</v>
      </c>
      <c r="N3" s="129" t="s">
        <v>54</v>
      </c>
      <c r="O3" s="129" t="s">
        <v>34</v>
      </c>
      <c r="P3" s="129" t="s">
        <v>56</v>
      </c>
      <c r="Q3" s="129" t="s">
        <v>57</v>
      </c>
      <c r="R3" s="110" t="s">
        <v>59</v>
      </c>
      <c r="S3" s="127" t="s">
        <v>60</v>
      </c>
      <c r="T3" s="102" t="s">
        <v>44</v>
      </c>
      <c r="U3" s="3"/>
      <c r="V3" s="3"/>
      <c r="W3" s="3"/>
      <c r="X3" s="3"/>
      <c r="Y3" s="3"/>
      <c r="Z3" s="3"/>
      <c r="AA3" s="3"/>
      <c r="AB3" s="3"/>
      <c r="AC3" s="3"/>
      <c r="AD3" s="3"/>
      <c r="AE3" s="3"/>
      <c r="AF3" s="3"/>
      <c r="AG3" s="3"/>
      <c r="AH3" s="3"/>
      <c r="AI3" s="3"/>
    </row>
    <row r="4" spans="1:35" s="115" customFormat="1" ht="67.900000000000006" customHeight="1">
      <c r="A4" s="42" t="s">
        <v>262</v>
      </c>
      <c r="B4" s="184" t="s">
        <v>263</v>
      </c>
      <c r="C4" s="185" t="s">
        <v>264</v>
      </c>
      <c r="D4" s="185" t="s">
        <v>265</v>
      </c>
      <c r="E4" s="30" t="s">
        <v>266</v>
      </c>
      <c r="F4" s="43" t="s">
        <v>71</v>
      </c>
      <c r="G4" s="34">
        <v>3</v>
      </c>
      <c r="H4" s="35">
        <v>2</v>
      </c>
      <c r="I4" s="35">
        <v>2</v>
      </c>
      <c r="J4" s="35">
        <v>2</v>
      </c>
      <c r="K4" s="35">
        <v>1</v>
      </c>
      <c r="L4" s="47">
        <f>IF(OR(G4&lt;&gt;"",H4&lt;&gt;"",I4&lt;&gt;"",K4&lt;&gt;"",J4&lt;&gt;""),MAX(G4:K4),"")</f>
        <v>3</v>
      </c>
      <c r="M4" s="88">
        <f t="shared" ref="M4:Q6" si="0">IF(G4="","",VLOOKUP(G4,Valor_Actiu_NivellENS,2,FALSE))</f>
        <v>2</v>
      </c>
      <c r="N4" s="88">
        <f t="shared" si="0"/>
        <v>2</v>
      </c>
      <c r="O4" s="88">
        <f t="shared" si="0"/>
        <v>2</v>
      </c>
      <c r="P4" s="88">
        <f t="shared" si="0"/>
        <v>2</v>
      </c>
      <c r="Q4" s="88">
        <f t="shared" si="0"/>
        <v>1</v>
      </c>
      <c r="R4" s="72">
        <f t="shared" ref="R4:R7" si="1">IF(OR(M4&lt;&gt;"",N4&lt;&gt;"",O4&lt;&gt;"",Q4&lt;&gt;"",P4&lt;&gt;""),MAX(M4:Q4),"")</f>
        <v>2</v>
      </c>
      <c r="S4" s="74" t="str">
        <f t="shared" ref="S4:S6" si="2">VLOOKUP(R4,NivellENS_Categoria,2,FALSE)</f>
        <v>MEDIA</v>
      </c>
      <c r="T4" s="83"/>
      <c r="U4" s="87"/>
      <c r="V4" s="87"/>
      <c r="W4" s="87"/>
      <c r="X4" s="87"/>
      <c r="Y4" s="87"/>
      <c r="Z4" s="87"/>
      <c r="AA4" s="87"/>
      <c r="AB4" s="87"/>
      <c r="AC4" s="87"/>
      <c r="AD4" s="87"/>
      <c r="AE4" s="87"/>
      <c r="AF4" s="87"/>
      <c r="AG4" s="87"/>
      <c r="AH4" s="87"/>
      <c r="AI4" s="87"/>
    </row>
    <row r="5" spans="1:35" s="115" customFormat="1" ht="67.900000000000006" customHeight="1">
      <c r="A5" s="42" t="s">
        <v>267</v>
      </c>
      <c r="B5" s="30" t="s">
        <v>268</v>
      </c>
      <c r="C5" s="169" t="s">
        <v>269</v>
      </c>
      <c r="D5" s="169" t="s">
        <v>270</v>
      </c>
      <c r="E5" s="30" t="s">
        <v>161</v>
      </c>
      <c r="F5" s="43" t="s">
        <v>71</v>
      </c>
      <c r="G5" s="34">
        <v>3</v>
      </c>
      <c r="H5" s="35">
        <v>3</v>
      </c>
      <c r="I5" s="35">
        <v>2</v>
      </c>
      <c r="J5" s="35">
        <v>3</v>
      </c>
      <c r="K5" s="35">
        <v>3</v>
      </c>
      <c r="L5" s="47">
        <f t="shared" ref="L5:L8" si="3">IF(OR(G5&lt;&gt;"",H5&lt;&gt;"",I5&lt;&gt;"",K5&lt;&gt;"",J5&lt;&gt;""),MAX(G5:K5),"")</f>
        <v>3</v>
      </c>
      <c r="M5" s="88">
        <f t="shared" si="0"/>
        <v>2</v>
      </c>
      <c r="N5" s="88">
        <f t="shared" si="0"/>
        <v>2</v>
      </c>
      <c r="O5" s="88">
        <f t="shared" si="0"/>
        <v>2</v>
      </c>
      <c r="P5" s="88">
        <f t="shared" si="0"/>
        <v>2</v>
      </c>
      <c r="Q5" s="88">
        <f t="shared" si="0"/>
        <v>2</v>
      </c>
      <c r="R5" s="72">
        <f t="shared" si="1"/>
        <v>2</v>
      </c>
      <c r="S5" s="74" t="str">
        <f t="shared" si="2"/>
        <v>MEDIA</v>
      </c>
      <c r="T5" s="83"/>
      <c r="U5" s="87"/>
      <c r="V5" s="87"/>
      <c r="W5" s="87"/>
      <c r="X5" s="87"/>
      <c r="Y5" s="87"/>
      <c r="Z5" s="87"/>
      <c r="AA5" s="87"/>
      <c r="AB5" s="87"/>
      <c r="AC5" s="87"/>
      <c r="AD5" s="87"/>
      <c r="AE5" s="87"/>
      <c r="AF5" s="87"/>
      <c r="AG5" s="87"/>
      <c r="AH5" s="87"/>
      <c r="AI5" s="87"/>
    </row>
    <row r="6" spans="1:35" s="115" customFormat="1" ht="67.900000000000006" customHeight="1">
      <c r="A6" s="42" t="s">
        <v>271</v>
      </c>
      <c r="B6" s="30" t="s">
        <v>272</v>
      </c>
      <c r="C6" s="169"/>
      <c r="D6" s="30" t="s">
        <v>273</v>
      </c>
      <c r="E6" s="30" t="s">
        <v>274</v>
      </c>
      <c r="F6" s="43" t="s">
        <v>71</v>
      </c>
      <c r="G6" s="34">
        <v>2</v>
      </c>
      <c r="H6" s="35">
        <v>2</v>
      </c>
      <c r="I6" s="35">
        <v>2</v>
      </c>
      <c r="J6" s="35">
        <v>2</v>
      </c>
      <c r="K6" s="35">
        <v>1</v>
      </c>
      <c r="L6" s="47">
        <f t="shared" si="3"/>
        <v>2</v>
      </c>
      <c r="M6" s="88">
        <f t="shared" si="0"/>
        <v>2</v>
      </c>
      <c r="N6" s="88">
        <f t="shared" si="0"/>
        <v>2</v>
      </c>
      <c r="O6" s="88">
        <f t="shared" si="0"/>
        <v>2</v>
      </c>
      <c r="P6" s="88">
        <f t="shared" si="0"/>
        <v>2</v>
      </c>
      <c r="Q6" s="88">
        <f t="shared" si="0"/>
        <v>1</v>
      </c>
      <c r="R6" s="72">
        <f t="shared" si="1"/>
        <v>2</v>
      </c>
      <c r="S6" s="74" t="str">
        <f t="shared" si="2"/>
        <v>MEDIA</v>
      </c>
      <c r="T6" s="83"/>
      <c r="U6" s="87"/>
      <c r="V6" s="87"/>
      <c r="W6" s="87"/>
      <c r="X6" s="87"/>
      <c r="Y6" s="87"/>
      <c r="Z6" s="87"/>
      <c r="AA6" s="87"/>
      <c r="AB6" s="87"/>
      <c r="AC6" s="87"/>
      <c r="AD6" s="87"/>
      <c r="AE6" s="87"/>
      <c r="AF6" s="87"/>
      <c r="AG6" s="87"/>
      <c r="AH6" s="87"/>
      <c r="AI6" s="87"/>
    </row>
    <row r="7" spans="1:35" s="45" customFormat="1" ht="67.900000000000006" customHeight="1">
      <c r="A7" s="42" t="s">
        <v>275</v>
      </c>
      <c r="B7" s="14" t="s">
        <v>276</v>
      </c>
      <c r="C7" s="169" t="s">
        <v>264</v>
      </c>
      <c r="D7" s="169" t="s">
        <v>270</v>
      </c>
      <c r="E7" s="30" t="s">
        <v>161</v>
      </c>
      <c r="F7" s="43" t="s">
        <v>71</v>
      </c>
      <c r="G7" s="34">
        <v>3</v>
      </c>
      <c r="H7" s="35">
        <v>3</v>
      </c>
      <c r="I7" s="35">
        <v>2</v>
      </c>
      <c r="J7" s="35">
        <v>3</v>
      </c>
      <c r="K7" s="35">
        <v>2</v>
      </c>
      <c r="L7" s="47">
        <f t="shared" si="3"/>
        <v>3</v>
      </c>
      <c r="M7" s="88">
        <f t="shared" ref="M7:M8" si="4">IF(G7="","",VLOOKUP(G7,Valor_Actiu_NivellENS,2,FALSE))</f>
        <v>2</v>
      </c>
      <c r="N7" s="88">
        <f t="shared" ref="N7:N8" si="5">IF(H7="","",VLOOKUP(H7,Valor_Actiu_NivellENS,2,FALSE))</f>
        <v>2</v>
      </c>
      <c r="O7" s="88">
        <f t="shared" ref="O7:O8" si="6">IF(I7="","",VLOOKUP(I7,Valor_Actiu_NivellENS,2,FALSE))</f>
        <v>2</v>
      </c>
      <c r="P7" s="88">
        <f t="shared" ref="P7:P8" si="7">IF(J7="","",VLOOKUP(J7,Valor_Actiu_NivellENS,2,FALSE))</f>
        <v>2</v>
      </c>
      <c r="Q7" s="88">
        <f t="shared" ref="Q7:Q8" si="8">IF(K7="","",VLOOKUP(K7,Valor_Actiu_NivellENS,2,FALSE))</f>
        <v>2</v>
      </c>
      <c r="R7" s="72">
        <f t="shared" si="1"/>
        <v>2</v>
      </c>
      <c r="S7" s="89" t="str">
        <f t="shared" ref="S7:S8" si="9">VLOOKUP(R7,NivellENS_Categoria,2,FALSE)</f>
        <v>MEDIA</v>
      </c>
      <c r="T7" s="14"/>
      <c r="U7" s="44"/>
      <c r="V7" s="44"/>
      <c r="W7" s="44"/>
      <c r="X7" s="44"/>
      <c r="Y7" s="44"/>
      <c r="Z7" s="44"/>
      <c r="AA7" s="44"/>
      <c r="AB7" s="44"/>
      <c r="AC7" s="44"/>
      <c r="AD7" s="44"/>
      <c r="AE7" s="44"/>
      <c r="AF7" s="44"/>
      <c r="AG7" s="44"/>
      <c r="AH7" s="44"/>
      <c r="AI7" s="44"/>
    </row>
    <row r="8" spans="1:35" s="115" customFormat="1" ht="67.900000000000006" customHeight="1">
      <c r="A8" s="42" t="s">
        <v>277</v>
      </c>
      <c r="B8" s="14"/>
      <c r="C8" s="14"/>
      <c r="D8" s="30"/>
      <c r="E8" s="30"/>
      <c r="F8" s="175"/>
      <c r="G8" s="34"/>
      <c r="H8" s="35"/>
      <c r="I8" s="35"/>
      <c r="J8" s="35"/>
      <c r="K8" s="35"/>
      <c r="L8" s="47" t="str">
        <f t="shared" si="3"/>
        <v/>
      </c>
      <c r="M8" s="88" t="str">
        <f t="shared" si="4"/>
        <v/>
      </c>
      <c r="N8" s="88" t="str">
        <f t="shared" si="5"/>
        <v/>
      </c>
      <c r="O8" s="88" t="str">
        <f t="shared" si="6"/>
        <v/>
      </c>
      <c r="P8" s="88" t="str">
        <f t="shared" si="7"/>
        <v/>
      </c>
      <c r="Q8" s="88" t="str">
        <f t="shared" si="8"/>
        <v/>
      </c>
      <c r="R8" s="72" t="str">
        <f t="shared" ref="R8" si="10">IF(OR(M8&lt;&gt;"",N8&lt;&gt;"",O8&lt;&gt;"",Q8&lt;&gt;"",P8&lt;&gt;""),MAX(M8:Q8),"")</f>
        <v/>
      </c>
      <c r="S8" s="74" t="e">
        <f t="shared" si="9"/>
        <v>#N/A</v>
      </c>
      <c r="T8" s="83"/>
      <c r="U8" s="87"/>
      <c r="V8" s="87"/>
      <c r="W8" s="87"/>
      <c r="X8" s="87"/>
      <c r="Y8" s="87"/>
      <c r="Z8" s="87"/>
      <c r="AA8" s="87"/>
      <c r="AB8" s="87"/>
      <c r="AC8" s="87"/>
      <c r="AD8" s="87"/>
      <c r="AE8" s="87"/>
      <c r="AF8" s="87"/>
      <c r="AG8" s="87"/>
      <c r="AH8" s="87"/>
      <c r="AI8" s="87"/>
    </row>
    <row r="9" spans="1:35" s="114" customFormat="1" ht="15" customHeight="1">
      <c r="B9" s="117"/>
      <c r="M9" s="118"/>
      <c r="N9" s="118"/>
      <c r="O9" s="118"/>
      <c r="P9" s="118"/>
      <c r="Q9" s="118"/>
      <c r="R9" s="118"/>
      <c r="S9" s="118"/>
    </row>
    <row r="10" spans="1:35" ht="15" customHeight="1">
      <c r="B10" s="117"/>
    </row>
  </sheetData>
  <mergeCells count="5">
    <mergeCell ref="A1:B1"/>
    <mergeCell ref="G1:T1"/>
    <mergeCell ref="C1:F1"/>
    <mergeCell ref="M2:S2"/>
    <mergeCell ref="G2:L2"/>
  </mergeCells>
  <phoneticPr fontId="25" type="noConversion"/>
  <conditionalFormatting sqref="L4:L8">
    <cfRule type="colorScale" priority="4">
      <colorScale>
        <cfvo type="num" val="0"/>
        <cfvo type="num" val="3"/>
        <color rgb="FFFFEF9C"/>
        <color theme="5"/>
      </colorScale>
    </cfRule>
  </conditionalFormatting>
  <conditionalFormatting sqref="S4:S8">
    <cfRule type="cellIs" dxfId="5" priority="1" operator="equal">
      <formula>"ALTA"</formula>
    </cfRule>
    <cfRule type="cellIs" dxfId="4" priority="2" operator="equal">
      <formula>"BAJA"</formula>
    </cfRule>
    <cfRule type="cellIs" dxfId="3" priority="3" operator="equal">
      <formula>"MEDIA"</formula>
    </cfRule>
  </conditionalFormatting>
  <dataValidations count="1">
    <dataValidation type="list" allowBlank="1" showErrorMessage="1" sqref="M4:Q8 G4:K8" xr:uid="{00000000-0002-0000-0B00-000000000000}">
      <formula1>Impacte</formula1>
    </dataValidation>
  </dataValidations>
  <pageMargins left="0.7" right="0.7" top="0.75" bottom="0.75" header="0" footer="0"/>
  <pageSetup scale="49"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I6"/>
  <sheetViews>
    <sheetView zoomScale="70" zoomScaleNormal="70" workbookViewId="0">
      <selection activeCell="L4" sqref="L4"/>
    </sheetView>
  </sheetViews>
  <sheetFormatPr defaultColWidth="14.28515625" defaultRowHeight="15" customHeight="1"/>
  <cols>
    <col min="1" max="1" width="10.28515625" customWidth="1"/>
    <col min="2" max="2" width="31.28515625" customWidth="1"/>
    <col min="3" max="3" width="26.85546875" customWidth="1"/>
    <col min="4" max="4" width="60.7109375" customWidth="1"/>
    <col min="5" max="5" width="36" customWidth="1"/>
    <col min="6" max="6" width="18.85546875" customWidth="1"/>
    <col min="7" max="11" width="7.28515625" customWidth="1"/>
    <col min="12" max="12" width="12" customWidth="1"/>
    <col min="13" max="17" width="7.7109375" style="63" customWidth="1"/>
    <col min="18" max="18" width="11.28515625" style="63" customWidth="1"/>
    <col min="19" max="19" width="13" style="63" customWidth="1"/>
    <col min="20" max="20" width="42.28515625" customWidth="1"/>
    <col min="21" max="35" width="9.140625" customWidth="1"/>
  </cols>
  <sheetData>
    <row r="1" spans="1:35" ht="57.2" customHeight="1">
      <c r="A1" s="233"/>
      <c r="B1" s="251"/>
      <c r="C1" s="245" t="s">
        <v>278</v>
      </c>
      <c r="D1" s="246"/>
      <c r="E1" s="246"/>
      <c r="F1" s="247"/>
      <c r="G1" s="274"/>
      <c r="H1" s="252"/>
      <c r="I1" s="252"/>
      <c r="J1" s="252"/>
      <c r="K1" s="252"/>
      <c r="L1" s="252"/>
      <c r="M1" s="252"/>
      <c r="N1" s="252"/>
      <c r="O1" s="252"/>
      <c r="P1" s="252"/>
      <c r="Q1" s="252"/>
      <c r="R1" s="252"/>
      <c r="S1" s="252"/>
      <c r="T1" s="256"/>
    </row>
    <row r="2" spans="1:35" ht="40.9" customHeight="1">
      <c r="A2" s="54"/>
      <c r="B2" s="51"/>
      <c r="C2" s="59"/>
      <c r="D2" s="60"/>
      <c r="E2" s="60"/>
      <c r="F2" s="60"/>
      <c r="G2" s="239" t="s">
        <v>49</v>
      </c>
      <c r="H2" s="268"/>
      <c r="I2" s="268"/>
      <c r="J2" s="268"/>
      <c r="K2" s="268"/>
      <c r="L2" s="272"/>
      <c r="M2" s="235" t="s">
        <v>50</v>
      </c>
      <c r="N2" s="270"/>
      <c r="O2" s="270"/>
      <c r="P2" s="270"/>
      <c r="Q2" s="270"/>
      <c r="R2" s="270"/>
      <c r="S2" s="271"/>
      <c r="T2" s="68"/>
    </row>
    <row r="3" spans="1:35" s="2" customFormat="1" ht="97.15" customHeight="1">
      <c r="A3" s="99" t="s">
        <v>18</v>
      </c>
      <c r="B3" s="99" t="s">
        <v>24</v>
      </c>
      <c r="C3" s="99" t="s">
        <v>26</v>
      </c>
      <c r="D3" s="99" t="s">
        <v>30</v>
      </c>
      <c r="E3" s="99" t="s">
        <v>28</v>
      </c>
      <c r="F3" s="103" t="s">
        <v>97</v>
      </c>
      <c r="G3" s="125" t="s">
        <v>55</v>
      </c>
      <c r="H3" s="100" t="s">
        <v>54</v>
      </c>
      <c r="I3" s="100" t="s">
        <v>34</v>
      </c>
      <c r="J3" s="100" t="s">
        <v>56</v>
      </c>
      <c r="K3" s="100" t="s">
        <v>57</v>
      </c>
      <c r="L3" s="122" t="s">
        <v>58</v>
      </c>
      <c r="M3" s="128" t="s">
        <v>55</v>
      </c>
      <c r="N3" s="129" t="s">
        <v>54</v>
      </c>
      <c r="O3" s="129" t="s">
        <v>34</v>
      </c>
      <c r="P3" s="129" t="s">
        <v>56</v>
      </c>
      <c r="Q3" s="129" t="s">
        <v>57</v>
      </c>
      <c r="R3" s="110" t="s">
        <v>59</v>
      </c>
      <c r="S3" s="127" t="s">
        <v>60</v>
      </c>
      <c r="T3" s="102" t="s">
        <v>44</v>
      </c>
      <c r="U3" s="12"/>
      <c r="V3" s="12"/>
      <c r="W3" s="12"/>
      <c r="X3" s="12"/>
      <c r="Y3" s="12"/>
      <c r="Z3" s="12"/>
      <c r="AA3" s="12"/>
      <c r="AB3" s="12"/>
      <c r="AC3" s="12"/>
      <c r="AD3" s="12"/>
      <c r="AE3" s="12"/>
      <c r="AF3" s="12"/>
      <c r="AG3" s="12"/>
      <c r="AH3" s="12"/>
      <c r="AI3" s="12"/>
    </row>
    <row r="4" spans="1:35" s="45" customFormat="1" ht="70.150000000000006" customHeight="1">
      <c r="A4" s="42" t="s">
        <v>279</v>
      </c>
      <c r="B4" s="2"/>
      <c r="C4" s="5"/>
      <c r="D4" s="30"/>
      <c r="E4" s="30"/>
      <c r="F4" s="43"/>
      <c r="G4" s="187"/>
      <c r="H4" s="35"/>
      <c r="I4" s="35"/>
      <c r="J4" s="35"/>
      <c r="K4" s="35"/>
      <c r="L4" s="47" t="str">
        <f>IF(OR(G4&lt;&gt;"",H4&lt;&gt;"",I4&lt;&gt;"",K4&lt;&gt;"",J4&lt;&gt;""),MAX(G4:K4),"")</f>
        <v/>
      </c>
      <c r="M4" s="88" t="str">
        <f t="shared" ref="M4:Q4" si="0">IF(G4="","",VLOOKUP(G4,Valor_Actiu_NivellENS,2,FALSE))</f>
        <v/>
      </c>
      <c r="N4" s="88" t="str">
        <f t="shared" si="0"/>
        <v/>
      </c>
      <c r="O4" s="88" t="str">
        <f t="shared" si="0"/>
        <v/>
      </c>
      <c r="P4" s="88" t="str">
        <f t="shared" si="0"/>
        <v/>
      </c>
      <c r="Q4" s="88" t="str">
        <f t="shared" si="0"/>
        <v/>
      </c>
      <c r="R4" s="72" t="str">
        <f t="shared" ref="R4" si="1">IF(OR(M4&lt;&gt;"",N4&lt;&gt;"",O4&lt;&gt;"",Q4&lt;&gt;"",P4&lt;&gt;""),MAX(M4:Q4),"")</f>
        <v/>
      </c>
      <c r="S4" s="74" t="e">
        <f t="shared" ref="S4" si="2">VLOOKUP(R4,NivellENS_Categoria,2,FALSE)</f>
        <v>#N/A</v>
      </c>
      <c r="T4" s="14"/>
      <c r="U4" s="44"/>
      <c r="V4" s="44"/>
      <c r="W4" s="44"/>
      <c r="X4" s="44"/>
      <c r="Y4" s="44"/>
      <c r="Z4" s="44"/>
      <c r="AA4" s="44"/>
      <c r="AB4" s="44"/>
      <c r="AC4" s="44"/>
      <c r="AD4" s="44"/>
      <c r="AE4" s="44"/>
      <c r="AF4" s="44"/>
      <c r="AG4" s="44"/>
      <c r="AH4" s="44"/>
      <c r="AI4" s="44"/>
    </row>
    <row r="5" spans="1:35" s="2" customFormat="1" ht="26.65" customHeight="1">
      <c r="A5" s="4"/>
      <c r="B5" s="5"/>
      <c r="C5" s="5"/>
      <c r="D5" s="6"/>
      <c r="E5" s="6"/>
      <c r="F5" s="186"/>
      <c r="G5" s="80"/>
      <c r="H5" s="7"/>
      <c r="I5" s="7"/>
      <c r="J5" s="7"/>
      <c r="K5" s="7"/>
      <c r="L5" s="9" t="str">
        <f t="shared" ref="L5:L6" si="3">IF(OR(G5&lt;&gt;"",H5&lt;&gt;"",I5&lt;&gt;"",K5&lt;&gt;"",J5&lt;&gt;""),MAX(G5:K5),"")</f>
        <v/>
      </c>
      <c r="M5" s="81" t="str">
        <f t="shared" ref="M5:Q6" si="4">IF(G5="","",VLOOKUP(G5,Valor_Actiu_NivellENS,2,FALSE))</f>
        <v/>
      </c>
      <c r="N5" s="81" t="str">
        <f t="shared" si="4"/>
        <v/>
      </c>
      <c r="O5" s="81" t="str">
        <f t="shared" si="4"/>
        <v/>
      </c>
      <c r="P5" s="81" t="str">
        <f t="shared" si="4"/>
        <v/>
      </c>
      <c r="Q5" s="81" t="str">
        <f t="shared" si="4"/>
        <v/>
      </c>
      <c r="R5" s="72"/>
      <c r="S5" s="73"/>
      <c r="T5" s="5"/>
      <c r="U5" s="10"/>
      <c r="V5" s="10"/>
      <c r="W5" s="10"/>
      <c r="X5" s="10"/>
      <c r="Y5" s="10"/>
      <c r="Z5" s="10"/>
      <c r="AA5" s="10"/>
      <c r="AB5" s="10"/>
      <c r="AC5" s="10"/>
      <c r="AD5" s="10"/>
      <c r="AE5" s="10"/>
      <c r="AF5" s="10"/>
      <c r="AG5" s="10"/>
      <c r="AH5" s="10"/>
      <c r="AI5" s="10"/>
    </row>
    <row r="6" spans="1:35" s="2" customFormat="1" ht="26.65" customHeight="1">
      <c r="A6" s="5"/>
      <c r="B6" s="5"/>
      <c r="C6" s="5"/>
      <c r="D6" s="6"/>
      <c r="E6" s="6"/>
      <c r="F6" s="186"/>
      <c r="G6" s="80"/>
      <c r="H6" s="7"/>
      <c r="I6" s="7"/>
      <c r="J6" s="7"/>
      <c r="K6" s="7"/>
      <c r="L6" s="9" t="str">
        <f t="shared" si="3"/>
        <v/>
      </c>
      <c r="M6" s="81" t="str">
        <f t="shared" si="4"/>
        <v/>
      </c>
      <c r="N6" s="81" t="str">
        <f t="shared" si="4"/>
        <v/>
      </c>
      <c r="O6" s="81" t="str">
        <f t="shared" si="4"/>
        <v/>
      </c>
      <c r="P6" s="81" t="str">
        <f t="shared" si="4"/>
        <v/>
      </c>
      <c r="Q6" s="81" t="str">
        <f t="shared" si="4"/>
        <v/>
      </c>
      <c r="R6" s="72"/>
      <c r="S6" s="73"/>
      <c r="T6" s="5"/>
      <c r="U6" s="10"/>
      <c r="V6" s="10"/>
      <c r="W6" s="10"/>
      <c r="X6" s="10"/>
      <c r="Y6" s="10"/>
      <c r="Z6" s="10"/>
      <c r="AA6" s="10"/>
      <c r="AB6" s="10"/>
      <c r="AC6" s="10"/>
      <c r="AD6" s="10"/>
      <c r="AE6" s="10"/>
      <c r="AF6" s="10"/>
      <c r="AG6" s="10"/>
      <c r="AH6" s="10"/>
      <c r="AI6" s="10"/>
    </row>
  </sheetData>
  <mergeCells count="5">
    <mergeCell ref="A1:B1"/>
    <mergeCell ref="G1:T1"/>
    <mergeCell ref="C1:F1"/>
    <mergeCell ref="G2:L2"/>
    <mergeCell ref="M2:S2"/>
  </mergeCells>
  <conditionalFormatting sqref="L4">
    <cfRule type="colorScale" priority="4">
      <colorScale>
        <cfvo type="num" val="0"/>
        <cfvo type="num" val="3"/>
        <color rgb="FFFFEF9C"/>
        <color theme="5"/>
      </colorScale>
    </cfRule>
  </conditionalFormatting>
  <conditionalFormatting sqref="L5:L6">
    <cfRule type="colorScale" priority="8">
      <colorScale>
        <cfvo type="num" val="0"/>
        <cfvo type="num" val="3"/>
        <color rgb="FFFFEF9C"/>
        <color theme="5"/>
      </colorScale>
    </cfRule>
  </conditionalFormatting>
  <conditionalFormatting sqref="S4:S6">
    <cfRule type="cellIs" dxfId="2" priority="1" operator="equal">
      <formula>"ALTA"</formula>
    </cfRule>
    <cfRule type="cellIs" dxfId="1" priority="2" operator="equal">
      <formula>"BAJA"</formula>
    </cfRule>
    <cfRule type="cellIs" dxfId="0" priority="3" operator="equal">
      <formula>"MEDIA"</formula>
    </cfRule>
  </conditionalFormatting>
  <dataValidations count="1">
    <dataValidation type="list" allowBlank="1" showErrorMessage="1" sqref="G4:K6 M4:Q6" xr:uid="{00000000-0002-0000-0A00-000000000000}">
      <formula1>Impacte</formula1>
    </dataValidation>
  </dataValidations>
  <pageMargins left="0.7" right="0.7" top="0.75" bottom="0.75" header="0" footer="0"/>
  <pageSetup scale="4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7"/>
  <sheetViews>
    <sheetView zoomScale="70" zoomScaleNormal="70" workbookViewId="0">
      <selection activeCell="I15" sqref="I15"/>
    </sheetView>
  </sheetViews>
  <sheetFormatPr defaultColWidth="14.28515625" defaultRowHeight="15" customHeight="1"/>
  <cols>
    <col min="1" max="1" width="10.28515625" customWidth="1"/>
    <col min="2" max="3" width="30.85546875" customWidth="1"/>
    <col min="4" max="4" width="44.140625" customWidth="1"/>
    <col min="5" max="5" width="52.85546875" customWidth="1"/>
    <col min="6" max="6" width="24.140625" customWidth="1"/>
    <col min="7" max="7" width="13.140625" customWidth="1"/>
    <col min="8" max="9" width="9.140625" customWidth="1"/>
    <col min="10" max="10" width="22" customWidth="1"/>
    <col min="11" max="11" width="42.28515625" customWidth="1"/>
    <col min="12" max="26" width="9.140625" customWidth="1"/>
  </cols>
  <sheetData>
    <row r="1" spans="1:26" ht="64.150000000000006" customHeight="1">
      <c r="A1" s="233"/>
      <c r="B1" s="251"/>
      <c r="C1" s="237" t="s">
        <v>280</v>
      </c>
      <c r="D1" s="238"/>
      <c r="E1" s="238"/>
      <c r="F1" s="241"/>
      <c r="G1" s="274"/>
      <c r="H1" s="252"/>
      <c r="I1" s="252"/>
      <c r="J1" s="252"/>
      <c r="K1" s="256"/>
    </row>
    <row r="2" spans="1:26" s="2" customFormat="1" ht="106.5" customHeight="1">
      <c r="A2" s="103" t="s">
        <v>18</v>
      </c>
      <c r="B2" s="99" t="s">
        <v>24</v>
      </c>
      <c r="C2" s="99" t="s">
        <v>26</v>
      </c>
      <c r="D2" s="99" t="s">
        <v>30</v>
      </c>
      <c r="E2" s="99" t="s">
        <v>28</v>
      </c>
      <c r="F2" s="99" t="s">
        <v>97</v>
      </c>
      <c r="G2" s="100" t="s">
        <v>55</v>
      </c>
      <c r="H2" s="100" t="s">
        <v>54</v>
      </c>
      <c r="I2" s="100" t="s">
        <v>34</v>
      </c>
      <c r="J2" s="101" t="s">
        <v>58</v>
      </c>
      <c r="K2" s="102" t="s">
        <v>44</v>
      </c>
      <c r="L2" s="3"/>
      <c r="M2" s="3"/>
      <c r="N2" s="3"/>
      <c r="O2" s="3"/>
      <c r="P2" s="3"/>
      <c r="Q2" s="3"/>
      <c r="R2" s="3"/>
      <c r="S2" s="3"/>
      <c r="T2" s="3"/>
      <c r="U2" s="3"/>
      <c r="V2" s="3"/>
      <c r="W2" s="3"/>
      <c r="X2" s="3"/>
      <c r="Y2" s="3"/>
      <c r="Z2" s="3"/>
    </row>
    <row r="3" spans="1:26" s="40" customFormat="1" ht="57.75" customHeight="1">
      <c r="A3" s="188" t="s">
        <v>281</v>
      </c>
      <c r="B3" s="30"/>
      <c r="C3" s="169"/>
      <c r="D3" s="30"/>
      <c r="E3" s="30"/>
      <c r="F3" s="35"/>
      <c r="G3" s="35"/>
      <c r="H3" s="190"/>
      <c r="I3" s="190"/>
      <c r="J3" s="47" t="str">
        <f>IF(OR(E3&lt;&gt;"",F3&lt;&gt;"",G3&lt;&gt;"",I3&lt;&gt;"",H3&lt;&gt;""),MAX(E3:I3),"")</f>
        <v/>
      </c>
      <c r="K3" s="14"/>
      <c r="L3" s="39"/>
      <c r="M3" s="39"/>
      <c r="N3" s="39"/>
      <c r="O3" s="39"/>
      <c r="P3" s="39"/>
      <c r="Q3" s="39"/>
      <c r="R3" s="39"/>
      <c r="S3" s="39"/>
      <c r="T3" s="39"/>
      <c r="U3" s="39"/>
      <c r="V3" s="39"/>
      <c r="W3" s="39"/>
      <c r="X3" s="39"/>
      <c r="Y3" s="39"/>
      <c r="Z3" s="39"/>
    </row>
    <row r="4" spans="1:26" s="40" customFormat="1" ht="60" customHeight="1">
      <c r="A4" s="188"/>
      <c r="B4" s="30"/>
      <c r="C4" s="169"/>
      <c r="D4" s="30"/>
      <c r="E4" s="30"/>
      <c r="F4" s="35"/>
      <c r="G4" s="35"/>
      <c r="H4" s="190"/>
      <c r="I4" s="190"/>
      <c r="J4" s="47"/>
      <c r="K4" s="14"/>
      <c r="L4" s="39"/>
      <c r="M4" s="39"/>
      <c r="N4" s="39"/>
      <c r="O4" s="39"/>
      <c r="P4" s="39"/>
      <c r="Q4" s="39"/>
      <c r="R4" s="39"/>
      <c r="S4" s="39"/>
      <c r="T4" s="39"/>
      <c r="U4" s="39"/>
      <c r="V4" s="39"/>
      <c r="W4" s="39"/>
      <c r="X4" s="39"/>
      <c r="Y4" s="39"/>
      <c r="Z4" s="39"/>
    </row>
    <row r="5" spans="1:26" s="40" customFormat="1" ht="27" customHeight="1">
      <c r="A5" s="188"/>
      <c r="B5" s="30"/>
      <c r="C5" s="169"/>
      <c r="D5" s="30"/>
      <c r="E5" s="30"/>
      <c r="F5" s="35"/>
      <c r="G5" s="35"/>
      <c r="H5" s="190"/>
      <c r="I5" s="190"/>
      <c r="J5" s="47"/>
      <c r="K5" s="14"/>
      <c r="L5" s="39"/>
      <c r="M5" s="39"/>
      <c r="N5" s="39"/>
      <c r="O5" s="39"/>
      <c r="P5" s="39"/>
      <c r="Q5" s="39"/>
      <c r="R5" s="39"/>
      <c r="S5" s="39"/>
      <c r="T5" s="39"/>
      <c r="U5" s="39"/>
      <c r="V5" s="39"/>
      <c r="W5" s="39"/>
      <c r="X5" s="39"/>
      <c r="Y5" s="39"/>
      <c r="Z5" s="39"/>
    </row>
    <row r="6" spans="1:26" s="40" customFormat="1" ht="58.9" customHeight="1">
      <c r="A6" s="188"/>
      <c r="B6" s="30"/>
      <c r="C6" s="169"/>
      <c r="D6" s="30"/>
      <c r="E6" s="30"/>
      <c r="F6" s="35"/>
      <c r="G6" s="35"/>
      <c r="H6" s="190"/>
      <c r="I6" s="190"/>
      <c r="J6" s="47"/>
      <c r="K6" s="14"/>
      <c r="L6" s="39"/>
      <c r="M6" s="39"/>
      <c r="N6" s="39"/>
      <c r="O6" s="39"/>
      <c r="P6" s="39"/>
      <c r="Q6" s="39"/>
      <c r="R6" s="39"/>
      <c r="S6" s="39"/>
      <c r="T6" s="39"/>
      <c r="U6" s="39"/>
      <c r="V6" s="39"/>
      <c r="W6" s="39"/>
      <c r="X6" s="39"/>
      <c r="Y6" s="39"/>
      <c r="Z6" s="39"/>
    </row>
    <row r="7" spans="1:26" s="2" customFormat="1" ht="24.75" customHeight="1">
      <c r="A7" s="188"/>
      <c r="B7" s="14"/>
      <c r="C7" s="169"/>
      <c r="D7" s="169"/>
      <c r="E7" s="30"/>
      <c r="F7" s="30"/>
      <c r="G7" s="35"/>
      <c r="H7" s="190"/>
      <c r="I7" s="190"/>
      <c r="J7" s="47"/>
      <c r="K7" s="14"/>
      <c r="L7" s="10"/>
      <c r="M7" s="10"/>
      <c r="N7" s="10"/>
      <c r="O7" s="10"/>
      <c r="P7" s="10"/>
      <c r="Q7" s="10"/>
      <c r="R7" s="10"/>
      <c r="S7" s="10"/>
      <c r="T7" s="10"/>
      <c r="U7" s="10"/>
      <c r="V7" s="10"/>
      <c r="W7" s="10"/>
      <c r="X7" s="10"/>
      <c r="Y7" s="10"/>
      <c r="Z7" s="10"/>
    </row>
  </sheetData>
  <mergeCells count="3">
    <mergeCell ref="A1:B1"/>
    <mergeCell ref="G1:K1"/>
    <mergeCell ref="C1:F1"/>
  </mergeCells>
  <conditionalFormatting sqref="J3">
    <cfRule type="colorScale" priority="1">
      <colorScale>
        <cfvo type="num" val="0"/>
        <cfvo type="num" val="3"/>
        <color rgb="FFFFEF9C"/>
        <color theme="5"/>
      </colorScale>
    </cfRule>
  </conditionalFormatting>
  <conditionalFormatting sqref="J4:J7">
    <cfRule type="colorScale" priority="2">
      <colorScale>
        <cfvo type="num" val="0"/>
        <cfvo type="num" val="3"/>
        <color rgb="FFFFEF9C"/>
        <color theme="5"/>
      </colorScale>
    </cfRule>
  </conditionalFormatting>
  <dataValidations count="1">
    <dataValidation type="list" allowBlank="1" showErrorMessage="1" sqref="G3:I7" xr:uid="{00000000-0002-0000-0C00-000000000000}">
      <formula1>Impacte</formula1>
    </dataValidation>
  </dataValidations>
  <pageMargins left="0.7" right="0.7" top="0.75" bottom="0.75" header="0" footer="0"/>
  <pageSetup scale="45"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C90B-AC79-4532-B5DC-2CF8D844A75C}">
  <sheetPr>
    <pageSetUpPr fitToPage="1"/>
  </sheetPr>
  <dimension ref="A1:AA6"/>
  <sheetViews>
    <sheetView zoomScale="70" zoomScaleNormal="70" workbookViewId="0">
      <selection activeCell="F9" sqref="F9"/>
    </sheetView>
  </sheetViews>
  <sheetFormatPr defaultColWidth="14.28515625" defaultRowHeight="15" customHeight="1"/>
  <cols>
    <col min="1" max="1" width="10.28515625" customWidth="1"/>
    <col min="2" max="2" width="40.28515625" customWidth="1"/>
    <col min="3" max="3" width="17.85546875" customWidth="1"/>
    <col min="4" max="4" width="30.85546875" customWidth="1"/>
    <col min="5" max="5" width="44.140625" customWidth="1"/>
    <col min="6" max="6" width="52.85546875" customWidth="1"/>
    <col min="7" max="7" width="24.140625" customWidth="1"/>
    <col min="8" max="8" width="13.140625" customWidth="1"/>
    <col min="9" max="10" width="9.140625" customWidth="1"/>
    <col min="11" max="11" width="15.85546875" customWidth="1"/>
    <col min="12" max="12" width="42.28515625" customWidth="1"/>
    <col min="13" max="27" width="9.140625" customWidth="1"/>
  </cols>
  <sheetData>
    <row r="1" spans="1:27" ht="63" customHeight="1">
      <c r="A1" s="233"/>
      <c r="B1" s="251"/>
      <c r="C1" s="90"/>
      <c r="D1" s="237" t="s">
        <v>282</v>
      </c>
      <c r="E1" s="238"/>
      <c r="F1" s="238"/>
      <c r="G1" s="241"/>
      <c r="H1" s="274"/>
      <c r="I1" s="252"/>
      <c r="J1" s="252"/>
      <c r="K1" s="252"/>
      <c r="L1" s="256"/>
    </row>
    <row r="2" spans="1:27" s="2" customFormat="1" ht="106.5" customHeight="1">
      <c r="A2" s="99" t="s">
        <v>18</v>
      </c>
      <c r="B2" s="99" t="s">
        <v>24</v>
      </c>
      <c r="C2" s="99" t="s">
        <v>283</v>
      </c>
      <c r="D2" s="99" t="s">
        <v>26</v>
      </c>
      <c r="E2" s="99" t="s">
        <v>30</v>
      </c>
      <c r="F2" s="99" t="s">
        <v>28</v>
      </c>
      <c r="G2" s="103" t="s">
        <v>97</v>
      </c>
      <c r="H2" s="121" t="s">
        <v>55</v>
      </c>
      <c r="I2" s="100" t="s">
        <v>54</v>
      </c>
      <c r="J2" s="100" t="s">
        <v>34</v>
      </c>
      <c r="K2" s="101" t="s">
        <v>58</v>
      </c>
      <c r="L2" s="102" t="s">
        <v>44</v>
      </c>
      <c r="M2" s="3"/>
      <c r="N2" s="3"/>
      <c r="O2" s="3"/>
      <c r="P2" s="3"/>
      <c r="Q2" s="3"/>
      <c r="R2" s="3"/>
      <c r="S2" s="3"/>
      <c r="T2" s="3"/>
      <c r="U2" s="3"/>
      <c r="V2" s="3"/>
      <c r="W2" s="3"/>
      <c r="X2" s="3"/>
      <c r="Y2" s="3"/>
      <c r="Z2" s="3"/>
      <c r="AA2" s="3"/>
    </row>
    <row r="3" spans="1:27" s="40" customFormat="1" ht="55.15" customHeight="1">
      <c r="A3" s="36" t="s">
        <v>284</v>
      </c>
      <c r="B3" s="30" t="s">
        <v>285</v>
      </c>
      <c r="C3" s="14" t="s">
        <v>106</v>
      </c>
      <c r="D3" s="5" t="s">
        <v>106</v>
      </c>
      <c r="E3" s="6" t="s">
        <v>286</v>
      </c>
      <c r="F3" s="6" t="s">
        <v>287</v>
      </c>
      <c r="G3" s="32" t="s">
        <v>4</v>
      </c>
      <c r="H3" s="139">
        <v>2</v>
      </c>
      <c r="I3" s="189"/>
      <c r="J3" s="38">
        <v>2</v>
      </c>
      <c r="K3" s="9">
        <f>IF(OR(F3&lt;&gt;"",G3&lt;&gt;"",H3&lt;&gt;"",J3&lt;&gt;"",I3&lt;&gt;""),MAX(F3:J3),"")</f>
        <v>2</v>
      </c>
      <c r="L3" s="37"/>
      <c r="M3" s="39"/>
      <c r="N3" s="39"/>
      <c r="O3" s="39"/>
      <c r="P3" s="39"/>
      <c r="Q3" s="39"/>
      <c r="R3" s="39"/>
      <c r="S3" s="39"/>
      <c r="T3" s="39"/>
      <c r="U3" s="39"/>
      <c r="V3" s="39"/>
      <c r="W3" s="39"/>
      <c r="X3" s="39"/>
      <c r="Y3" s="39"/>
      <c r="Z3" s="39"/>
      <c r="AA3" s="39"/>
    </row>
    <row r="4" spans="1:27" s="40" customFormat="1" ht="60" customHeight="1">
      <c r="A4" s="36" t="s">
        <v>288</v>
      </c>
      <c r="B4" s="30" t="s">
        <v>289</v>
      </c>
      <c r="C4" s="14" t="s">
        <v>106</v>
      </c>
      <c r="D4" s="5" t="s">
        <v>106</v>
      </c>
      <c r="E4" s="6" t="s">
        <v>290</v>
      </c>
      <c r="F4" s="6" t="s">
        <v>287</v>
      </c>
      <c r="G4" s="32" t="s">
        <v>4</v>
      </c>
      <c r="H4" s="139">
        <v>2</v>
      </c>
      <c r="I4" s="189"/>
      <c r="J4" s="38">
        <v>2</v>
      </c>
      <c r="K4" s="9">
        <f>IF(OR(F4&lt;&gt;"",G4&lt;&gt;"",H4&lt;&gt;"",J4&lt;&gt;"",I4&lt;&gt;""),MAX(F4:J4),"")</f>
        <v>2</v>
      </c>
      <c r="L4" s="37"/>
      <c r="M4" s="39"/>
      <c r="N4" s="39"/>
      <c r="O4" s="39"/>
      <c r="P4" s="39"/>
      <c r="Q4" s="39"/>
      <c r="R4" s="39"/>
      <c r="S4" s="39"/>
      <c r="T4" s="39"/>
      <c r="U4" s="39"/>
      <c r="V4" s="39"/>
      <c r="W4" s="39"/>
      <c r="X4" s="39"/>
      <c r="Y4" s="39"/>
      <c r="Z4" s="39"/>
      <c r="AA4" s="39"/>
    </row>
    <row r="5" spans="1:27" s="40" customFormat="1" ht="88.5" customHeight="1">
      <c r="A5" s="36" t="s">
        <v>291</v>
      </c>
      <c r="B5" s="30" t="s">
        <v>292</v>
      </c>
      <c r="C5" s="14" t="s">
        <v>106</v>
      </c>
      <c r="D5" s="5" t="s">
        <v>106</v>
      </c>
      <c r="E5" s="6" t="s">
        <v>293</v>
      </c>
      <c r="F5" s="6" t="s">
        <v>287</v>
      </c>
      <c r="G5" s="32" t="s">
        <v>4</v>
      </c>
      <c r="H5" s="139">
        <v>2</v>
      </c>
      <c r="I5" s="189"/>
      <c r="J5" s="38">
        <v>2</v>
      </c>
      <c r="K5" s="9">
        <f>IF(OR(F5&lt;&gt;"",G5&lt;&gt;"",H5&lt;&gt;"",J5&lt;&gt;"",I5&lt;&gt;""),MAX(F5:J5),"")</f>
        <v>2</v>
      </c>
      <c r="L5" s="37"/>
      <c r="M5" s="39"/>
      <c r="N5" s="39"/>
      <c r="O5" s="39"/>
      <c r="P5" s="39"/>
      <c r="Q5" s="39"/>
      <c r="R5" s="39"/>
      <c r="S5" s="39"/>
      <c r="T5" s="39"/>
      <c r="U5" s="39"/>
      <c r="V5" s="39"/>
      <c r="W5" s="39"/>
      <c r="X5" s="39"/>
      <c r="Y5" s="39"/>
      <c r="Z5" s="39"/>
      <c r="AA5" s="39"/>
    </row>
    <row r="6" spans="1:27" s="40" customFormat="1" ht="88.5" customHeight="1">
      <c r="A6" s="36" t="s">
        <v>291</v>
      </c>
      <c r="B6" s="30" t="s">
        <v>294</v>
      </c>
      <c r="C6" s="14" t="s">
        <v>106</v>
      </c>
      <c r="D6" s="5" t="s">
        <v>106</v>
      </c>
      <c r="E6" s="6" t="s">
        <v>295</v>
      </c>
      <c r="F6" s="6" t="s">
        <v>287</v>
      </c>
      <c r="G6" s="32" t="s">
        <v>4</v>
      </c>
      <c r="H6" s="139">
        <v>2</v>
      </c>
      <c r="I6" s="189"/>
      <c r="J6" s="38">
        <v>2</v>
      </c>
      <c r="K6" s="9">
        <f>IF(OR(F6&lt;&gt;"",G6&lt;&gt;"",H6&lt;&gt;"",J6&lt;&gt;"",I6&lt;&gt;""),MAX(F6:J6),"")</f>
        <v>2</v>
      </c>
      <c r="L6" s="37"/>
      <c r="M6" s="39"/>
      <c r="N6" s="39"/>
      <c r="O6" s="39"/>
      <c r="P6" s="39"/>
      <c r="Q6" s="39"/>
      <c r="R6" s="39"/>
      <c r="S6" s="39"/>
      <c r="T6" s="39"/>
      <c r="U6" s="39"/>
      <c r="V6" s="39"/>
      <c r="W6" s="39"/>
      <c r="X6" s="39"/>
      <c r="Y6" s="39"/>
      <c r="Z6" s="39"/>
      <c r="AA6" s="39"/>
    </row>
  </sheetData>
  <mergeCells count="3">
    <mergeCell ref="A1:B1"/>
    <mergeCell ref="D1:G1"/>
    <mergeCell ref="H1:L1"/>
  </mergeCells>
  <conditionalFormatting sqref="K3:K6">
    <cfRule type="colorScale" priority="1">
      <colorScale>
        <cfvo type="num" val="0"/>
        <cfvo type="num" val="3"/>
        <color rgb="FFFFEF9C"/>
        <color theme="5"/>
      </colorScale>
    </cfRule>
  </conditionalFormatting>
  <dataValidations count="1">
    <dataValidation type="list" allowBlank="1" showErrorMessage="1" sqref="H3:J6" xr:uid="{BB5F6069-7487-48E8-B52F-6818AD9DDBD7}">
      <formula1>Impacte</formula1>
    </dataValidation>
  </dataValidations>
  <pageMargins left="0.7" right="0.7" top="0.75" bottom="0.75" header="0" footer="0"/>
  <pageSetup scale="45"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000"/>
  <sheetViews>
    <sheetView topLeftCell="A5" workbookViewId="0">
      <selection activeCell="A20" sqref="A20:B23"/>
    </sheetView>
  </sheetViews>
  <sheetFormatPr defaultColWidth="14.28515625" defaultRowHeight="15" customHeight="1"/>
  <cols>
    <col min="1" max="1" width="25.140625" customWidth="1"/>
    <col min="2" max="2" width="10.7109375" customWidth="1"/>
    <col min="3" max="3" width="9.140625" customWidth="1"/>
    <col min="4" max="4" width="18.7109375" customWidth="1"/>
    <col min="5" max="5" width="30.85546875" customWidth="1"/>
    <col min="6" max="6" width="9.140625" customWidth="1"/>
    <col min="7" max="7" width="15.7109375" customWidth="1"/>
    <col min="8" max="8" width="36.85546875" customWidth="1"/>
    <col min="9" max="26" width="9.140625" customWidth="1"/>
  </cols>
  <sheetData>
    <row r="1" spans="1:9" ht="89.65" customHeight="1">
      <c r="A1" s="275"/>
      <c r="B1" s="276"/>
      <c r="C1" s="15"/>
      <c r="D1" s="248" t="s">
        <v>296</v>
      </c>
      <c r="E1" s="276"/>
      <c r="F1" s="276"/>
      <c r="G1" s="276"/>
      <c r="H1" s="276"/>
      <c r="I1" s="276"/>
    </row>
    <row r="2" spans="1:9" ht="17.649999999999999" customHeight="1">
      <c r="A2" s="16" t="s">
        <v>297</v>
      </c>
      <c r="D2" s="16" t="s">
        <v>298</v>
      </c>
    </row>
    <row r="3" spans="1:9" ht="14.45">
      <c r="A3" t="s">
        <v>63</v>
      </c>
      <c r="D3">
        <v>3</v>
      </c>
    </row>
    <row r="4" spans="1:9" ht="14.45">
      <c r="A4" t="s">
        <v>83</v>
      </c>
      <c r="D4">
        <v>2</v>
      </c>
    </row>
    <row r="5" spans="1:9" ht="14.45">
      <c r="D5">
        <v>1</v>
      </c>
    </row>
    <row r="6" spans="1:9" ht="14.45">
      <c r="D6">
        <v>0</v>
      </c>
    </row>
    <row r="7" spans="1:9" ht="14.45">
      <c r="A7" s="16" t="s">
        <v>299</v>
      </c>
    </row>
    <row r="8" spans="1:9" ht="14.45">
      <c r="A8" s="21" t="s">
        <v>107</v>
      </c>
      <c r="B8">
        <v>0</v>
      </c>
    </row>
    <row r="9" spans="1:9" ht="14.45">
      <c r="A9" s="21" t="s">
        <v>137</v>
      </c>
      <c r="B9">
        <v>1</v>
      </c>
    </row>
    <row r="10" spans="1:9" ht="14.45">
      <c r="A10" s="21" t="s">
        <v>112</v>
      </c>
      <c r="B10">
        <v>2</v>
      </c>
    </row>
    <row r="11" spans="1:9" ht="14.45">
      <c r="A11" s="21" t="s">
        <v>300</v>
      </c>
      <c r="B11">
        <v>3</v>
      </c>
    </row>
    <row r="13" spans="1:9" ht="14.45">
      <c r="A13" s="16" t="s">
        <v>301</v>
      </c>
    </row>
    <row r="14" spans="1:9" ht="14.45">
      <c r="A14" t="s">
        <v>103</v>
      </c>
    </row>
    <row r="15" spans="1:9" ht="14.45">
      <c r="A15" t="s">
        <v>110</v>
      </c>
    </row>
    <row r="16" spans="1:9" ht="14.45">
      <c r="A16" t="s">
        <v>302</v>
      </c>
    </row>
    <row r="19" spans="1:2" ht="14.45">
      <c r="A19" s="16" t="s">
        <v>36</v>
      </c>
    </row>
    <row r="20" spans="1:2" ht="14.45">
      <c r="A20" s="21" t="s">
        <v>303</v>
      </c>
      <c r="B20">
        <v>3</v>
      </c>
    </row>
    <row r="21" spans="1:2" ht="15.75" customHeight="1">
      <c r="A21" s="21" t="s">
        <v>304</v>
      </c>
      <c r="B21">
        <v>2</v>
      </c>
    </row>
    <row r="22" spans="1:2" ht="15.75" customHeight="1">
      <c r="A22" s="21" t="s">
        <v>305</v>
      </c>
      <c r="B22">
        <v>1</v>
      </c>
    </row>
    <row r="23" spans="1:2" ht="15.75" customHeight="1">
      <c r="A23" s="21" t="s">
        <v>306</v>
      </c>
      <c r="B23">
        <v>0</v>
      </c>
    </row>
    <row r="24" spans="1:2" ht="15.75" customHeight="1"/>
    <row r="25" spans="1:2" ht="15.75" customHeight="1"/>
    <row r="26" spans="1:2" ht="15.75" customHeight="1">
      <c r="A26" s="16" t="s">
        <v>38</v>
      </c>
    </row>
    <row r="27" spans="1:2" ht="15.75" customHeight="1">
      <c r="A27" t="s">
        <v>307</v>
      </c>
      <c r="B27">
        <v>3</v>
      </c>
    </row>
    <row r="28" spans="1:2" ht="15.75" customHeight="1">
      <c r="A28" s="21" t="s">
        <v>303</v>
      </c>
      <c r="B28">
        <v>2</v>
      </c>
    </row>
    <row r="29" spans="1:2" ht="15.75" customHeight="1">
      <c r="A29" s="21" t="s">
        <v>304</v>
      </c>
      <c r="B29">
        <v>1</v>
      </c>
    </row>
    <row r="30" spans="1:2" ht="15.75" customHeight="1">
      <c r="A30" s="21" t="s">
        <v>308</v>
      </c>
      <c r="B30">
        <v>0</v>
      </c>
    </row>
    <row r="31" spans="1:2" ht="15.75" customHeight="1"/>
    <row r="32" spans="1:2" ht="15.75" customHeight="1"/>
    <row r="33" spans="1:3" ht="15.75" customHeight="1">
      <c r="A33" s="16" t="s">
        <v>298</v>
      </c>
      <c r="B33" s="16" t="s">
        <v>309</v>
      </c>
      <c r="C33" s="67" t="s">
        <v>310</v>
      </c>
    </row>
    <row r="34" spans="1:3" ht="15.75" customHeight="1">
      <c r="A34" s="66">
        <v>3</v>
      </c>
      <c r="B34" s="66">
        <v>2</v>
      </c>
      <c r="C34" s="65" t="s">
        <v>311</v>
      </c>
    </row>
    <row r="35" spans="1:3" ht="15.75" customHeight="1">
      <c r="A35" s="66">
        <v>2</v>
      </c>
      <c r="B35" s="66">
        <v>2</v>
      </c>
      <c r="C35" s="65" t="s">
        <v>311</v>
      </c>
    </row>
    <row r="36" spans="1:3" ht="15.75" customHeight="1">
      <c r="A36" s="66">
        <v>1</v>
      </c>
      <c r="B36" s="66">
        <v>1</v>
      </c>
      <c r="C36" s="65" t="s">
        <v>312</v>
      </c>
    </row>
    <row r="37" spans="1:3" ht="15.75" customHeight="1">
      <c r="A37" s="66">
        <v>0</v>
      </c>
      <c r="B37" s="66">
        <v>1</v>
      </c>
      <c r="C37" s="65" t="s">
        <v>312</v>
      </c>
    </row>
    <row r="38" spans="1:3" ht="15.75" customHeight="1"/>
    <row r="39" spans="1:3" ht="15.75" customHeight="1"/>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D1:I1"/>
  </mergeCells>
  <pageMargins left="0.7" right="0.7" top="0.75" bottom="0.75" header="0" footer="0"/>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47B8C1A74757498A2029EF7A2CB39D" ma:contentTypeVersion="3" ma:contentTypeDescription="Crea un document nou" ma:contentTypeScope="" ma:versionID="abac026b6ef648ccef61e7a2b1110207">
  <xsd:schema xmlns:xsd="http://www.w3.org/2001/XMLSchema" xmlns:xs="http://www.w3.org/2001/XMLSchema" xmlns:p="http://schemas.microsoft.com/office/2006/metadata/properties" xmlns:ns2="8a433bc3-02fd-410b-9ca8-de1c3ba283d8" targetNamespace="http://schemas.microsoft.com/office/2006/metadata/properties" ma:root="true" ma:fieldsID="66130ff68f456b53950cec4374bfb5b5"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DD2B9A-D6D6-4288-B375-9192646DAA66}"/>
</file>

<file path=customXml/itemProps2.xml><?xml version="1.0" encoding="utf-8"?>
<ds:datastoreItem xmlns:ds="http://schemas.openxmlformats.org/officeDocument/2006/customXml" ds:itemID="{5F70FD36-5121-4DA8-A594-846AFFC4E633}"/>
</file>

<file path=customXml/itemProps3.xml><?xml version="1.0" encoding="utf-8"?>
<ds:datastoreItem xmlns:ds="http://schemas.openxmlformats.org/officeDocument/2006/customXml" ds:itemID="{48D3C2A4-0497-414F-95CD-43D1DB2BE3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Roca</cp:lastModifiedBy>
  <cp:revision/>
  <dcterms:created xsi:type="dcterms:W3CDTF">2022-06-13T20:45:29Z</dcterms:created>
  <dcterms:modified xsi:type="dcterms:W3CDTF">2025-11-29T18:33:15Z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