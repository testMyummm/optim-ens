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filterPrivacy="1" defaultThemeVersion="166925"/>
  <xr:revisionPtr revIDLastSave="2258" documentId="13_ncr:1_{DEC0B6BD-06AA-468E-A928-1AF65610FF73}" xr6:coauthVersionLast="47" xr6:coauthVersionMax="47" xr10:uidLastSave="{78941CE4-4D19-4EF9-B9A3-48888FF49DB9}"/>
  <bookViews>
    <workbookView xWindow="-120" yWindow="-16320" windowWidth="29040" windowHeight="16440" tabRatio="746" firstSheet="6" activeTab="4" xr2:uid="{00000000-000D-0000-FFFF-FFFF00000000}"/>
  </bookViews>
  <sheets>
    <sheet name="Cabecera" sheetId="1" r:id="rId1"/>
    <sheet name="Guía de Uso" sheetId="17" r:id="rId2"/>
    <sheet name="SP-Servicios Propios" sheetId="3" r:id="rId3"/>
    <sheet name="D-Datos" sheetId="4" r:id="rId4"/>
    <sheet name="SE-Servicios Externos" sheetId="7" r:id="rId5"/>
    <sheet name="SW-Aplicaciones" sheetId="5" r:id="rId6"/>
    <sheet name="SS-Servicios SaaS" sheetId="6" r:id="rId7"/>
    <sheet name="HW-Equipos" sheetId="8" r:id="rId8"/>
    <sheet name="IS-IaaS" sheetId="9" r:id="rId9"/>
    <sheet name="COM-Comunicaciones" sheetId="10" r:id="rId10"/>
    <sheet name="LOC-Instalaciones " sheetId="14" r:id="rId11"/>
    <sheet name="K-Claves Cripto" sheetId="12" r:id="rId12"/>
    <sheet name="SOP-Soportes" sheetId="11" r:id="rId13"/>
    <sheet name="AUX-Equipos Auxiliares" sheetId="13" r:id="rId14"/>
    <sheet name="P-Personal" sheetId="18" r:id="rId15"/>
    <sheet name="TABLAS" sheetId="16" r:id="rId16"/>
  </sheets>
  <definedNames>
    <definedName name="_xlnm.Print_Area" localSheetId="0">Cabecera!$A$1:$D$14</definedName>
    <definedName name="_xlnm.Print_Area" localSheetId="9">'COM-Comunicaciones'!$A$1:$T$5</definedName>
    <definedName name="_xlnm.Print_Area" localSheetId="3">'D-Datos'!$A$1:$W$22</definedName>
    <definedName name="_xlnm.Print_Area" localSheetId="1">'Guía de Uso'!$A$1:$B$21</definedName>
    <definedName name="_xlnm.Print_Area" localSheetId="7">'HW-Equipos'!$A$1:$T$5</definedName>
    <definedName name="_xlnm.Print_Area" localSheetId="8">'IS-IaaS'!$A$1:$T$5</definedName>
    <definedName name="_xlnm.Print_Area" localSheetId="11">'K-Claves Cripto'!$A$1:$T$8</definedName>
    <definedName name="_xlnm.Print_Area" localSheetId="10">'LOC-Instalaciones '!$A$1:$T$5</definedName>
    <definedName name="_xlnm.Print_Area" localSheetId="4">'SE-Servicios Externos'!$A$1:$T$6</definedName>
    <definedName name="_xlnm.Print_Area" localSheetId="12">'SOP-Soportes'!$A$1:$T$6</definedName>
    <definedName name="_xlnm.Print_Area" localSheetId="2">'SP-Servicios Propios'!$A$1:$W$10</definedName>
    <definedName name="_xlnm.Print_Area" localSheetId="6">'SS-Servicios SaaS'!$A$1:$T$9</definedName>
    <definedName name="_xlnm.Print_Area" localSheetId="5">'SW-Aplicaciones'!$A$1:$T$7</definedName>
    <definedName name="Capa">TABLAS!$A$3:$A$4</definedName>
    <definedName name="Classificacio_informacio">TABLAS!$A$8:$A$11</definedName>
    <definedName name="Classificacio_valors">TABLAS!$A$8:$B$11</definedName>
    <definedName name="dades_personals">TABLAS!$A$14:$A$16</definedName>
    <definedName name="Impacte">TABLAS!$D$3:$D$6</definedName>
    <definedName name="NivellENS_Categoria">TABLAS!$B$34:$C$37</definedName>
    <definedName name="RPO">TABLAS!$A$27:$A$30</definedName>
    <definedName name="RPO_valors">TABLAS!$A$27:$B$30</definedName>
    <definedName name="RTO">TABLAS!$A$20:$A$23</definedName>
    <definedName name="RTO_valors">TABLAS!$A$20:$B$23</definedName>
    <definedName name="Valor_Actiu_NivellENS">TABLAS!$A$34:$B$37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 i="5" l="1"/>
  <c r="P8" i="5"/>
  <c r="O8" i="5"/>
  <c r="N8" i="5"/>
  <c r="R8" i="5" s="1"/>
  <c r="S8" i="5" s="1"/>
  <c r="M8" i="5"/>
  <c r="L8" i="5"/>
  <c r="K6" i="18"/>
  <c r="O20" i="4"/>
  <c r="J3" i="13"/>
  <c r="R4" i="11"/>
  <c r="S4" i="11" s="1"/>
  <c r="R7" i="12"/>
  <c r="R6" i="12"/>
  <c r="R5" i="12"/>
  <c r="Q4" i="11"/>
  <c r="P4" i="11"/>
  <c r="O4" i="11"/>
  <c r="N4" i="11"/>
  <c r="M4" i="11"/>
  <c r="L4" i="11"/>
  <c r="R8" i="12"/>
  <c r="R5" i="14"/>
  <c r="R5" i="10"/>
  <c r="R4" i="10"/>
  <c r="Q5" i="9"/>
  <c r="P5" i="9"/>
  <c r="O5" i="9"/>
  <c r="R5" i="9" s="1"/>
  <c r="S5" i="9" s="1"/>
  <c r="N5" i="9"/>
  <c r="M5" i="9"/>
  <c r="L5" i="9"/>
  <c r="R4" i="9"/>
  <c r="R5" i="8"/>
  <c r="L6" i="7"/>
  <c r="L5" i="7"/>
  <c r="L4" i="7"/>
  <c r="L8" i="6"/>
  <c r="L7" i="6"/>
  <c r="L6" i="6"/>
  <c r="L5" i="6"/>
  <c r="L4" i="6"/>
  <c r="Q7" i="5"/>
  <c r="P7" i="5"/>
  <c r="O7" i="5"/>
  <c r="N7" i="5"/>
  <c r="M7" i="5"/>
  <c r="Q6" i="5"/>
  <c r="P6" i="5"/>
  <c r="O6" i="5"/>
  <c r="N6" i="5"/>
  <c r="M6" i="5"/>
  <c r="Q5" i="5"/>
  <c r="P5" i="5"/>
  <c r="O5" i="5"/>
  <c r="N5" i="5"/>
  <c r="M5" i="5"/>
  <c r="Q4" i="5"/>
  <c r="P4" i="5"/>
  <c r="O4" i="5"/>
  <c r="N4" i="5"/>
  <c r="M4" i="5"/>
  <c r="L7" i="5"/>
  <c r="L6" i="5"/>
  <c r="L5" i="5"/>
  <c r="L4" i="5"/>
  <c r="O22" i="4"/>
  <c r="O21" i="4"/>
  <c r="O19" i="4"/>
  <c r="O18" i="4"/>
  <c r="O17" i="4"/>
  <c r="O16" i="4"/>
  <c r="O15" i="4"/>
  <c r="O14" i="4"/>
  <c r="O13" i="4"/>
  <c r="O12" i="4"/>
  <c r="O11" i="4"/>
  <c r="O10" i="4"/>
  <c r="O9" i="4"/>
  <c r="O8" i="4"/>
  <c r="Q6" i="7"/>
  <c r="P6" i="7"/>
  <c r="O6" i="7"/>
  <c r="N6" i="7"/>
  <c r="M6" i="7"/>
  <c r="Q5" i="7"/>
  <c r="P5" i="7"/>
  <c r="O5" i="7"/>
  <c r="N5" i="7"/>
  <c r="M5" i="7"/>
  <c r="Q4" i="7"/>
  <c r="P4" i="7"/>
  <c r="O4" i="7"/>
  <c r="N4" i="7"/>
  <c r="M4" i="7"/>
  <c r="Q10" i="6"/>
  <c r="P10" i="6"/>
  <c r="O10" i="6"/>
  <c r="N10" i="6"/>
  <c r="M10" i="6"/>
  <c r="Q6" i="6"/>
  <c r="P6" i="6"/>
  <c r="O6" i="6"/>
  <c r="N6" i="6"/>
  <c r="M6" i="6"/>
  <c r="R6" i="6" s="1"/>
  <c r="S6" i="6" s="1"/>
  <c r="Q9" i="6"/>
  <c r="P9" i="6"/>
  <c r="O9" i="6"/>
  <c r="N9" i="6"/>
  <c r="M9" i="6"/>
  <c r="Q8" i="6"/>
  <c r="P8" i="6"/>
  <c r="O8" i="6"/>
  <c r="N8" i="6"/>
  <c r="M8" i="6"/>
  <c r="Q7" i="6"/>
  <c r="P7" i="6"/>
  <c r="O7" i="6"/>
  <c r="N7" i="6"/>
  <c r="M7" i="6"/>
  <c r="Q5" i="6"/>
  <c r="P5" i="6"/>
  <c r="O5" i="6"/>
  <c r="N5" i="6"/>
  <c r="M5" i="6"/>
  <c r="Q4" i="6"/>
  <c r="P4" i="6"/>
  <c r="O4" i="6"/>
  <c r="N4" i="6"/>
  <c r="M4" i="6"/>
  <c r="U10" i="3"/>
  <c r="U9" i="3"/>
  <c r="U7" i="3"/>
  <c r="U6" i="3"/>
  <c r="U4" i="3"/>
  <c r="U7" i="4"/>
  <c r="U6" i="4"/>
  <c r="V6" i="4" s="1"/>
  <c r="U5" i="4"/>
  <c r="U4" i="4"/>
  <c r="T22" i="4"/>
  <c r="S22" i="4"/>
  <c r="R22" i="4"/>
  <c r="Q22" i="4"/>
  <c r="P22" i="4"/>
  <c r="U22" i="4" s="1"/>
  <c r="T21" i="4"/>
  <c r="S21" i="4"/>
  <c r="R21" i="4"/>
  <c r="Q21" i="4"/>
  <c r="P21" i="4"/>
  <c r="U21" i="4" s="1"/>
  <c r="T20" i="4"/>
  <c r="S20" i="4"/>
  <c r="R20" i="4"/>
  <c r="Q20" i="4"/>
  <c r="P20" i="4"/>
  <c r="U20" i="4" s="1"/>
  <c r="V20" i="4" s="1"/>
  <c r="T19" i="4"/>
  <c r="S19" i="4"/>
  <c r="R19" i="4"/>
  <c r="Q19" i="4"/>
  <c r="P19" i="4"/>
  <c r="T18" i="4"/>
  <c r="S18" i="4"/>
  <c r="R18" i="4"/>
  <c r="Q18" i="4"/>
  <c r="P18" i="4"/>
  <c r="U18" i="4" s="1"/>
  <c r="T17" i="4"/>
  <c r="S17" i="4"/>
  <c r="R17" i="4"/>
  <c r="Q17" i="4"/>
  <c r="P17" i="4"/>
  <c r="U17" i="4" s="1"/>
  <c r="T16" i="4"/>
  <c r="S16" i="4"/>
  <c r="R16" i="4"/>
  <c r="Q16" i="4"/>
  <c r="P16" i="4"/>
  <c r="T15" i="4"/>
  <c r="U15" i="4" s="1"/>
  <c r="S15" i="4"/>
  <c r="R15" i="4"/>
  <c r="Q15" i="4"/>
  <c r="P15" i="4"/>
  <c r="T14" i="4"/>
  <c r="S14" i="4"/>
  <c r="R14" i="4"/>
  <c r="Q14" i="4"/>
  <c r="P14" i="4"/>
  <c r="T13" i="4"/>
  <c r="S13" i="4"/>
  <c r="R13" i="4"/>
  <c r="Q13" i="4"/>
  <c r="P13" i="4"/>
  <c r="U13" i="4" s="1"/>
  <c r="T12" i="4"/>
  <c r="S12" i="4"/>
  <c r="R12" i="4"/>
  <c r="Q12" i="4"/>
  <c r="P12" i="4"/>
  <c r="U12" i="4" s="1"/>
  <c r="T11" i="4"/>
  <c r="S11" i="4"/>
  <c r="R11" i="4"/>
  <c r="Q11" i="4"/>
  <c r="P11" i="4"/>
  <c r="U11" i="4" s="1"/>
  <c r="T10" i="4"/>
  <c r="S10" i="4"/>
  <c r="R10" i="4"/>
  <c r="Q10" i="4"/>
  <c r="P10" i="4"/>
  <c r="U10" i="4" s="1"/>
  <c r="T9" i="4"/>
  <c r="S9" i="4"/>
  <c r="R9" i="4"/>
  <c r="Q9" i="4"/>
  <c r="P9" i="4"/>
  <c r="U9" i="4" s="1"/>
  <c r="T8" i="4"/>
  <c r="S8" i="4"/>
  <c r="R8" i="4"/>
  <c r="Q8" i="4"/>
  <c r="P8" i="4"/>
  <c r="U8" i="4" s="1"/>
  <c r="T7" i="4"/>
  <c r="S7" i="4"/>
  <c r="R7" i="4"/>
  <c r="Q7" i="4"/>
  <c r="P7" i="4"/>
  <c r="V7" i="4" s="1"/>
  <c r="T6" i="4"/>
  <c r="S6" i="4"/>
  <c r="R6" i="4"/>
  <c r="Q6" i="4"/>
  <c r="P6" i="4"/>
  <c r="T5" i="4"/>
  <c r="S5" i="4"/>
  <c r="R5" i="4"/>
  <c r="Q5" i="4"/>
  <c r="P5" i="4"/>
  <c r="Q4" i="8"/>
  <c r="P4" i="8"/>
  <c r="O4" i="8"/>
  <c r="N4" i="8"/>
  <c r="M4" i="8"/>
  <c r="R4" i="8" s="1"/>
  <c r="L4" i="8"/>
  <c r="V15" i="4" l="1"/>
  <c r="R9" i="6"/>
  <c r="R8" i="6"/>
  <c r="U16" i="4"/>
  <c r="V16" i="4" s="1"/>
  <c r="V19" i="4"/>
  <c r="V13" i="4"/>
  <c r="V8" i="4"/>
  <c r="V21" i="4"/>
  <c r="R10" i="6"/>
  <c r="S10" i="6" s="1"/>
  <c r="U14" i="4"/>
  <c r="V14" i="4" s="1"/>
  <c r="V9" i="4"/>
  <c r="R7" i="5"/>
  <c r="S7" i="5" s="1"/>
  <c r="U19" i="4"/>
  <c r="S4" i="8"/>
  <c r="R5" i="5"/>
  <c r="S5" i="5" s="1"/>
  <c r="R6" i="5"/>
  <c r="S6" i="5" s="1"/>
  <c r="R4" i="5"/>
  <c r="S4" i="5" s="1"/>
  <c r="R6" i="7"/>
  <c r="S6" i="7" s="1"/>
  <c r="R5" i="7"/>
  <c r="S5" i="7" s="1"/>
  <c r="R4" i="7"/>
  <c r="S4" i="7" s="1"/>
  <c r="R7" i="6"/>
  <c r="R5" i="6"/>
  <c r="R4" i="6"/>
  <c r="V10" i="4"/>
  <c r="V22" i="4"/>
  <c r="V18" i="4"/>
  <c r="V11" i="4"/>
  <c r="V12" i="4"/>
  <c r="V17" i="4"/>
  <c r="V5" i="4"/>
  <c r="O7" i="4"/>
  <c r="O6" i="4"/>
  <c r="O5" i="4"/>
  <c r="T4" i="4"/>
  <c r="S4" i="4"/>
  <c r="R4" i="4"/>
  <c r="Q4" i="4"/>
  <c r="P4" i="4"/>
  <c r="O4" i="4"/>
  <c r="K5" i="18"/>
  <c r="K4" i="18"/>
  <c r="K3" i="18"/>
  <c r="Q4" i="9"/>
  <c r="P4" i="9"/>
  <c r="O4" i="9"/>
  <c r="N4" i="9"/>
  <c r="M4" i="9"/>
  <c r="L4" i="9"/>
  <c r="V4" i="4" l="1"/>
  <c r="S4" i="9"/>
  <c r="T10" i="3"/>
  <c r="S10" i="3"/>
  <c r="R10" i="3"/>
  <c r="Q10" i="3"/>
  <c r="P10" i="3"/>
  <c r="T9" i="3"/>
  <c r="S9" i="3"/>
  <c r="R9" i="3"/>
  <c r="Q9" i="3"/>
  <c r="P9" i="3"/>
  <c r="T8" i="3"/>
  <c r="S8" i="3"/>
  <c r="R8" i="3"/>
  <c r="U8" i="3" s="1"/>
  <c r="Q8" i="3"/>
  <c r="P8" i="3"/>
  <c r="T7" i="3"/>
  <c r="S7" i="3"/>
  <c r="R7" i="3"/>
  <c r="Q7" i="3"/>
  <c r="P7" i="3"/>
  <c r="T6" i="3"/>
  <c r="S6" i="3"/>
  <c r="R6" i="3"/>
  <c r="Q6" i="3"/>
  <c r="P6" i="3"/>
  <c r="T5" i="3"/>
  <c r="S5" i="3"/>
  <c r="R5" i="3"/>
  <c r="U5" i="3" s="1"/>
  <c r="Q5" i="3"/>
  <c r="P5" i="3"/>
  <c r="T4" i="3"/>
  <c r="S4" i="3"/>
  <c r="R4" i="3"/>
  <c r="Q4" i="3"/>
  <c r="P4" i="3"/>
  <c r="Q6" i="11" l="1"/>
  <c r="P6" i="11"/>
  <c r="O6" i="11"/>
  <c r="N6" i="11"/>
  <c r="M6" i="11"/>
  <c r="Q5" i="11"/>
  <c r="P5" i="11"/>
  <c r="O5" i="11"/>
  <c r="N5" i="11"/>
  <c r="M5" i="11"/>
  <c r="Q8" i="12"/>
  <c r="P8" i="12"/>
  <c r="O8" i="12"/>
  <c r="N8" i="12"/>
  <c r="M8" i="12"/>
  <c r="Q7" i="12"/>
  <c r="P7" i="12"/>
  <c r="O7" i="12"/>
  <c r="N7" i="12"/>
  <c r="M7" i="12"/>
  <c r="Q6" i="12"/>
  <c r="P6" i="12"/>
  <c r="O6" i="12"/>
  <c r="N6" i="12"/>
  <c r="M6" i="12"/>
  <c r="Q5" i="12"/>
  <c r="P5" i="12"/>
  <c r="O5" i="12"/>
  <c r="N5" i="12"/>
  <c r="M5" i="12"/>
  <c r="Q4" i="12"/>
  <c r="P4" i="12"/>
  <c r="O4" i="12"/>
  <c r="N4" i="12"/>
  <c r="M4" i="12"/>
  <c r="R4" i="12" s="1"/>
  <c r="Q5" i="14"/>
  <c r="P5" i="14"/>
  <c r="O5" i="14"/>
  <c r="N5" i="14"/>
  <c r="M5" i="14"/>
  <c r="Q4" i="14"/>
  <c r="P4" i="14"/>
  <c r="O4" i="14"/>
  <c r="N4" i="14"/>
  <c r="R4" i="14" s="1"/>
  <c r="M4" i="14"/>
  <c r="Q5" i="10"/>
  <c r="P5" i="10"/>
  <c r="O5" i="10"/>
  <c r="N5" i="10"/>
  <c r="M5" i="10"/>
  <c r="Q4" i="10"/>
  <c r="P4" i="10"/>
  <c r="O4" i="10"/>
  <c r="N4" i="10"/>
  <c r="M4" i="10"/>
  <c r="S8" i="6" l="1"/>
  <c r="S5" i="14"/>
  <c r="S9" i="6"/>
  <c r="S5" i="10"/>
  <c r="S4" i="12"/>
  <c r="S4" i="10"/>
  <c r="S4" i="14"/>
  <c r="V10" i="3"/>
  <c r="S7" i="12"/>
  <c r="S8" i="12"/>
  <c r="S6" i="12"/>
  <c r="S5" i="12"/>
  <c r="S5" i="6"/>
  <c r="S4" i="6"/>
  <c r="S7" i="6"/>
  <c r="V8" i="3"/>
  <c r="V4" i="3"/>
  <c r="V5" i="3"/>
  <c r="V9" i="3"/>
  <c r="V6" i="3"/>
  <c r="V7" i="3"/>
  <c r="L4" i="12" l="1"/>
  <c r="O10" i="3" l="1"/>
  <c r="O9" i="3"/>
  <c r="O8" i="3"/>
  <c r="O7" i="3"/>
  <c r="O6" i="3"/>
  <c r="O5" i="3"/>
  <c r="O4" i="3"/>
  <c r="L5" i="10"/>
  <c r="L4" i="10"/>
  <c r="L5" i="14"/>
  <c r="L4" i="14"/>
  <c r="L6" i="11"/>
  <c r="L5" i="11"/>
  <c r="L8" i="12"/>
  <c r="L7" i="12"/>
  <c r="L6" i="12"/>
  <c r="L5" i="12"/>
</calcChain>
</file>

<file path=xl/sharedStrings.xml><?xml version="1.0" encoding="utf-8"?>
<sst xmlns="http://schemas.openxmlformats.org/spreadsheetml/2006/main" count="765" uniqueCount="314">
  <si>
    <t>Código:</t>
  </si>
  <si>
    <t>D05 -Activos de Seguridad de la Información</t>
  </si>
  <si>
    <t>Fecha</t>
  </si>
  <si>
    <t>Aprobado por:</t>
  </si>
  <si>
    <t>Jordi Roca</t>
  </si>
  <si>
    <t>Revisión:</t>
  </si>
  <si>
    <t>1.0</t>
  </si>
  <si>
    <t>Clasificación</t>
  </si>
  <si>
    <t>USO INTERNO</t>
  </si>
  <si>
    <t>Objeto</t>
  </si>
  <si>
    <t xml:space="preserve">Identificar y valorar los diferentes activos que se deben considerar en el alcance del SGSI </t>
  </si>
  <si>
    <t>HISTORIAL DE CAMBIOS</t>
  </si>
  <si>
    <t>Revisión</t>
  </si>
  <si>
    <t>Motivo</t>
  </si>
  <si>
    <t>Versión inicial</t>
  </si>
  <si>
    <t>GUÍA DE USO</t>
  </si>
  <si>
    <t>Columna</t>
  </si>
  <si>
    <t>Explicación</t>
  </si>
  <si>
    <t>ID</t>
  </si>
  <si>
    <t>Asignar una referencia única para poder identificar cada activo sin ambiguedades  (por ejemplo, "S-12" podría ser el 12º activo del tipo Servicios). ¡Los números secuenciales permiten ordenar la tabla de manera sensata!</t>
  </si>
  <si>
    <t>Capa</t>
  </si>
  <si>
    <r>
      <t xml:space="preserve">(Solo para Servicios Propios) Indica si el activo de tipo Servicios Propios esta dedicado a un proceso:
</t>
    </r>
    <r>
      <rPr>
        <b/>
        <sz val="11"/>
        <rFont val="Calibri"/>
        <family val="2"/>
        <scheme val="minor"/>
      </rPr>
      <t>- Interno:</t>
    </r>
    <r>
      <rPr>
        <sz val="11"/>
        <rFont val="Calibri"/>
        <family val="2"/>
        <scheme val="minor"/>
      </rPr>
      <t xml:space="preserve"> Da soporte a una funcion interna o de soporte del negocio
</t>
    </r>
    <r>
      <rPr>
        <b/>
        <sz val="11"/>
        <rFont val="Calibri"/>
        <family val="2"/>
        <scheme val="minor"/>
      </rPr>
      <t>- Negocio:</t>
    </r>
    <r>
      <rPr>
        <sz val="11"/>
        <rFont val="Calibri"/>
        <family val="2"/>
        <scheme val="minor"/>
      </rPr>
      <t xml:space="preserve"> Da soporte a una función relacionado directamente con la cadena de valor del negocio</t>
    </r>
  </si>
  <si>
    <t>Proceso</t>
  </si>
  <si>
    <r>
      <t xml:space="preserve">Procesos a los que da soporte el activo según se ha definido en el mapa de procesos definido en el punto 4.1  como parte del contexto de la organización. 
Un equipo puede dar soporte a varios procesos, ya sea de negocio o de soporte, o ser un activo general de la organización, por lo que se indica como </t>
    </r>
    <r>
      <rPr>
        <b/>
        <sz val="11"/>
        <rFont val="Calibri"/>
        <family val="2"/>
        <scheme val="minor"/>
      </rPr>
      <t>"GLOBAL"</t>
    </r>
  </si>
  <si>
    <t>Nombre</t>
  </si>
  <si>
    <t>Nombre interno único por el que se conoce e identifica facilmente el activo. Puede ser la referencia a un grupo de elementos que realizan una función similar, por ejemplo, todos los servidores en una gconfiguración de alta disponibilidad. En este caso el activo no es cada uno de los servidores, sino el conjunto de ellos.</t>
  </si>
  <si>
    <t>Grupo</t>
  </si>
  <si>
    <r>
      <rPr>
        <i/>
        <sz val="11"/>
        <rFont val="Calibri"/>
        <family val="2"/>
        <scheme val="minor"/>
      </rPr>
      <t>(Opcional)</t>
    </r>
    <r>
      <rPr>
        <sz val="11"/>
        <rFont val="Calibri"/>
        <family val="2"/>
        <scheme val="minor"/>
      </rPr>
      <t xml:space="preserve"> Si el activo pertenece a una agrupación, por ejemplo diversos equipos de comunicaciones que forman parte de una subred, o personal que está en una determinada filial o división.
Permite que en el SGSI se haga referencia a los activos de forma agregada, por ejemplo, en la valoración de riesgos o identificar los activos relacionados.</t>
    </r>
  </si>
  <si>
    <t>Activos Relacionados</t>
  </si>
  <si>
    <t xml:space="preserve">Activos que tienen una relación de dependencia con este activo. Es decir, los activos (p.ej. Servicios propios) que dependen de este activo para su función y que, por tanto, determinan su valor </t>
  </si>
  <si>
    <t>Descripción</t>
  </si>
  <si>
    <t>Descripción breve de las características y uso que se da al activo.</t>
  </si>
  <si>
    <t>Personales</t>
  </si>
  <si>
    <r>
      <rPr>
        <i/>
        <sz val="11"/>
        <rFont val="Calibri"/>
        <family val="2"/>
        <scheme val="minor"/>
      </rPr>
      <t xml:space="preserve">(Solo para Datos) </t>
    </r>
    <r>
      <rPr>
        <sz val="11"/>
        <rFont val="Calibri"/>
        <family val="2"/>
        <scheme val="minor"/>
      </rPr>
      <t>Clasificación en cuanto al RGPD, atendiendo al tipo de datos tratados (Sin datos personales, Básicos, Categoria Especial)</t>
    </r>
  </si>
  <si>
    <t>Confidencialidad</t>
  </si>
  <si>
    <r>
      <rPr>
        <i/>
        <sz val="11"/>
        <rFont val="Calibri"/>
        <family val="2"/>
        <scheme val="minor"/>
      </rPr>
      <t xml:space="preserve">(Solo para Datos) </t>
    </r>
    <r>
      <rPr>
        <sz val="11"/>
        <rFont val="Calibri"/>
        <family val="2"/>
        <scheme val="minor"/>
      </rPr>
      <t xml:space="preserve"> Clasificación en cuanto al criterio de clasificación de la información establecido en el control del punto A.8.2
Determina directamente  la valoración de confidencialidad.
Obtenido a partir de la Política de Clasificación de la Información</t>
    </r>
  </si>
  <si>
    <t>RTO</t>
  </si>
  <si>
    <t xml:space="preserve">Recovery Time Objective: Tiempo máximo en el que el servicio tiene que estar disponible.
Determina la valoración de disponibilidad 
Por dependencias se propaga a todos los sistemas
Obtenido a partir del Business Impact Analysis </t>
  </si>
  <si>
    <t>RPO</t>
  </si>
  <si>
    <t xml:space="preserve">Recovery Point Objective: Punto de recuperación de los datos. Antigüedad máxima de los datos a recuperar que se gestionan en un servicio
A tener en cuenta en la valoración de integridad
Por dependencias se propaga a todos los activos de datos
Obtenido a partir del Business Impact Analysis </t>
  </si>
  <si>
    <t>Responsable del activo</t>
  </si>
  <si>
    <t>La persona o puesto de trabajo a la que se responsabilizará del correcto funcionamiento, mantenimiento y uso del activo. És a quien responsabilizar si el uso del activo es inadecuado, ocurren incidentes y la organización se ve afectada negativamente.
Tiene que ser el responsable más directo con un mínimo de responsabilidad delegada.</t>
  </si>
  <si>
    <t>Valor del Activo:
-Disponibilidad
-Integridad
-Confidencialidad
- Autenticidad
- Trazabilidad</t>
  </si>
  <si>
    <r>
      <rPr>
        <sz val="11"/>
        <color rgb="FF000000"/>
        <rFont val="Calibri"/>
        <family val="2"/>
        <scheme val="minor"/>
      </rPr>
      <t xml:space="preserve">Valor del activo </t>
    </r>
    <r>
      <rPr>
        <b/>
        <sz val="11"/>
        <color rgb="FF000000"/>
        <rFont val="Calibri"/>
        <family val="2"/>
        <scheme val="minor"/>
      </rPr>
      <t xml:space="preserve">para el negocio </t>
    </r>
    <r>
      <rPr>
        <sz val="11"/>
        <color rgb="FF000000"/>
        <rFont val="Calibri"/>
        <family val="2"/>
        <scheme val="minor"/>
      </rPr>
      <t xml:space="preserve">atendiendo a su criticidad para el negocio en cuanto a alguno de los siguientes aspectos:
- </t>
    </r>
    <r>
      <rPr>
        <b/>
        <sz val="11"/>
        <color rgb="FF000000"/>
        <rFont val="Calibri"/>
        <family val="2"/>
        <scheme val="minor"/>
      </rPr>
      <t>(D) Disponibilidad</t>
    </r>
    <r>
      <rPr>
        <sz val="11"/>
        <color rgb="FF000000"/>
        <rFont val="Calibri"/>
        <family val="2"/>
        <scheme val="minor"/>
      </rPr>
      <t xml:space="preserve">: Propiedad o característica de los activos consistente en que las entidades o procesos autorizados tienen acceso a los mismos cuando lo requieren..
Se deriva del RTO del servicio, aunque también se deberá tener el cuenta el % de disponibilidadad pactado en los SLA.
- </t>
    </r>
    <r>
      <rPr>
        <b/>
        <sz val="11"/>
        <color rgb="FF000000"/>
        <rFont val="Calibri"/>
        <family val="2"/>
        <scheme val="minor"/>
      </rPr>
      <t>(I) Integridad</t>
    </r>
    <r>
      <rPr>
        <sz val="11"/>
        <color rgb="FF000000"/>
        <rFont val="Calibri"/>
        <family val="2"/>
        <scheme val="minor"/>
      </rPr>
      <t xml:space="preserve">: Propiedad o característica consistente en que el activo de información no ha sido alterado de manera no autorizada. Tiene una cierta relación con el RPO
- </t>
    </r>
    <r>
      <rPr>
        <b/>
        <sz val="11"/>
        <color rgb="FF000000"/>
        <rFont val="Calibri"/>
        <family val="2"/>
        <scheme val="minor"/>
      </rPr>
      <t>(C) Confidencialidad:</t>
    </r>
    <r>
      <rPr>
        <sz val="11"/>
        <color rgb="FF000000"/>
        <rFont val="Calibri"/>
        <family val="2"/>
        <scheme val="minor"/>
      </rPr>
      <t xml:space="preserve"> Propiedad  o  característica  consistente  en  que  la  información  ni  se  pone  a  disposición,  ni  se  revela  a  individuos, entidades o procesos no autorizados. Tiene que ser coherente con la Clasificación de Confidencialidad
- </t>
    </r>
    <r>
      <rPr>
        <b/>
        <sz val="11"/>
        <color rgb="FF000000"/>
        <rFont val="Calibri"/>
        <family val="2"/>
        <scheme val="minor"/>
      </rPr>
      <t>(A) Autenticidad:</t>
    </r>
    <r>
      <rPr>
        <sz val="11"/>
        <color rgb="FF000000"/>
        <rFont val="Calibri"/>
        <family val="2"/>
        <scheme val="minor"/>
      </rPr>
      <t xml:space="preserve"> Propiedad  o  característica  consistente  en  que  una entidad es quien dice ser o bien que garantiza la fuente de la que proceden los datos.
- </t>
    </r>
    <r>
      <rPr>
        <b/>
        <sz val="11"/>
        <color rgb="FF000000"/>
        <rFont val="Calibri"/>
        <family val="2"/>
        <scheme val="minor"/>
      </rPr>
      <t>(T) Trazabilidad</t>
    </r>
    <r>
      <rPr>
        <sz val="11"/>
        <color rgb="FF000000"/>
        <rFont val="Calibri"/>
        <family val="2"/>
        <scheme val="minor"/>
      </rPr>
      <t>: Propiedad  o  característica  consistente  en  que  las actuaciones de una entidad pueden ser imputadas exclusivamente a dicha entidad.
No todos los activos tienen que tener un valor en todos los aspectos. Por ejemplo un equipo de HW probablemente solamente tiene valor por su disponibilidad, pero podria ser importante también para la confidencialidad e integridad si contiene datos, por ejemplo un aparato de medición.
Se debe dejar en blanco las columnas que no aplican a este activo.</t>
    </r>
  </si>
  <si>
    <t>Notas</t>
  </si>
  <si>
    <t>Mantener notas sobre los activos, p. ej.  los factores que se han tenido en cuenta y su razonamiento, incluidos los supuestos importantes ya que es especialmente importante a medida que el registro de activos se hace más grande, más personas se involucran en las evaluaciones y más tiempo ha pasado desde que se hizo la valoración</t>
  </si>
  <si>
    <r>
      <rPr>
        <b/>
        <sz val="11"/>
        <rFont val="Calibri"/>
        <family val="2"/>
        <scheme val="minor"/>
      </rPr>
      <t>NOTA 1:</t>
    </r>
    <r>
      <rPr>
        <sz val="11"/>
        <rFont val="Calibri"/>
        <family val="2"/>
        <scheme val="minor"/>
      </rPr>
      <t xml:space="preserve"> La Valoración del Activo se debe realizar con la perspectiva del Negocio. El valor del equipo para el negocio no és su valor de compra, sinó el valor repercutido respondiendo a su importancia para proporcionar un servicio necesario para desarrollar algún proceso de negocio. Por ejemplo, un Router puede valer menos de 100€ pero si  la compañía depende de él para cursar las comunicaciones con las que dar servicio a los clientes, entonces su valor es muy alto.</t>
    </r>
  </si>
  <si>
    <r>
      <rPr>
        <b/>
        <sz val="11"/>
        <rFont val="Calibri"/>
        <family val="2"/>
        <scheme val="minor"/>
      </rPr>
      <t>NOTA 2:</t>
    </r>
    <r>
      <rPr>
        <sz val="11"/>
        <rFont val="Calibri"/>
        <family val="2"/>
        <scheme val="minor"/>
      </rPr>
      <t xml:space="preserve"> Se debe guardar evidencia de que los responsables de los equipos han aprobado esta valoración</t>
    </r>
  </si>
  <si>
    <t>VALORACIÓN DE ACTIVOS DE SERVICIOS PROPORCIONADOS</t>
  </si>
  <si>
    <t>Valoración del Activo</t>
  </si>
  <si>
    <t>Categorización ENS</t>
  </si>
  <si>
    <t>Propietario</t>
  </si>
  <si>
    <t>RTO (h)</t>
  </si>
  <si>
    <t>MTPD (h)</t>
  </si>
  <si>
    <t>Integridad</t>
  </si>
  <si>
    <t>Disponibilidad</t>
  </si>
  <si>
    <t>Autenticidad</t>
  </si>
  <si>
    <t>Trazabilidad</t>
  </si>
  <si>
    <t>VALOR
ACTIVO</t>
  </si>
  <si>
    <t>NIVEL
ACTIVO</t>
  </si>
  <si>
    <t>CATEGORIA
ACTIVO</t>
  </si>
  <si>
    <t>SP-1</t>
  </si>
  <si>
    <t>Consultoría estratégica para el sector público</t>
  </si>
  <si>
    <t>Negocio</t>
  </si>
  <si>
    <t>SP-Servicios a clientes</t>
  </si>
  <si>
    <t>Análisis de procedimientos de gestión, estudios específicos, planes de acción, planes estratégicos, etc, vinculados con el despliegue de la IA en las organizaciones públicas.</t>
  </si>
  <si>
    <t>1s</t>
  </si>
  <si>
    <t>2s</t>
  </si>
  <si>
    <t>SP-2</t>
  </si>
  <si>
    <t>Desarrollo de soluciones IA</t>
  </si>
  <si>
    <t>Servicios de desarrollo de aplicaciones ad-hoc basadas en LLM y otras tecnologias de Inteligencia Artificial, principalmente para la mejora de procesos en el sector público</t>
  </si>
  <si>
    <t>Marc Muixí</t>
  </si>
  <si>
    <t>SP-3</t>
  </si>
  <si>
    <t>Explotación de plataformas tecnológicas de soluciones IA</t>
  </si>
  <si>
    <t>SP-Servicios a clientes
SP-Soluciones tecnológicas</t>
  </si>
  <si>
    <t xml:space="preserve">Servicios de desarrollo de plataforma SaaS, con agregación de diferentes funcionalidades, y comercialización y explotación de las mismas. </t>
  </si>
  <si>
    <t>1d</t>
  </si>
  <si>
    <t>4d</t>
  </si>
  <si>
    <t>SP-4</t>
  </si>
  <si>
    <t>Soporte y mantenimiento de las soluciones IA</t>
  </si>
  <si>
    <t>Soporte a las consultas e incidentes de los clientes y mantenimiento de la instalación.</t>
  </si>
  <si>
    <t>SP-6</t>
  </si>
  <si>
    <t>Servicios internos de gestión comercial, administración y de soporte</t>
  </si>
  <si>
    <t>Servicios Internos</t>
  </si>
  <si>
    <t>SP-Servicios corporativos</t>
  </si>
  <si>
    <t>Servicios de soporte a la gestión de los servicios de  la empresa, que incluye los procesos comercial, contratación, facturación, cobros, etc.
Si bien directamente no están dentro del alcance, en algunos casos pueden ser de apoyo, por ejemplo, por el hecho de que los contratos determinan las condiciones del servicio.</t>
  </si>
  <si>
    <t>1m</t>
  </si>
  <si>
    <t>SP-7</t>
  </si>
  <si>
    <t>Gestión de infraestructura de plataformas tecnológicas</t>
  </si>
  <si>
    <t>SP-Servicios IT</t>
  </si>
  <si>
    <t>Gestión de la infraestructura de la plataforma tecnológica de soluciones IA</t>
  </si>
  <si>
    <t>SP-3 Explotación de plataformas tecnológicas de soluciones IA</t>
  </si>
  <si>
    <t>SP-8</t>
  </si>
  <si>
    <t>Servicios informática interna</t>
  </si>
  <si>
    <t>Servicios de informática a usuarios internos (correo electrónico, equipos de trabajo, ofimática, ...)</t>
  </si>
  <si>
    <t>SP-Servicios a clientes
SP-Servicios corporativos</t>
  </si>
  <si>
    <t>VALORACIÓN DE ACTIVOS DE DATOS</t>
  </si>
  <si>
    <t>Responsable</t>
  </si>
  <si>
    <t>RPO (h)</t>
  </si>
  <si>
    <t>Clasificación de Confidencialidad</t>
  </si>
  <si>
    <t>D-1</t>
  </si>
  <si>
    <t>Documentación y datos públicos</t>
  </si>
  <si>
    <t>D-Datos Consultoria</t>
  </si>
  <si>
    <t>No</t>
  </si>
  <si>
    <t xml:space="preserve">Datos abiertos y públicos para la evaluación o generación de documentación de anàlisis y consultoria. </t>
  </si>
  <si>
    <t>SP-1 Consultoría estratégica para el sector público</t>
  </si>
  <si>
    <t>N/A</t>
  </si>
  <si>
    <t>Pública (C0)</t>
  </si>
  <si>
    <t>D-2</t>
  </si>
  <si>
    <t>Información propia de la entidad contratante</t>
  </si>
  <si>
    <t>Básicas</t>
  </si>
  <si>
    <t>Datos agregados estadísticos o de funcionamiento interno, sin referencias a datos personales de personas concretas. Datos públicos de la propia entidad (NIF, dirección, contacto, etc.)</t>
  </si>
  <si>
    <t>Restricted (C2)</t>
  </si>
  <si>
    <t>D-3</t>
  </si>
  <si>
    <t>Informes y resultados de la consultoria</t>
  </si>
  <si>
    <t>Conclusiones númericas y/o estratégicas y propuestas concretas</t>
  </si>
  <si>
    <t>D-4</t>
  </si>
  <si>
    <t>Documentación interna datos intermedios</t>
  </si>
  <si>
    <t xml:space="preserve">Documentació durante el proceso de consultoría, que se genera con el propio trabajo encargado. </t>
  </si>
  <si>
    <t>D-5</t>
  </si>
  <si>
    <t>Contratos y condiciones de servicio</t>
  </si>
  <si>
    <t>Datos que facilita el cliente con información específica, en la que puede aparecer datos de personas con roles de interventor, dirección general, gerencia o presidencia, quienes firman dichos contratos.</t>
  </si>
  <si>
    <t>D-6</t>
  </si>
  <si>
    <t>Especificaciones de las soluciones (Breafing)</t>
  </si>
  <si>
    <t>D-Dados de Desarrollo</t>
  </si>
  <si>
    <t>Descripcion de las tareas que se realizaran en el marco de un proyecto de desarrollo. Puede incluir datos de cilente, pero no datos personales.</t>
  </si>
  <si>
    <t>SP-2 Desarrollo de soluciones IA</t>
  </si>
  <si>
    <t>D-7</t>
  </si>
  <si>
    <t>Registros de proceso de desarrollo</t>
  </si>
  <si>
    <t>Planificación, tickets de tareas, control de cambios en github</t>
  </si>
  <si>
    <t>D-8</t>
  </si>
  <si>
    <t>Código fuente de las soluciones</t>
  </si>
  <si>
    <t xml:space="preserve">Codigo utilizado y desarrollado por el equipo interno de desarrollo. </t>
  </si>
  <si>
    <t>2d</t>
  </si>
  <si>
    <t>D-9</t>
  </si>
  <si>
    <t>Juegos de pruebas</t>
  </si>
  <si>
    <t>Conjunto de tests aplicados a los desarrollos en la fase de CI/CD</t>
  </si>
  <si>
    <t>Internal Use (C1)</t>
  </si>
  <si>
    <t>D-10</t>
  </si>
  <si>
    <t>Documentación interna de la solución</t>
  </si>
  <si>
    <t>Arquitectura, diseño, configuración de la infraestructura</t>
  </si>
  <si>
    <t>D-11</t>
  </si>
  <si>
    <t>Manuales y documentación del producto</t>
  </si>
  <si>
    <t>Guías de uso para el cliente y documentación del código</t>
  </si>
  <si>
    <t>D-12</t>
  </si>
  <si>
    <t>Información de configuración de la infraestructura</t>
  </si>
  <si>
    <t>Guía de presentación de las capas de uso de infraestructura por cada solución</t>
  </si>
  <si>
    <t>SP-2 Desarrollo de soluciones IA
SP-3 Explotación de plataformas tecnológicas de soluciones IA</t>
  </si>
  <si>
    <t>D-13</t>
  </si>
  <si>
    <t>Registros de tareas IT</t>
  </si>
  <si>
    <t xml:space="preserve">D-GestiónTIC </t>
  </si>
  <si>
    <t>Gestión y registro de cualquier actividad relacionada al desarrollo y la explotación de los sistemas</t>
  </si>
  <si>
    <t>SP-3 Explotación de plataformas tecnológicas de soluciones IA
SP-7 Gestión de infraestructura IT</t>
  </si>
  <si>
    <t>D-14</t>
  </si>
  <si>
    <t>Registros de soporte a clientes</t>
  </si>
  <si>
    <t>D-Gestión interna</t>
  </si>
  <si>
    <t>Mantenimiento y respuesta en los canales de comunicación contra clientes y creación / gestión de tickets relacionados con incidencias</t>
  </si>
  <si>
    <t>SP-4 Soporte y mantenimiento de las soluciones</t>
  </si>
  <si>
    <t>D-15</t>
  </si>
  <si>
    <t>Credenciales de acceso a entornos propios</t>
  </si>
  <si>
    <t xml:space="preserve">Gestión y control de los accessos a sistemas </t>
  </si>
  <si>
    <t>SP-3 Explotación de plataformas tecnológicas de soluciones IA
SP-7 Gestión de infraestructura de plataforma tecnológica</t>
  </si>
  <si>
    <t>D-16</t>
  </si>
  <si>
    <t>Registros de monitorización</t>
  </si>
  <si>
    <t>Accesso y control de los registros de monitorización de las soluciones y el sistema</t>
  </si>
  <si>
    <t>SP-3 Explotación de plataformas tecnológicas de soluciones IA
SP-7 Gestión de infraestructura de plataformas tecnológicas</t>
  </si>
  <si>
    <t>D-17</t>
  </si>
  <si>
    <t>Datos de los clientes en soluciones en explotación</t>
  </si>
  <si>
    <t>D-Datos propios de clientes</t>
  </si>
  <si>
    <t>Datos propios de los clientes contenidos en las BBDD de las soluciones en explotación</t>
  </si>
  <si>
    <t>D-18</t>
  </si>
  <si>
    <t>Documentación de gestión interna</t>
  </si>
  <si>
    <t>Datos vinculados a los procesos comercial, contratación, facturación, cobros. Facilitados por cliente. En el caso de datos para procesos comerciales, obtenidos a partir de datos públicos o de campañas de captación.</t>
  </si>
  <si>
    <t>SP-6 Servicios de gestión comercial, administración y de soporte</t>
  </si>
  <si>
    <t>D-19</t>
  </si>
  <si>
    <t>Información de domínios</t>
  </si>
  <si>
    <t>gestionados internamente y redireccionados desde SaaS</t>
  </si>
  <si>
    <t>VALORACIÓN DE ACTIVOS DE SERVICIOS EXTERNOS</t>
  </si>
  <si>
    <t>SE-1</t>
  </si>
  <si>
    <t>Contratación y mantenimiento de dominios, DNS</t>
  </si>
  <si>
    <t>SE-Servicios IT</t>
  </si>
  <si>
    <t>Servicios necesarios para proporcionar acceso en Internet a las web corporativas o paneles de gestión de los servicios de los clientes</t>
  </si>
  <si>
    <t>D-19 Información de domínios</t>
  </si>
  <si>
    <t>SE-2</t>
  </si>
  <si>
    <t>Google</t>
  </si>
  <si>
    <t>Proveedor de Google Cloud</t>
  </si>
  <si>
    <t xml:space="preserve">No està actiu encara. Pendent revisió. </t>
  </si>
  <si>
    <t>SE-3</t>
  </si>
  <si>
    <t>Microsoft</t>
  </si>
  <si>
    <t>Proveedor de Micrsoft Azure i Microsoftt 365</t>
  </si>
  <si>
    <t>SP-Servicios a clientes
SP-Servicios corporativos
SP-3 Explotación de plataformas tecnológicas de soluciones IA
SP-7 Gestión de infraestructura de plataformas tecnológicas
SS-2 Servicios Microsoft365</t>
  </si>
  <si>
    <t>VALORACIÓ DE ACTIVOS SOFTWARE Y APLICACIONES (INTERNAS  Y EXTERNAS)</t>
  </si>
  <si>
    <t>SW-1</t>
  </si>
  <si>
    <t>Herramientas de MSOffice</t>
  </si>
  <si>
    <t>SW-Productividad
SW-Soluciones de terceros</t>
  </si>
  <si>
    <t>Herramientas vinculadas al paquete Office 365 de Microsoft.</t>
  </si>
  <si>
    <t>Marc Muixi</t>
  </si>
  <si>
    <t>SW-2</t>
  </si>
  <si>
    <t>Antivirus equipos de trabajo</t>
  </si>
  <si>
    <t>SW-Seguridad
SW-Soluciones de terceros</t>
  </si>
  <si>
    <t>cojunto de capas de seguridad aplicadas al SO para la detección y erradicación de malware</t>
  </si>
  <si>
    <t>SW-3</t>
  </si>
  <si>
    <t>SO Equipos de trabajo</t>
  </si>
  <si>
    <t>SW-Ofimática</t>
  </si>
  <si>
    <t>Sistemas operativos (Windows y/o MacOS) en portátiles y similares para el uso profesional en entorno de trabajo.</t>
  </si>
  <si>
    <t>SP-Servicios a clientes
SP-Servicios corporativos
SP-Servicios IT</t>
  </si>
  <si>
    <t>SW-4</t>
  </si>
  <si>
    <t>Herramientas de desarrollo</t>
  </si>
  <si>
    <t xml:space="preserve">IDEs y librerías de ejecución </t>
  </si>
  <si>
    <t>SW-5</t>
  </si>
  <si>
    <t>Soluciones IA para clientes</t>
  </si>
  <si>
    <t>SW-Soluciones propias</t>
  </si>
  <si>
    <t>Software de soluciones IA desarrollado por la empresa</t>
  </si>
  <si>
    <t>VALORACIÓN DE ACTIVOS DE SOFTWARE AS A SERVICE (SaaS)</t>
  </si>
  <si>
    <t>SS-1</t>
  </si>
  <si>
    <t>Atlassian</t>
  </si>
  <si>
    <t>SW-Soporte
Activos con control de acceso</t>
  </si>
  <si>
    <t>Jira y Confluence</t>
  </si>
  <si>
    <t>SS-2</t>
  </si>
  <si>
    <t>Servicios Microsoft365</t>
  </si>
  <si>
    <t>SW-Productividad
Activos con control de acceso</t>
  </si>
  <si>
    <t>No se incluye el correo electrónico</t>
  </si>
  <si>
    <t>SP-Servicios a clientes
SP-Servicios corporativos
SP-8 Servicios informática interna</t>
  </si>
  <si>
    <t>Correo electrónico</t>
  </si>
  <si>
    <t>Correo electrónico de Microsoft365</t>
  </si>
  <si>
    <t>SP-Servicios a clientes
SP-Servicios corporativos
SP-Servicios corporativos
SP-8 Servicios informática interna</t>
  </si>
  <si>
    <t>SS-3</t>
  </si>
  <si>
    <t>Github</t>
  </si>
  <si>
    <t>SW-Desarrollo
Activos con control de acceso</t>
  </si>
  <si>
    <t>Repositorio de componentes reutilizables</t>
  </si>
  <si>
    <t>SS-4</t>
  </si>
  <si>
    <t>Servicios IA</t>
  </si>
  <si>
    <t>ChatGPT, Copilot, Perplexity, ...</t>
  </si>
  <si>
    <t>SS-5</t>
  </si>
  <si>
    <t>Azure repos</t>
  </si>
  <si>
    <t>repositorio de soluciones de cliente y arquitecturas internas</t>
  </si>
  <si>
    <t>SS-6</t>
  </si>
  <si>
    <t>Azure applicability and in-scope services</t>
  </si>
  <si>
    <t>VALORACIÓ DE ACTIVOS DE EQUIPOS (FÍSICOS Y VIRTUALES)</t>
  </si>
  <si>
    <t>HW-1</t>
  </si>
  <si>
    <t>Equipos de trabajo</t>
  </si>
  <si>
    <t>HW-Uso personal
Activos con control de acceso</t>
  </si>
  <si>
    <t>Windows y macOS. Portatiles personales con cuentas específicas para la empresa</t>
  </si>
  <si>
    <t>HW-2</t>
  </si>
  <si>
    <t>Dispositivos móbiles</t>
  </si>
  <si>
    <t>iOS &amp; Android para la autenticación 2FA</t>
  </si>
  <si>
    <t>VALORACIÓN DE ACTIVOS DE INFRAESTRUCTURE AS A SERVICE (IaaS)</t>
  </si>
  <si>
    <t>IS-1</t>
  </si>
  <si>
    <t>Servicios Gloogle Cloud</t>
  </si>
  <si>
    <t>IS-Plataforma Tecnológica
Activos con control de acceso</t>
  </si>
  <si>
    <t>Uso de herramientas orientadas a la generación de plataforma en cloud</t>
  </si>
  <si>
    <t>IS-2</t>
  </si>
  <si>
    <t>Servicios Azure</t>
  </si>
  <si>
    <t>SP-3 Explotación de plataformas tecnológicas de soluciones IA
SP-7 Gestión de infraestructura de plataforma tecnológica
S-5 Azure repos</t>
  </si>
  <si>
    <t>VALORACIÓN DE SERVICIOS DE COMUNICACIONES</t>
  </si>
  <si>
    <t>COM-1</t>
  </si>
  <si>
    <t>COM-2</t>
  </si>
  <si>
    <t>VALORACIÓN DE ACTIVOS DE INSTALACIONES Y RECINTOS</t>
  </si>
  <si>
    <t>LOC-1</t>
  </si>
  <si>
    <t>Puestos de teletrabajo</t>
  </si>
  <si>
    <t>Espacios de trabajo en formato remoto</t>
  </si>
  <si>
    <t>SP-Servicios Propios</t>
  </si>
  <si>
    <t>VALORACIÓN DE ACTIVOS DE CLAVES CRIPTOGRÁFICAS</t>
  </si>
  <si>
    <t>K-1</t>
  </si>
  <si>
    <t>Certificados SSL de la web</t>
  </si>
  <si>
    <t>K-Claves plataforma Tecnologica</t>
  </si>
  <si>
    <t>Proporcionado por Ionos (SSL Starter)</t>
  </si>
  <si>
    <t>optimtech.es. optimgov.es</t>
  </si>
  <si>
    <t>K-2</t>
  </si>
  <si>
    <t>Certificados  SSL de las soluciones</t>
  </si>
  <si>
    <t xml:space="preserve">K-Claves plataforma Tecnologica
</t>
  </si>
  <si>
    <t>Proporcionados por Google Cloud, Azure, etc.</t>
  </si>
  <si>
    <t>K-3</t>
  </si>
  <si>
    <t>Claves de bitlocker</t>
  </si>
  <si>
    <t>Para los discos de los portátiles ( no tenemos )</t>
  </si>
  <si>
    <t>HW-1 Equipos de trabajo</t>
  </si>
  <si>
    <t>K-4</t>
  </si>
  <si>
    <t>Claves de cifrado de los datos en explotación</t>
  </si>
  <si>
    <t>K-5</t>
  </si>
  <si>
    <t>VALORACIÓN DE ACTIVOS DE SOPORTES EXTERNOS DE ALMACENAJE DE DATOS</t>
  </si>
  <si>
    <t>SOP-1</t>
  </si>
  <si>
    <t>VALORACIÓN DE ACTIVOS DE EQUIPOS E INSTALACIONES AUXILIARES</t>
  </si>
  <si>
    <t>AUX-1</t>
  </si>
  <si>
    <t>VALORACIÓN DE ACTIVOS DE PERSONAL</t>
  </si>
  <si>
    <t>DPT</t>
  </si>
  <si>
    <t>P1</t>
  </si>
  <si>
    <t>CEO - Director General</t>
  </si>
  <si>
    <t>Funciones de Direccion General y gestión de negocio. Tareas comerciales y tareas administrativas</t>
  </si>
  <si>
    <t>SP-Servicios Propios
D-Datos</t>
  </si>
  <si>
    <t>P2</t>
  </si>
  <si>
    <t>CTO - Responsable de Tecnología</t>
  </si>
  <si>
    <t>Dirección técnica. Gestión de la infraestructura y los equipos. Dirección de proyectos de desarrollo. Tareas de desarrollo.</t>
  </si>
  <si>
    <t>P3</t>
  </si>
  <si>
    <t>CISO - Responsable de Seguridad</t>
  </si>
  <si>
    <t>Resposnable de preservar la seguridad d ela información en la empresa</t>
  </si>
  <si>
    <t>Responsable de Marketing</t>
  </si>
  <si>
    <t>Dirección y estrategia de márqueting y equipo comercial. Elaboración de campañas y seguimiento de las mismas</t>
  </si>
  <si>
    <t>TABLA DE VALORACIÓN DE ACTIVOS</t>
  </si>
  <si>
    <t>Capas</t>
  </si>
  <si>
    <t>Valor Activo</t>
  </si>
  <si>
    <t>Classificació Informació</t>
  </si>
  <si>
    <t>Classified (C3)</t>
  </si>
  <si>
    <t>Dades personals</t>
  </si>
  <si>
    <t>Categoria especial</t>
  </si>
  <si>
    <t>&lt;= 8h</t>
  </si>
  <si>
    <t>&lt;= 24h</t>
  </si>
  <si>
    <t>&lt;= 48h</t>
  </si>
  <si>
    <t>&gt; 48h</t>
  </si>
  <si>
    <t>&lt;= 1h</t>
  </si>
  <si>
    <t>&gt; 24h</t>
  </si>
  <si>
    <t>Nivel ENS</t>
  </si>
  <si>
    <t>Categoria</t>
  </si>
  <si>
    <t>MEDIA</t>
  </si>
  <si>
    <t>BAJA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</si>
</sst>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44">
    <font>
      <sz val="11"/>
      <color rgb="FF000000"/>
      <name val="Calibri"/>
    </font>
    <font>
      <sz val="11"/>
      <color theme="1"/>
      <name val="Calibri"/>
      <family val="2"/>
      <scheme val="minor"/>
    </font>
    <font>
      <sz val="11"/>
      <color theme="1"/>
      <name val="Calibri"/>
      <family val="2"/>
      <scheme val="minor"/>
    </font>
    <font>
      <sz val="10"/>
      <color rgb="FF000000"/>
      <name val="Calibri"/>
      <family val="2"/>
    </font>
    <font>
      <sz val="11"/>
      <name val="Calibri"/>
      <family val="2"/>
    </font>
    <font>
      <sz val="22"/>
      <color rgb="FF000000"/>
      <name val="Calibri"/>
      <family val="2"/>
    </font>
    <font>
      <sz val="11"/>
      <name val="Arial"/>
      <family val="2"/>
    </font>
    <font>
      <b/>
      <sz val="11"/>
      <color rgb="FFFF0000"/>
      <name val="Calibri"/>
      <family val="2"/>
    </font>
    <font>
      <b/>
      <sz val="11"/>
      <color rgb="FF000000"/>
      <name val="Calibri"/>
      <family val="2"/>
    </font>
    <font>
      <b/>
      <sz val="10"/>
      <color rgb="FF000000"/>
      <name val="Calibri"/>
      <family val="2"/>
    </font>
    <font>
      <sz val="10"/>
      <name val="Calibri"/>
      <family val="2"/>
    </font>
    <font>
      <sz val="26"/>
      <color rgb="FF000000"/>
      <name val="Calibri"/>
      <family val="2"/>
    </font>
    <font>
      <sz val="11"/>
      <color rgb="FF000000"/>
      <name val="Calibri"/>
      <family val="2"/>
    </font>
    <font>
      <sz val="11"/>
      <name val="Calibri"/>
      <family val="2"/>
      <scheme val="minor"/>
    </font>
    <font>
      <b/>
      <sz val="11"/>
      <name val="Calibri"/>
      <family val="2"/>
      <scheme val="minor"/>
    </font>
    <font>
      <i/>
      <sz val="11"/>
      <name val="Calibri"/>
      <family val="2"/>
      <scheme val="minor"/>
    </font>
    <font>
      <b/>
      <sz val="11"/>
      <color theme="0"/>
      <name val="Calibri"/>
      <family val="2"/>
    </font>
    <font>
      <sz val="11"/>
      <color theme="0"/>
      <name val="Calibri"/>
      <family val="2"/>
    </font>
    <font>
      <b/>
      <sz val="18"/>
      <color theme="0"/>
      <name val="Calibri"/>
      <family val="2"/>
      <scheme val="minor"/>
    </font>
    <font>
      <b/>
      <sz val="10"/>
      <name val="Calibri"/>
      <family val="2"/>
    </font>
    <font>
      <sz val="8"/>
      <name val="Calibri"/>
      <family val="2"/>
    </font>
    <font>
      <sz val="8"/>
      <name val="Calibri"/>
      <family val="2"/>
    </font>
    <font>
      <b/>
      <sz val="10"/>
      <color theme="0" tint="-0.249977111117893"/>
      <name val="Calibri"/>
      <family val="2"/>
    </font>
    <font>
      <sz val="10"/>
      <color theme="0" tint="-0.249977111117893"/>
      <name val="Calibri"/>
      <family val="2"/>
    </font>
    <font>
      <b/>
      <sz val="10"/>
      <color theme="0"/>
      <name val="Calibri"/>
      <family val="2"/>
    </font>
    <font>
      <sz val="8"/>
      <name val="Calibri"/>
      <family val="2"/>
    </font>
    <font>
      <sz val="11"/>
      <color theme="1"/>
      <name val="Calibri"/>
      <family val="2"/>
    </font>
    <font>
      <sz val="12"/>
      <name val="Calibri"/>
      <family val="2"/>
      <scheme val="minor"/>
    </font>
    <font>
      <b/>
      <sz val="10"/>
      <color rgb="FF000000"/>
      <name val="Calibri"/>
      <family val="2"/>
      <scheme val="minor"/>
    </font>
    <font>
      <sz val="10"/>
      <color rgb="FF000000"/>
      <name val="Calibri"/>
      <family val="2"/>
      <scheme val="minor"/>
    </font>
    <font>
      <sz val="10"/>
      <color theme="0" tint="-0.34998626667073579"/>
      <name val="Calibri"/>
      <family val="2"/>
      <scheme val="minor"/>
    </font>
    <font>
      <sz val="10"/>
      <color theme="0" tint="-0.249977111117893"/>
      <name val="Calibri"/>
      <family val="2"/>
      <scheme val="minor"/>
    </font>
    <font>
      <sz val="11"/>
      <color rgb="FF000000"/>
      <name val="Calibri"/>
      <family val="2"/>
      <scheme val="minor"/>
    </font>
    <font>
      <b/>
      <sz val="11"/>
      <color rgb="FF000000"/>
      <name val="Calibri"/>
      <family val="2"/>
      <scheme val="minor"/>
    </font>
    <font>
      <b/>
      <sz val="12"/>
      <color theme="0"/>
      <name val="Calibri"/>
      <family val="2"/>
      <scheme val="minor"/>
    </font>
    <font>
      <sz val="12"/>
      <color theme="0"/>
      <name val="Calibri"/>
      <family val="2"/>
      <scheme val="minor"/>
    </font>
    <font>
      <b/>
      <sz val="12"/>
      <name val="Calibri"/>
      <family val="2"/>
      <scheme val="minor"/>
    </font>
    <font>
      <sz val="10"/>
      <name val="Calibri"/>
      <family val="2"/>
      <scheme val="minor"/>
    </font>
    <font>
      <b/>
      <sz val="10"/>
      <name val="Calibri"/>
      <family val="2"/>
      <scheme val="minor"/>
    </font>
    <font>
      <b/>
      <sz val="10"/>
      <color theme="0" tint="-0.34998626667073579"/>
      <name val="Calibri"/>
      <family val="2"/>
    </font>
    <font>
      <sz val="10"/>
      <color theme="0" tint="-0.34998626667073579"/>
      <name val="Calibri"/>
      <family val="2"/>
    </font>
    <font>
      <sz val="11"/>
      <color theme="5" tint="-0.249977111117893"/>
      <name val="Calibri"/>
      <family val="2"/>
    </font>
    <font>
      <sz val="11"/>
      <color theme="0" tint="-0.34998626667073579"/>
      <name val="Calibri"/>
      <family val="2"/>
    </font>
    <font>
      <b/>
      <sz val="10"/>
      <color theme="0" tint="-0.499984740745262"/>
      <name val="Calibri"/>
      <family val="2"/>
      <scheme val="minor"/>
    </font>
  </fonts>
  <fills count="17">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theme="8" tint="0.79998168889431442"/>
        <bgColor indexed="64"/>
      </patternFill>
    </fill>
    <fill>
      <patternFill patternType="solid">
        <fgColor theme="8" tint="0.79998168889431442"/>
        <bgColor rgb="FFF9CB9C"/>
      </patternFill>
    </fill>
    <fill>
      <patternFill patternType="solid">
        <fgColor rgb="FF00518E"/>
        <bgColor indexed="64"/>
      </patternFill>
    </fill>
    <fill>
      <patternFill patternType="solid">
        <fgColor theme="8" tint="0.39997558519241921"/>
        <bgColor indexed="64"/>
      </patternFill>
    </fill>
    <fill>
      <patternFill patternType="solid">
        <fgColor rgb="FF00518E"/>
        <bgColor rgb="FFFFFF00"/>
      </patternFill>
    </fill>
    <fill>
      <patternFill patternType="solid">
        <fgColor theme="8" tint="-0.249977111117893"/>
        <bgColor rgb="FFE2EFD9"/>
      </patternFill>
    </fill>
    <fill>
      <patternFill patternType="solid">
        <fgColor theme="8" tint="-0.249977111117893"/>
        <bgColor indexed="64"/>
      </patternFill>
    </fill>
    <fill>
      <patternFill patternType="solid">
        <fgColor theme="8" tint="-0.249977111117893"/>
        <bgColor rgb="FFFFFF00"/>
      </patternFill>
    </fill>
    <fill>
      <patternFill patternType="solid">
        <fgColor theme="8" tint="0.59999389629810485"/>
        <bgColor rgb="FFE2EFD9"/>
      </patternFill>
    </fill>
    <fill>
      <patternFill patternType="solid">
        <fgColor theme="8" tint="0.59999389629810485"/>
        <bgColor indexed="64"/>
      </patternFill>
    </fill>
    <fill>
      <patternFill patternType="solid">
        <fgColor theme="8" tint="0.39997558519241921"/>
        <bgColor rgb="FFE2EFD9"/>
      </patternFill>
    </fill>
    <fill>
      <patternFill patternType="solid">
        <fgColor theme="0" tint="-4.9989318521683403E-2"/>
        <bgColor indexed="64"/>
      </patternFill>
    </fill>
    <fill>
      <patternFill patternType="solid">
        <fgColor theme="0" tint="-0.14999847407452621"/>
        <bgColor indexed="64"/>
      </patternFill>
    </fill>
  </fills>
  <borders count="62">
    <border>
      <left/>
      <right/>
      <top/>
      <bottom/>
      <diagonal/>
    </border>
    <border>
      <left/>
      <right/>
      <top/>
      <bottom style="thin">
        <color rgb="FFA5A5A5"/>
      </bottom>
      <diagonal/>
    </border>
    <border>
      <left/>
      <right style="thin">
        <color rgb="FFA5A5A5"/>
      </right>
      <top/>
      <bottom style="thin">
        <color rgb="FFA5A5A5"/>
      </bottom>
      <diagonal/>
    </border>
    <border>
      <left/>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style="thick">
        <color rgb="FFA5A5A5"/>
      </left>
      <right style="thin">
        <color rgb="FFA5A5A5"/>
      </right>
      <top style="thin">
        <color rgb="FFA5A5A5"/>
      </top>
      <bottom style="thin">
        <color rgb="FFA5A5A5"/>
      </bottom>
      <diagonal/>
    </border>
    <border>
      <left style="thin">
        <color rgb="FFA5A5A5"/>
      </left>
      <right style="thick">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top/>
      <bottom style="thin">
        <color rgb="FF000000"/>
      </bottom>
      <diagonal/>
    </border>
    <border>
      <left/>
      <right/>
      <top/>
      <bottom/>
      <diagonal/>
    </border>
    <border>
      <left style="thin">
        <color auto="1"/>
      </left>
      <right style="thin">
        <color auto="1"/>
      </right>
      <top style="thin">
        <color auto="1"/>
      </top>
      <bottom style="thin">
        <color auto="1"/>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style="thin">
        <color rgb="FFA5A5A5"/>
      </left>
      <right/>
      <top/>
      <bottom style="thin">
        <color rgb="FFA5A5A5"/>
      </bottom>
      <diagonal/>
    </border>
    <border>
      <left style="thin">
        <color rgb="FFA5A5A5"/>
      </left>
      <right style="thin">
        <color rgb="FFA5A5A5"/>
      </right>
      <top/>
      <bottom style="thin">
        <color rgb="FFA5A5A5"/>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rgb="FFA5A5A5"/>
      </top>
      <bottom/>
      <diagonal/>
    </border>
    <border>
      <left style="thick">
        <color rgb="FFA5A5A5"/>
      </left>
      <right style="thin">
        <color rgb="FFA5A5A5"/>
      </right>
      <top/>
      <bottom style="thin">
        <color rgb="FFA5A5A5"/>
      </bottom>
      <diagonal/>
    </border>
    <border>
      <left style="thin">
        <color rgb="FFA5A5A5"/>
      </left>
      <right style="thick">
        <color rgb="FFA5A5A5"/>
      </right>
      <top/>
      <bottom style="thin">
        <color rgb="FFA5A5A5"/>
      </bottom>
      <diagonal/>
    </border>
    <border>
      <left style="thin">
        <color indexed="64"/>
      </left>
      <right style="thin">
        <color rgb="FF999999"/>
      </right>
      <top/>
      <bottom/>
      <diagonal/>
    </border>
    <border>
      <left style="thin">
        <color rgb="FF999999"/>
      </left>
      <right style="thin">
        <color rgb="FF999999"/>
      </right>
      <top/>
      <bottom/>
      <diagonal/>
    </border>
    <border>
      <left style="thin">
        <color rgb="FF999999"/>
      </left>
      <right style="thin">
        <color indexed="64"/>
      </right>
      <top/>
      <bottom/>
      <diagonal/>
    </border>
    <border>
      <left/>
      <right/>
      <top style="thin">
        <color rgb="FFA5A5A5"/>
      </top>
      <bottom style="thin">
        <color theme="0" tint="-0.34998626667073579"/>
      </bottom>
      <diagonal/>
    </border>
    <border>
      <left style="thin">
        <color rgb="FFA5A5A5"/>
      </left>
      <right/>
      <top style="thin">
        <color rgb="FFA5A5A5"/>
      </top>
      <bottom/>
      <diagonal/>
    </border>
    <border>
      <left style="thin">
        <color rgb="FFA5A5A5"/>
      </left>
      <right style="thin">
        <color rgb="FFA5A5A5"/>
      </right>
      <top style="thin">
        <color theme="1" tint="0.499984740745262"/>
      </top>
      <bottom/>
      <diagonal/>
    </border>
    <border>
      <left style="thick">
        <color theme="1" tint="0.499984740745262"/>
      </left>
      <right style="thin">
        <color rgb="FFA5A5A5"/>
      </right>
      <top style="thin">
        <color theme="1" tint="0.499984740745262"/>
      </top>
      <bottom/>
      <diagonal/>
    </border>
    <border>
      <left style="thick">
        <color theme="1" tint="0.499984740745262"/>
      </left>
      <right style="thin">
        <color rgb="FFA5A5A5"/>
      </right>
      <top style="thin">
        <color rgb="FFA5A5A5"/>
      </top>
      <bottom style="thin">
        <color rgb="FFA5A5A5"/>
      </bottom>
      <diagonal/>
    </border>
    <border>
      <left style="thin">
        <color rgb="FFA5A5A5"/>
      </left>
      <right/>
      <top style="thin">
        <color theme="1" tint="0.499984740745262"/>
      </top>
      <bottom/>
      <diagonal/>
    </border>
    <border>
      <left style="thick">
        <color rgb="FFA5A5A5"/>
      </left>
      <right style="thin">
        <color theme="0" tint="-0.34998626667073579"/>
      </right>
      <top style="thin">
        <color rgb="FFA5A5A5"/>
      </top>
      <bottom style="thin">
        <color theme="0" tint="-0.34998626667073579"/>
      </bottom>
      <diagonal/>
    </border>
    <border>
      <left style="thin">
        <color theme="0" tint="-0.34998626667073579"/>
      </left>
      <right style="thin">
        <color theme="0" tint="-0.34998626667073579"/>
      </right>
      <top style="thin">
        <color rgb="FFA5A5A5"/>
      </top>
      <bottom style="thin">
        <color theme="0" tint="-0.34998626667073579"/>
      </bottom>
      <diagonal/>
    </border>
    <border>
      <left style="thin">
        <color theme="0" tint="-0.34998626667073579"/>
      </left>
      <right style="thick">
        <color rgb="FFA5A5A5"/>
      </right>
      <top style="thin">
        <color rgb="FFA5A5A5"/>
      </top>
      <bottom style="thin">
        <color theme="0" tint="-0.34998626667073579"/>
      </bottom>
      <diagonal/>
    </border>
    <border>
      <left style="thick">
        <color rgb="FFA5A5A5"/>
      </left>
      <right style="thin">
        <color rgb="FF999999"/>
      </right>
      <top/>
      <bottom/>
      <diagonal/>
    </border>
    <border>
      <left style="thin">
        <color rgb="FF999999"/>
      </left>
      <right style="thick">
        <color rgb="FFA5A5A5"/>
      </right>
      <top/>
      <bottom/>
      <diagonal/>
    </border>
    <border>
      <left style="thin">
        <color rgb="FFA5A5A5"/>
      </left>
      <right style="thick">
        <color rgb="FFA5A5A5"/>
      </right>
      <top style="thin">
        <color theme="1" tint="0.499984740745262"/>
      </top>
      <bottom/>
      <diagonal/>
    </border>
    <border>
      <left style="thick">
        <color theme="0" tint="-0.34998626667073579"/>
      </left>
      <right style="thin">
        <color rgb="FFA5A5A5"/>
      </right>
      <top style="thin">
        <color theme="1" tint="0.499984740745262"/>
      </top>
      <bottom/>
      <diagonal/>
    </border>
    <border>
      <left style="thick">
        <color theme="0" tint="-0.34998626667073579"/>
      </left>
      <right style="thin">
        <color rgb="FFA5A5A5"/>
      </right>
      <top style="thin">
        <color rgb="FFA5A5A5"/>
      </top>
      <bottom style="thin">
        <color rgb="FFA5A5A5"/>
      </bottom>
      <diagonal/>
    </border>
    <border>
      <left style="thin">
        <color indexed="64"/>
      </left>
      <right style="thin">
        <color rgb="FFA5A5A5"/>
      </right>
      <top/>
      <bottom style="thin">
        <color rgb="FFA5A5A5"/>
      </bottom>
      <diagonal/>
    </border>
    <border>
      <left style="thin">
        <color rgb="FFA5A5A5"/>
      </left>
      <right style="thin">
        <color rgb="FFA5A5A5"/>
      </right>
      <top/>
      <bottom/>
      <diagonal/>
    </border>
    <border>
      <left style="medium">
        <color rgb="FFA5A5A5"/>
      </left>
      <right style="medium">
        <color rgb="FFA5A5A5"/>
      </right>
      <top style="medium">
        <color rgb="FFA5A5A5"/>
      </top>
      <bottom style="medium">
        <color rgb="FFA5A5A5"/>
      </bottom>
      <diagonal/>
    </border>
    <border>
      <left style="medium">
        <color rgb="FFCCCCCC"/>
      </left>
      <right style="medium">
        <color rgb="FFA5A5A5"/>
      </right>
      <top style="medium">
        <color rgb="FFA5A5A5"/>
      </top>
      <bottom style="medium">
        <color rgb="FFA5A5A5"/>
      </bottom>
      <diagonal/>
    </border>
    <border>
      <left/>
      <right style="thin">
        <color rgb="FFA5A5A5"/>
      </right>
      <top/>
      <bottom/>
      <diagonal/>
    </border>
    <border>
      <left style="thin">
        <color rgb="FFA5A5A5"/>
      </left>
      <right/>
      <top/>
      <bottom/>
      <diagonal/>
    </border>
    <border>
      <left/>
      <right style="thin">
        <color rgb="FFA5A5A5"/>
      </right>
      <top style="thin">
        <color rgb="FFA5A5A5"/>
      </top>
      <bottom/>
      <diagonal/>
    </border>
    <border>
      <left style="medium">
        <color rgb="FFA5A5A5"/>
      </left>
      <right style="thin">
        <color rgb="FFA5A5A5"/>
      </right>
      <top style="thin">
        <color rgb="FFA5A5A5"/>
      </top>
      <bottom style="thin">
        <color rgb="FFA5A5A5"/>
      </bottom>
      <diagonal/>
    </border>
    <border>
      <left/>
      <right style="thick">
        <color rgb="FFA5A5A5"/>
      </right>
      <top style="thin">
        <color rgb="FFA5A5A5"/>
      </top>
      <bottom style="thin">
        <color rgb="FFA5A5A5"/>
      </bottom>
      <diagonal/>
    </border>
    <border>
      <left/>
      <right style="thin">
        <color theme="0" tint="-0.34998626667073579"/>
      </right>
      <top style="thin">
        <color theme="0" tint="-0.34998626667073579"/>
      </top>
      <bottom style="thin">
        <color theme="0" tint="-0.34998626667073579"/>
      </bottom>
      <diagonal/>
    </border>
    <border>
      <left style="thick">
        <color theme="0" tint="-0.34998626667073579"/>
      </left>
      <right style="thick">
        <color theme="0" tint="-0.34998626667073579"/>
      </right>
      <top style="thin">
        <color theme="0" tint="-0.34998626667073579"/>
      </top>
      <bottom style="thin">
        <color theme="0" tint="-0.34998626667073579"/>
      </bottom>
      <diagonal/>
    </border>
    <border>
      <left style="thin">
        <color rgb="FF999999"/>
      </left>
      <right style="thick">
        <color rgb="FF999999"/>
      </right>
      <top style="thin">
        <color theme="0" tint="-0.34998626667073579"/>
      </top>
      <bottom style="thin">
        <color rgb="FFA5A5A5"/>
      </bottom>
      <diagonal/>
    </border>
    <border>
      <left style="thick">
        <color rgb="FFA5A5A5"/>
      </left>
      <right style="thin">
        <color rgb="FFA5A5A5"/>
      </right>
      <top style="thin">
        <color theme="0" tint="-0.34998626667073579"/>
      </top>
      <bottom style="thin">
        <color rgb="FFA5A5A5"/>
      </bottom>
      <diagonal/>
    </border>
    <border>
      <left style="thin">
        <color rgb="FFA5A5A5"/>
      </left>
      <right style="thin">
        <color rgb="FFA5A5A5"/>
      </right>
      <top style="thin">
        <color theme="0" tint="-0.34998626667073579"/>
      </top>
      <bottom style="thin">
        <color rgb="FFA5A5A5"/>
      </bottom>
      <diagonal/>
    </border>
    <border>
      <left style="thin">
        <color rgb="FFA5A5A5"/>
      </left>
      <right style="thick">
        <color rgb="FFA5A5A5"/>
      </right>
      <top style="thin">
        <color theme="0" tint="-0.34998626667073579"/>
      </top>
      <bottom style="thin">
        <color rgb="FFA5A5A5"/>
      </bottom>
      <diagonal/>
    </border>
    <border>
      <left style="thin">
        <color rgb="FFA5A5A5"/>
      </left>
      <right style="thin">
        <color rgb="FFA5A5A5"/>
      </right>
      <top style="medium">
        <color rgb="FFA5A5A5"/>
      </top>
      <bottom style="thin">
        <color rgb="FFA5A5A5"/>
      </bottom>
      <diagonal/>
    </border>
    <border>
      <left style="thin">
        <color rgb="FFA5A5A5"/>
      </left>
      <right style="thick">
        <color theme="1" tint="0.499984740745262"/>
      </right>
      <top style="medium">
        <color rgb="FFA5A5A5"/>
      </top>
      <bottom style="thin">
        <color rgb="FFA5A5A5"/>
      </bottom>
      <diagonal/>
    </border>
    <border>
      <left style="thin">
        <color rgb="FFA5A5A5"/>
      </left>
      <right style="thick">
        <color theme="1" tint="0.499984740745262"/>
      </right>
      <top style="thin">
        <color rgb="FFA5A5A5"/>
      </top>
      <bottom style="thin">
        <color rgb="FFA5A5A5"/>
      </bottom>
      <diagonal/>
    </border>
    <border>
      <left style="thin">
        <color rgb="FFA5A5A5"/>
      </left>
      <right style="thick">
        <color theme="0" tint="-0.34998626667073579"/>
      </right>
      <top style="thin">
        <color rgb="FFA5A5A5"/>
      </top>
      <bottom style="thin">
        <color rgb="FFA5A5A5"/>
      </bottom>
      <diagonal/>
    </border>
    <border>
      <left style="thin">
        <color rgb="FFA5A5A5"/>
      </left>
      <right style="thin">
        <color rgb="FFA5A5A5"/>
      </right>
      <top style="medium">
        <color rgb="FFCCCCCC"/>
      </top>
      <bottom style="thin">
        <color rgb="FFA5A5A5"/>
      </bottom>
      <diagonal/>
    </border>
  </borders>
  <cellStyleXfs count="5">
    <xf numFmtId="0" fontId="0" fillId="0" borderId="0"/>
    <xf numFmtId="0" fontId="2" fillId="0" borderId="10"/>
    <xf numFmtId="0" fontId="6" fillId="0" borderId="10" applyBorder="0">
      <alignment vertical="center" wrapText="1"/>
    </xf>
    <xf numFmtId="0" fontId="12" fillId="0" borderId="10"/>
    <xf numFmtId="0" fontId="1" fillId="0" borderId="10"/>
  </cellStyleXfs>
  <cellXfs count="277">
    <xf numFmtId="0" fontId="0" fillId="0" borderId="0" xfId="0"/>
    <xf numFmtId="0" fontId="0" fillId="0" borderId="0" xfId="0" applyAlignment="1">
      <alignment vertical="center"/>
    </xf>
    <xf numFmtId="0" fontId="3" fillId="0" borderId="0" xfId="0" applyFont="1"/>
    <xf numFmtId="0" fontId="3" fillId="0" borderId="0" xfId="0" applyFont="1" applyAlignment="1">
      <alignment horizontal="center"/>
    </xf>
    <xf numFmtId="0" fontId="9" fillId="0" borderId="4" xfId="0" applyFont="1" applyBorder="1" applyAlignment="1">
      <alignment vertical="center"/>
    </xf>
    <xf numFmtId="0" fontId="3" fillId="0" borderId="4" xfId="0" applyFont="1" applyBorder="1" applyAlignment="1">
      <alignment vertical="center"/>
    </xf>
    <xf numFmtId="0" fontId="3" fillId="0" borderId="4" xfId="0" applyFont="1" applyBorder="1" applyAlignment="1">
      <alignment vertical="center" wrapText="1"/>
    </xf>
    <xf numFmtId="0" fontId="3" fillId="0" borderId="4" xfId="0" applyFont="1" applyBorder="1" applyAlignment="1">
      <alignment horizontal="center" vertical="center"/>
    </xf>
    <xf numFmtId="0" fontId="5" fillId="0" borderId="3" xfId="0" applyFont="1" applyBorder="1" applyAlignment="1">
      <alignment vertical="center"/>
    </xf>
    <xf numFmtId="0" fontId="9" fillId="0" borderId="7" xfId="0" applyFont="1" applyBorder="1" applyAlignment="1">
      <alignment horizontal="center" vertical="center"/>
    </xf>
    <xf numFmtId="0" fontId="3" fillId="0" borderId="0" xfId="0" applyFont="1" applyAlignment="1">
      <alignment vertical="center"/>
    </xf>
    <xf numFmtId="0" fontId="0" fillId="0" borderId="0" xfId="0" applyAlignment="1">
      <alignment horizontal="center" vertical="center" wrapText="1"/>
    </xf>
    <xf numFmtId="0" fontId="9" fillId="0" borderId="0" xfId="0" applyFont="1" applyAlignment="1">
      <alignment horizontal="center"/>
    </xf>
    <xf numFmtId="0" fontId="3" fillId="0" borderId="0" xfId="0" applyFont="1" applyAlignment="1">
      <alignment horizontal="center" vertical="center"/>
    </xf>
    <xf numFmtId="0" fontId="10" fillId="0" borderId="4" xfId="0" applyFont="1" applyBorder="1" applyAlignment="1">
      <alignment vertical="center"/>
    </xf>
    <xf numFmtId="0" fontId="0" fillId="0" borderId="9" xfId="0" applyBorder="1"/>
    <xf numFmtId="0" fontId="8" fillId="2" borderId="10" xfId="0" applyFont="1" applyFill="1" applyBorder="1"/>
    <xf numFmtId="0" fontId="12" fillId="0" borderId="11" xfId="0" applyFont="1" applyBorder="1" applyAlignment="1">
      <alignment vertical="center" wrapText="1"/>
    </xf>
    <xf numFmtId="0" fontId="12" fillId="0" borderId="0" xfId="0" applyFont="1" applyAlignment="1">
      <alignment vertical="center"/>
    </xf>
    <xf numFmtId="14" fontId="12" fillId="0" borderId="11" xfId="0" applyNumberFormat="1" applyFont="1" applyBorder="1" applyAlignment="1">
      <alignment vertical="center" wrapText="1"/>
    </xf>
    <xf numFmtId="0" fontId="12" fillId="0" borderId="11" xfId="0" applyFont="1" applyBorder="1" applyAlignment="1">
      <alignment vertical="center"/>
    </xf>
    <xf numFmtId="0" fontId="12" fillId="0" borderId="0" xfId="0" applyFont="1"/>
    <xf numFmtId="0" fontId="2" fillId="0" borderId="10" xfId="1"/>
    <xf numFmtId="0" fontId="6" fillId="0" borderId="10" xfId="2">
      <alignment vertical="center" wrapText="1"/>
    </xf>
    <xf numFmtId="0" fontId="6" fillId="0" borderId="10" xfId="2" applyAlignment="1">
      <alignment horizontal="right" vertical="center" wrapText="1"/>
    </xf>
    <xf numFmtId="0" fontId="13" fillId="0" borderId="10" xfId="2" applyFont="1">
      <alignment vertical="center" wrapText="1"/>
    </xf>
    <xf numFmtId="0" fontId="13" fillId="0" borderId="10" xfId="2" applyFont="1" applyAlignment="1">
      <alignment horizontal="right" vertical="center" wrapText="1"/>
    </xf>
    <xf numFmtId="0" fontId="13" fillId="0" borderId="12" xfId="2" applyFont="1" applyBorder="1">
      <alignment vertical="center" wrapText="1"/>
    </xf>
    <xf numFmtId="0" fontId="13" fillId="0" borderId="14" xfId="2" applyFont="1" applyBorder="1">
      <alignment vertical="center" wrapText="1"/>
    </xf>
    <xf numFmtId="0" fontId="0" fillId="0" borderId="0" xfId="0" applyAlignment="1">
      <alignment horizontal="center"/>
    </xf>
    <xf numFmtId="0" fontId="10" fillId="0" borderId="4" xfId="0" applyFont="1" applyBorder="1" applyAlignment="1">
      <alignment vertical="center" wrapText="1"/>
    </xf>
    <xf numFmtId="0" fontId="12" fillId="0" borderId="0" xfId="0" applyFont="1" applyAlignment="1">
      <alignment horizontal="center"/>
    </xf>
    <xf numFmtId="0" fontId="3" fillId="0" borderId="5" xfId="0" applyFont="1" applyBorder="1" applyAlignment="1">
      <alignment horizontal="center" vertical="center"/>
    </xf>
    <xf numFmtId="0" fontId="3" fillId="0" borderId="8" xfId="0" applyFont="1" applyBorder="1" applyAlignment="1">
      <alignment vertical="center"/>
    </xf>
    <xf numFmtId="0" fontId="10" fillId="0" borderId="6" xfId="0" applyFont="1" applyBorder="1" applyAlignment="1">
      <alignment horizontal="center" vertical="center"/>
    </xf>
    <xf numFmtId="0" fontId="10" fillId="0" borderId="4" xfId="0" applyFont="1" applyBorder="1" applyAlignment="1">
      <alignment horizontal="center" vertical="center"/>
    </xf>
    <xf numFmtId="0" fontId="22" fillId="0" borderId="4" xfId="0" applyFont="1" applyBorder="1" applyAlignment="1">
      <alignment vertical="center"/>
    </xf>
    <xf numFmtId="0" fontId="23" fillId="0" borderId="4" xfId="0" applyFont="1" applyBorder="1" applyAlignment="1">
      <alignment vertical="center"/>
    </xf>
    <xf numFmtId="0" fontId="23" fillId="0" borderId="4" xfId="0" applyFont="1" applyBorder="1" applyAlignment="1">
      <alignment horizontal="center" vertical="center"/>
    </xf>
    <xf numFmtId="0" fontId="23" fillId="0" borderId="0" xfId="0" applyFont="1" applyAlignment="1">
      <alignment vertical="center"/>
    </xf>
    <xf numFmtId="0" fontId="23" fillId="0" borderId="0" xfId="0" applyFont="1"/>
    <xf numFmtId="0" fontId="4" fillId="0" borderId="3" xfId="0" applyFont="1" applyBorder="1"/>
    <xf numFmtId="0" fontId="19" fillId="0" borderId="4" xfId="0" applyFont="1" applyBorder="1" applyAlignment="1">
      <alignment vertical="center"/>
    </xf>
    <xf numFmtId="0" fontId="10" fillId="0" borderId="5" xfId="0" applyFont="1" applyBorder="1" applyAlignment="1">
      <alignment horizontal="center" vertical="center"/>
    </xf>
    <xf numFmtId="0" fontId="10" fillId="0" borderId="0" xfId="0" applyFont="1" applyAlignment="1">
      <alignment vertical="center"/>
    </xf>
    <xf numFmtId="0" fontId="10" fillId="0" borderId="0" xfId="0" applyFont="1"/>
    <xf numFmtId="0" fontId="8" fillId="0" borderId="8" xfId="0" applyFont="1" applyBorder="1" applyAlignment="1">
      <alignment vertical="center"/>
    </xf>
    <xf numFmtId="0" fontId="19" fillId="0" borderId="7" xfId="0" applyFont="1" applyBorder="1" applyAlignment="1">
      <alignment horizontal="center" vertical="center"/>
    </xf>
    <xf numFmtId="0" fontId="12" fillId="0" borderId="11" xfId="0" applyFont="1" applyBorder="1" applyAlignment="1">
      <alignment horizontal="center" vertical="center" wrapText="1"/>
    </xf>
    <xf numFmtId="164" fontId="12" fillId="0" borderId="11" xfId="0" applyNumberFormat="1" applyFont="1" applyBorder="1" applyAlignment="1">
      <alignment horizontal="center" vertical="center" wrapText="1"/>
    </xf>
    <xf numFmtId="0" fontId="3" fillId="0" borderId="1" xfId="0" applyFont="1" applyBorder="1" applyAlignment="1">
      <alignment horizontal="center"/>
    </xf>
    <xf numFmtId="0" fontId="4" fillId="0" borderId="2" xfId="0" applyFont="1" applyBorder="1"/>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8" xfId="0" applyFont="1" applyBorder="1" applyAlignment="1">
      <alignment horizontal="center" vertical="center"/>
    </xf>
    <xf numFmtId="0" fontId="5" fillId="0" borderId="19"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5" fillId="0" borderId="2" xfId="0" applyFont="1" applyBorder="1" applyAlignment="1">
      <alignment horizontal="center" vertical="center"/>
    </xf>
    <xf numFmtId="0" fontId="29" fillId="0" borderId="0" xfId="0" applyFont="1"/>
    <xf numFmtId="0" fontId="0" fillId="0" borderId="8" xfId="0" applyBorder="1" applyAlignment="1">
      <alignment vertical="center"/>
    </xf>
    <xf numFmtId="0" fontId="32" fillId="0" borderId="0" xfId="0" applyFont="1"/>
    <xf numFmtId="0" fontId="26" fillId="0" borderId="0" xfId="0" applyFont="1"/>
    <xf numFmtId="0" fontId="33" fillId="3" borderId="0" xfId="0" applyFont="1" applyFill="1"/>
    <xf numFmtId="0" fontId="4" fillId="0" borderId="8" xfId="0" applyFont="1" applyBorder="1"/>
    <xf numFmtId="0" fontId="9" fillId="0" borderId="5" xfId="0" applyFont="1" applyBorder="1" applyAlignment="1">
      <alignment horizontal="center" vertical="center"/>
    </xf>
    <xf numFmtId="0" fontId="29" fillId="0" borderId="6" xfId="0" applyFont="1" applyBorder="1" applyAlignment="1">
      <alignment horizontal="center" vertical="center"/>
    </xf>
    <xf numFmtId="0" fontId="29" fillId="0" borderId="4" xfId="0" applyFont="1" applyBorder="1" applyAlignment="1">
      <alignment horizontal="center" vertical="center"/>
    </xf>
    <xf numFmtId="0" fontId="28" fillId="0" borderId="4" xfId="0" applyFont="1" applyBorder="1" applyAlignment="1">
      <alignment horizontal="center" vertical="center"/>
    </xf>
    <xf numFmtId="14" fontId="29" fillId="0" borderId="7" xfId="0" applyNumberFormat="1" applyFont="1" applyBorder="1" applyAlignment="1">
      <alignment horizontal="center" vertical="center"/>
    </xf>
    <xf numFmtId="14" fontId="30" fillId="0" borderId="7" xfId="0" applyNumberFormat="1" applyFont="1" applyBorder="1" applyAlignment="1">
      <alignment horizontal="center" vertical="center"/>
    </xf>
    <xf numFmtId="14" fontId="31" fillId="0" borderId="7" xfId="0" applyNumberFormat="1" applyFont="1" applyBorder="1" applyAlignment="1">
      <alignment horizontal="center" vertical="center"/>
    </xf>
    <xf numFmtId="0" fontId="37" fillId="0" borderId="4" xfId="0" applyFont="1" applyBorder="1" applyAlignment="1">
      <alignment horizontal="center" vertical="center"/>
    </xf>
    <xf numFmtId="0" fontId="38" fillId="0" borderId="4" xfId="0" applyFont="1" applyBorder="1" applyAlignment="1">
      <alignment horizontal="center" vertical="center"/>
    </xf>
    <xf numFmtId="0" fontId="3" fillId="0" borderId="32" xfId="0" applyFont="1" applyBorder="1" applyAlignment="1">
      <alignment horizontal="center" vertical="center"/>
    </xf>
    <xf numFmtId="0" fontId="3" fillId="0" borderId="8" xfId="0" applyFont="1" applyBorder="1" applyAlignment="1">
      <alignment vertical="center" wrapText="1"/>
    </xf>
    <xf numFmtId="0" fontId="3" fillId="0" borderId="41" xfId="0" applyFont="1" applyBorder="1" applyAlignment="1">
      <alignment horizontal="center" vertical="center"/>
    </xf>
    <xf numFmtId="0" fontId="29" fillId="0" borderId="42" xfId="0" applyFont="1" applyBorder="1" applyAlignment="1">
      <alignment horizontal="center" vertical="center"/>
    </xf>
    <xf numFmtId="0" fontId="39" fillId="0" borderId="4" xfId="0" applyFont="1" applyBorder="1" applyAlignment="1">
      <alignment vertical="center"/>
    </xf>
    <xf numFmtId="0" fontId="40" fillId="0" borderId="4" xfId="0" applyFont="1" applyBorder="1" applyAlignment="1">
      <alignment vertical="center"/>
    </xf>
    <xf numFmtId="0" fontId="40" fillId="0" borderId="4" xfId="0" applyFont="1" applyBorder="1" applyAlignment="1">
      <alignment vertical="center" wrapText="1"/>
    </xf>
    <xf numFmtId="0" fontId="40" fillId="0" borderId="4" xfId="0" applyFont="1" applyBorder="1" applyAlignment="1">
      <alignment horizontal="center" vertical="center"/>
    </xf>
    <xf numFmtId="0" fontId="30" fillId="0" borderId="42" xfId="0" applyFont="1" applyBorder="1" applyAlignment="1">
      <alignment horizontal="center" vertical="center"/>
    </xf>
    <xf numFmtId="0" fontId="40" fillId="0" borderId="0" xfId="0" applyFont="1" applyAlignment="1">
      <alignment vertical="center"/>
    </xf>
    <xf numFmtId="0" fontId="37" fillId="0" borderId="42" xfId="0" applyFont="1" applyBorder="1" applyAlignment="1">
      <alignment horizontal="center" vertical="center"/>
    </xf>
    <xf numFmtId="14" fontId="37" fillId="0" borderId="7" xfId="0" applyNumberFormat="1" applyFont="1" applyBorder="1" applyAlignment="1">
      <alignment horizontal="center" vertical="center"/>
    </xf>
    <xf numFmtId="0" fontId="4" fillId="0" borderId="1" xfId="0" applyFont="1" applyBorder="1"/>
    <xf numFmtId="0" fontId="8" fillId="4" borderId="11" xfId="0" applyFont="1" applyFill="1" applyBorder="1" applyAlignment="1">
      <alignment vertical="center" wrapText="1"/>
    </xf>
    <xf numFmtId="0" fontId="8" fillId="5" borderId="11" xfId="0" applyFont="1" applyFill="1" applyBorder="1" applyAlignment="1">
      <alignment vertical="center" wrapText="1"/>
    </xf>
    <xf numFmtId="0" fontId="8" fillId="4" borderId="11" xfId="0" applyFont="1" applyFill="1" applyBorder="1" applyAlignment="1">
      <alignment horizontal="center" vertical="center" wrapText="1"/>
    </xf>
    <xf numFmtId="49" fontId="14" fillId="4" borderId="15" xfId="2" applyNumberFormat="1" applyFont="1" applyFill="1" applyBorder="1" applyAlignment="1">
      <alignment horizontal="center" vertical="center" wrapText="1"/>
    </xf>
    <xf numFmtId="0" fontId="14" fillId="4" borderId="15" xfId="2" applyFont="1" applyFill="1" applyBorder="1" applyAlignment="1">
      <alignment horizontal="center" vertical="center" wrapText="1"/>
    </xf>
    <xf numFmtId="0" fontId="14" fillId="4" borderId="13" xfId="2" applyFont="1" applyFill="1" applyBorder="1" applyAlignment="1">
      <alignment horizontal="center" vertical="center" wrapText="1"/>
    </xf>
    <xf numFmtId="0" fontId="14" fillId="7" borderId="17" xfId="2" applyFont="1" applyFill="1" applyBorder="1" applyAlignment="1">
      <alignment horizontal="center" vertical="center" wrapText="1"/>
    </xf>
    <xf numFmtId="0" fontId="14" fillId="7" borderId="16" xfId="2" applyFont="1" applyFill="1" applyBorder="1" applyAlignment="1">
      <alignment horizontal="center" vertical="center" wrapText="1"/>
    </xf>
    <xf numFmtId="0" fontId="24" fillId="8" borderId="4" xfId="0" applyFont="1" applyFill="1" applyBorder="1" applyAlignment="1">
      <alignment horizontal="center" vertical="center"/>
    </xf>
    <xf numFmtId="0" fontId="24" fillId="11" borderId="4" xfId="0" applyFont="1" applyFill="1" applyBorder="1" applyAlignment="1">
      <alignment horizontal="center" vertical="center" textRotation="90"/>
    </xf>
    <xf numFmtId="0" fontId="24" fillId="11" borderId="4" xfId="0" applyFont="1" applyFill="1" applyBorder="1" applyAlignment="1">
      <alignment horizontal="center" vertical="center" wrapText="1"/>
    </xf>
    <xf numFmtId="0" fontId="24" fillId="8" borderId="4" xfId="0" applyFont="1" applyFill="1" applyBorder="1" applyAlignment="1">
      <alignment horizontal="center" vertical="center" wrapText="1"/>
    </xf>
    <xf numFmtId="0" fontId="24" fillId="8" borderId="5" xfId="0" applyFont="1" applyFill="1" applyBorder="1" applyAlignment="1">
      <alignment horizontal="center" vertical="center"/>
    </xf>
    <xf numFmtId="0" fontId="24" fillId="8" borderId="6" xfId="0" applyFont="1" applyFill="1" applyBorder="1" applyAlignment="1">
      <alignment horizontal="center" vertical="center"/>
    </xf>
    <xf numFmtId="0" fontId="24" fillId="8" borderId="8" xfId="0" applyFont="1" applyFill="1" applyBorder="1" applyAlignment="1">
      <alignment horizontal="center" vertical="center"/>
    </xf>
    <xf numFmtId="0" fontId="24" fillId="11" borderId="20" xfId="0" applyFont="1" applyFill="1" applyBorder="1" applyAlignment="1">
      <alignment horizontal="center" vertical="center" textRotation="90"/>
    </xf>
    <xf numFmtId="0" fontId="16" fillId="11" borderId="24" xfId="0" applyFont="1" applyFill="1" applyBorder="1" applyAlignment="1">
      <alignment horizontal="center" vertical="center" wrapText="1"/>
    </xf>
    <xf numFmtId="0" fontId="28" fillId="14" borderId="25" xfId="0" applyFont="1" applyFill="1" applyBorder="1" applyAlignment="1">
      <alignment horizontal="center" vertical="center" textRotation="90" wrapText="1"/>
    </xf>
    <xf numFmtId="0" fontId="28" fillId="14" borderId="26" xfId="0" applyFont="1" applyFill="1" applyBorder="1" applyAlignment="1">
      <alignment horizontal="center" vertical="center" textRotation="90" wrapText="1"/>
    </xf>
    <xf numFmtId="0" fontId="28" fillId="14" borderId="26" xfId="0" applyFont="1" applyFill="1" applyBorder="1" applyAlignment="1">
      <alignment horizontal="center" vertical="center" wrapText="1"/>
    </xf>
    <xf numFmtId="0" fontId="28" fillId="14" borderId="27" xfId="0" applyFont="1" applyFill="1" applyBorder="1" applyAlignment="1">
      <alignment horizontal="center" vertical="center" wrapText="1"/>
    </xf>
    <xf numFmtId="0" fontId="16" fillId="8" borderId="8" xfId="0" applyFont="1" applyFill="1" applyBorder="1" applyAlignment="1">
      <alignment horizontal="center" vertical="center" wrapText="1"/>
    </xf>
    <xf numFmtId="0" fontId="39" fillId="0" borderId="7" xfId="0" applyFont="1" applyBorder="1" applyAlignment="1">
      <alignment horizontal="center" vertical="center"/>
    </xf>
    <xf numFmtId="0" fontId="42" fillId="0" borderId="0" xfId="0" applyFont="1"/>
    <xf numFmtId="0" fontId="40" fillId="0" borderId="0" xfId="0" applyFont="1"/>
    <xf numFmtId="0" fontId="42" fillId="0" borderId="0" xfId="0" applyFont="1" applyAlignment="1">
      <alignment vertical="center"/>
    </xf>
    <xf numFmtId="0" fontId="40" fillId="0" borderId="43" xfId="0" applyFont="1" applyBorder="1" applyAlignment="1">
      <alignment vertical="center"/>
    </xf>
    <xf numFmtId="0" fontId="30" fillId="0" borderId="0" xfId="0" applyFont="1"/>
    <xf numFmtId="0" fontId="24" fillId="8" borderId="8" xfId="0" applyFont="1" applyFill="1" applyBorder="1" applyAlignment="1">
      <alignment horizontal="center" vertical="center" wrapText="1"/>
    </xf>
    <xf numFmtId="0" fontId="16" fillId="8" borderId="4" xfId="0" applyFont="1" applyFill="1" applyBorder="1" applyAlignment="1">
      <alignment horizontal="center" vertical="center" wrapText="1"/>
    </xf>
    <xf numFmtId="0" fontId="24" fillId="11" borderId="6" xfId="0" applyFont="1" applyFill="1" applyBorder="1" applyAlignment="1">
      <alignment horizontal="center" vertical="center" textRotation="90"/>
    </xf>
    <xf numFmtId="0" fontId="24" fillId="11" borderId="7" xfId="0" applyFont="1" applyFill="1" applyBorder="1" applyAlignment="1">
      <alignment horizontal="center" vertical="center" wrapText="1"/>
    </xf>
    <xf numFmtId="0" fontId="24" fillId="11" borderId="32" xfId="0" applyFont="1" applyFill="1" applyBorder="1" applyAlignment="1">
      <alignment horizontal="center" vertical="center" textRotation="90"/>
    </xf>
    <xf numFmtId="0" fontId="24" fillId="11" borderId="5" xfId="0" applyFont="1" applyFill="1" applyBorder="1" applyAlignment="1">
      <alignment horizontal="center" vertical="center" wrapText="1"/>
    </xf>
    <xf numFmtId="0" fontId="24" fillId="11" borderId="41" xfId="0" applyFont="1" applyFill="1" applyBorder="1" applyAlignment="1">
      <alignment horizontal="center" vertical="center" textRotation="90"/>
    </xf>
    <xf numFmtId="0" fontId="28" fillId="14" borderId="37" xfId="0" applyFont="1" applyFill="1" applyBorder="1" applyAlignment="1">
      <alignment horizontal="center" vertical="center" textRotation="90" wrapText="1"/>
    </xf>
    <xf numFmtId="0" fontId="28" fillId="14" borderId="38" xfId="0" applyFont="1" applyFill="1" applyBorder="1" applyAlignment="1">
      <alignment horizontal="center" vertical="center" wrapText="1"/>
    </xf>
    <xf numFmtId="0" fontId="28" fillId="14" borderId="37" xfId="0" applyFont="1" applyFill="1" applyBorder="1" applyAlignment="1">
      <alignment horizontal="center" vertical="center" textRotation="90"/>
    </xf>
    <xf numFmtId="0" fontId="28" fillId="14" borderId="26" xfId="0" applyFont="1" applyFill="1" applyBorder="1" applyAlignment="1">
      <alignment horizontal="center" vertical="center" textRotation="90"/>
    </xf>
    <xf numFmtId="0" fontId="9" fillId="0" borderId="4" xfId="0" applyFont="1" applyBorder="1" applyAlignment="1">
      <alignment vertical="center" wrapText="1"/>
    </xf>
    <xf numFmtId="0" fontId="3" fillId="0" borderId="44" xfId="0" applyFont="1" applyBorder="1" applyAlignment="1">
      <alignment vertical="center" wrapText="1"/>
    </xf>
    <xf numFmtId="0" fontId="3" fillId="0" borderId="45" xfId="0" applyFont="1" applyBorder="1" applyAlignment="1">
      <alignment vertical="center" wrapText="1"/>
    </xf>
    <xf numFmtId="0" fontId="4" fillId="0" borderId="22" xfId="0" applyFont="1" applyBorder="1"/>
    <xf numFmtId="0" fontId="22" fillId="11" borderId="23" xfId="0" applyFont="1" applyFill="1" applyBorder="1" applyAlignment="1">
      <alignment horizontal="center" vertical="center" textRotation="90"/>
    </xf>
    <xf numFmtId="0" fontId="22" fillId="11" borderId="20" xfId="0" applyFont="1" applyFill="1" applyBorder="1" applyAlignment="1">
      <alignment horizontal="center" vertical="center" textRotation="90"/>
    </xf>
    <xf numFmtId="0" fontId="10" fillId="15" borderId="6" xfId="0" applyFont="1" applyFill="1" applyBorder="1" applyAlignment="1">
      <alignment horizontal="center" vertical="center"/>
    </xf>
    <xf numFmtId="0" fontId="10" fillId="15" borderId="4" xfId="0" applyFont="1" applyFill="1" applyBorder="1" applyAlignment="1">
      <alignment horizontal="center" vertical="center"/>
    </xf>
    <xf numFmtId="0" fontId="37" fillId="15" borderId="4" xfId="0" applyFont="1" applyFill="1" applyBorder="1" applyAlignment="1">
      <alignment horizontal="center" vertical="center"/>
    </xf>
    <xf numFmtId="0" fontId="23" fillId="0" borderId="6" xfId="0" applyFont="1" applyBorder="1" applyAlignment="1">
      <alignment horizontal="center" vertical="center"/>
    </xf>
    <xf numFmtId="0" fontId="12" fillId="0" borderId="11" xfId="0" applyFont="1" applyBorder="1" applyAlignment="1">
      <alignment horizontal="center" vertical="center"/>
    </xf>
    <xf numFmtId="14" fontId="41" fillId="0" borderId="11" xfId="0" applyNumberFormat="1" applyFont="1" applyBorder="1" applyAlignment="1">
      <alignment horizontal="center" vertical="center" wrapText="1"/>
    </xf>
    <xf numFmtId="0" fontId="4" fillId="0" borderId="4" xfId="0" applyFont="1" applyBorder="1"/>
    <xf numFmtId="0" fontId="28" fillId="14" borderId="4" xfId="0" applyFont="1" applyFill="1" applyBorder="1" applyAlignment="1">
      <alignment horizontal="center" vertical="center" textRotation="90" wrapText="1"/>
    </xf>
    <xf numFmtId="0" fontId="28" fillId="14" borderId="4" xfId="0" applyFont="1" applyFill="1" applyBorder="1" applyAlignment="1">
      <alignment horizontal="center" vertical="center" wrapText="1"/>
    </xf>
    <xf numFmtId="0" fontId="3" fillId="0" borderId="5" xfId="0" applyFont="1" applyBorder="1" applyAlignment="1">
      <alignment horizontal="center"/>
    </xf>
    <xf numFmtId="0" fontId="3" fillId="0" borderId="3" xfId="0" applyFont="1" applyBorder="1" applyAlignment="1">
      <alignment horizontal="center"/>
    </xf>
    <xf numFmtId="0" fontId="5" fillId="0" borderId="4" xfId="0" applyFont="1" applyBorder="1" applyAlignment="1">
      <alignment horizontal="center" vertical="center"/>
    </xf>
    <xf numFmtId="0" fontId="28" fillId="12" borderId="4" xfId="0" applyFont="1" applyFill="1" applyBorder="1" applyAlignment="1">
      <alignment horizontal="center" vertical="center" textRotation="90" wrapText="1"/>
    </xf>
    <xf numFmtId="0" fontId="28" fillId="12" borderId="4" xfId="0" applyFont="1" applyFill="1" applyBorder="1" applyAlignment="1">
      <alignment horizontal="center" vertical="center" wrapText="1"/>
    </xf>
    <xf numFmtId="0" fontId="12" fillId="0" borderId="4" xfId="0" applyFont="1" applyBorder="1" applyAlignment="1">
      <alignment vertical="center" wrapText="1"/>
    </xf>
    <xf numFmtId="0" fontId="3" fillId="0" borderId="5" xfId="0" applyFont="1" applyBorder="1" applyAlignment="1">
      <alignment horizontal="center" vertical="center" wrapText="1"/>
    </xf>
    <xf numFmtId="0" fontId="3" fillId="0" borderId="49" xfId="0" applyFont="1" applyBorder="1" applyAlignment="1">
      <alignment horizontal="center" vertical="center"/>
    </xf>
    <xf numFmtId="0" fontId="3" fillId="0" borderId="50" xfId="0" applyFont="1" applyBorder="1" applyAlignment="1">
      <alignment horizontal="center" vertical="center"/>
    </xf>
    <xf numFmtId="0" fontId="43" fillId="14" borderId="25" xfId="0" applyFont="1" applyFill="1" applyBorder="1" applyAlignment="1">
      <alignment horizontal="center" vertical="center" textRotation="90" wrapText="1"/>
    </xf>
    <xf numFmtId="0" fontId="43" fillId="14" borderId="26" xfId="0" applyFont="1" applyFill="1" applyBorder="1" applyAlignment="1">
      <alignment horizontal="center" vertical="center" textRotation="90" wrapText="1"/>
    </xf>
    <xf numFmtId="0" fontId="24" fillId="8" borderId="7" xfId="0" applyFont="1" applyFill="1" applyBorder="1" applyAlignment="1">
      <alignment horizontal="center" vertical="center" wrapText="1"/>
    </xf>
    <xf numFmtId="0" fontId="10" fillId="0" borderId="7" xfId="0" applyFont="1" applyBorder="1" applyAlignment="1">
      <alignment horizontal="center" vertical="center"/>
    </xf>
    <xf numFmtId="0" fontId="24" fillId="8" borderId="3" xfId="0" applyFont="1" applyFill="1" applyBorder="1" applyAlignment="1">
      <alignment horizontal="center" vertical="center"/>
    </xf>
    <xf numFmtId="0" fontId="28" fillId="14" borderId="53" xfId="0" applyFont="1" applyFill="1" applyBorder="1" applyAlignment="1">
      <alignment horizontal="center" vertical="center" wrapText="1"/>
    </xf>
    <xf numFmtId="0" fontId="24" fillId="11" borderId="54" xfId="0" applyFont="1" applyFill="1" applyBorder="1" applyAlignment="1">
      <alignment horizontal="center" vertical="center" textRotation="90"/>
    </xf>
    <xf numFmtId="0" fontId="24" fillId="11" borderId="55" xfId="0" applyFont="1" applyFill="1" applyBorder="1" applyAlignment="1">
      <alignment horizontal="center" vertical="center" textRotation="90"/>
    </xf>
    <xf numFmtId="0" fontId="24" fillId="11" borderId="56" xfId="0" applyFont="1" applyFill="1" applyBorder="1" applyAlignment="1">
      <alignment horizontal="center" vertical="center" wrapText="1"/>
    </xf>
    <xf numFmtId="0" fontId="28" fillId="14" borderId="6" xfId="0" applyFont="1" applyFill="1" applyBorder="1" applyAlignment="1">
      <alignment horizontal="center" vertical="center" textRotation="90" wrapText="1"/>
    </xf>
    <xf numFmtId="0" fontId="28" fillId="14" borderId="7" xfId="0" applyFont="1" applyFill="1" applyBorder="1" applyAlignment="1">
      <alignment horizontal="center" vertical="center" wrapText="1"/>
    </xf>
    <xf numFmtId="0" fontId="37" fillId="0" borderId="6" xfId="0" applyFont="1" applyBorder="1" applyAlignment="1">
      <alignment horizontal="center" vertical="center"/>
    </xf>
    <xf numFmtId="0" fontId="40" fillId="0" borderId="8" xfId="0" applyFont="1" applyBorder="1" applyAlignment="1">
      <alignment vertical="center"/>
    </xf>
    <xf numFmtId="0" fontId="28" fillId="12" borderId="6" xfId="0" applyFont="1" applyFill="1" applyBorder="1" applyAlignment="1">
      <alignment horizontal="center" vertical="center" textRotation="90" wrapText="1"/>
    </xf>
    <xf numFmtId="0" fontId="28" fillId="12" borderId="7" xfId="0" applyFont="1" applyFill="1" applyBorder="1" applyAlignment="1">
      <alignment horizontal="center" vertical="center" wrapText="1"/>
    </xf>
    <xf numFmtId="0" fontId="4" fillId="0" borderId="4" xfId="0" applyFont="1" applyBorder="1" applyAlignment="1">
      <alignment vertical="center" wrapText="1"/>
    </xf>
    <xf numFmtId="0" fontId="19" fillId="0" borderId="4" xfId="0" applyFont="1" applyBorder="1" applyAlignment="1">
      <alignment horizontal="center" vertical="center"/>
    </xf>
    <xf numFmtId="0" fontId="4" fillId="0" borderId="0" xfId="0" applyFont="1" applyAlignment="1">
      <alignment vertical="center"/>
    </xf>
    <xf numFmtId="0" fontId="19" fillId="0" borderId="10" xfId="0" applyFont="1" applyBorder="1" applyAlignment="1">
      <alignment horizontal="center" vertical="center"/>
    </xf>
    <xf numFmtId="0" fontId="10" fillId="0" borderId="10" xfId="0" applyFont="1" applyBorder="1" applyAlignment="1">
      <alignment vertical="center"/>
    </xf>
    <xf numFmtId="0" fontId="5" fillId="0" borderId="50" xfId="0" applyFont="1" applyBorder="1" applyAlignment="1">
      <alignment horizontal="center" vertical="center"/>
    </xf>
    <xf numFmtId="0" fontId="10" fillId="0" borderId="5" xfId="0" applyFont="1" applyBorder="1" applyAlignment="1">
      <alignment horizontal="center" vertical="center" wrapText="1"/>
    </xf>
    <xf numFmtId="0" fontId="16" fillId="11" borderId="7" xfId="0" applyFont="1" applyFill="1" applyBorder="1" applyAlignment="1">
      <alignment horizontal="center" vertical="center" wrapText="1"/>
    </xf>
    <xf numFmtId="0" fontId="10" fillId="0" borderId="8" xfId="0" applyFont="1" applyBorder="1" applyAlignment="1">
      <alignment horizontal="center" vertical="center"/>
    </xf>
    <xf numFmtId="0" fontId="3" fillId="0" borderId="57" xfId="0" applyFont="1" applyBorder="1" applyAlignment="1">
      <alignment vertical="center" wrapText="1"/>
    </xf>
    <xf numFmtId="0" fontId="3" fillId="0" borderId="58" xfId="0" applyFont="1" applyBorder="1" applyAlignment="1">
      <alignment horizontal="center" vertical="center" wrapText="1"/>
    </xf>
    <xf numFmtId="0" fontId="3" fillId="0" borderId="59" xfId="0" applyFont="1" applyBorder="1" applyAlignment="1">
      <alignment horizontal="center" vertical="center" wrapText="1"/>
    </xf>
    <xf numFmtId="0" fontId="40" fillId="0" borderId="41" xfId="0" applyFont="1" applyBorder="1" applyAlignment="1">
      <alignment horizontal="center" vertical="center"/>
    </xf>
    <xf numFmtId="0" fontId="40" fillId="0" borderId="60" xfId="0" applyFont="1" applyBorder="1" applyAlignment="1">
      <alignment horizontal="center" vertical="center"/>
    </xf>
    <xf numFmtId="0" fontId="40" fillId="0" borderId="57" xfId="0" applyFont="1" applyBorder="1" applyAlignment="1">
      <alignment vertical="center" wrapText="1"/>
    </xf>
    <xf numFmtId="0" fontId="10" fillId="0" borderId="57" xfId="0" applyFont="1" applyBorder="1" applyAlignment="1">
      <alignment vertical="center" wrapText="1"/>
    </xf>
    <xf numFmtId="0" fontId="4" fillId="0" borderId="57" xfId="0" applyFont="1" applyBorder="1" applyAlignment="1">
      <alignment vertical="center" wrapText="1"/>
    </xf>
    <xf numFmtId="0" fontId="3" fillId="0" borderId="5" xfId="0" applyFont="1" applyBorder="1" applyAlignment="1">
      <alignment vertical="center" wrapText="1"/>
    </xf>
    <xf numFmtId="0" fontId="10" fillId="0" borderId="41" xfId="0" applyFont="1" applyBorder="1" applyAlignment="1">
      <alignment horizontal="center" vertical="center"/>
    </xf>
    <xf numFmtId="0" fontId="19" fillId="0" borderId="5" xfId="0" applyFont="1" applyBorder="1" applyAlignment="1">
      <alignment vertical="center"/>
    </xf>
    <xf numFmtId="0" fontId="23" fillId="16" borderId="4" xfId="0" applyFont="1" applyFill="1" applyBorder="1" applyAlignment="1">
      <alignment horizontal="center" vertical="center"/>
    </xf>
    <xf numFmtId="0" fontId="10" fillId="16" borderId="4" xfId="0" applyFont="1" applyFill="1" applyBorder="1" applyAlignment="1">
      <alignment horizontal="center" vertical="center"/>
    </xf>
    <xf numFmtId="0" fontId="10" fillId="0" borderId="61" xfId="0" applyFont="1" applyBorder="1" applyAlignment="1">
      <alignment vertical="center" wrapText="1"/>
    </xf>
    <xf numFmtId="0" fontId="4" fillId="0" borderId="61" xfId="0" applyFont="1" applyBorder="1" applyAlignment="1">
      <alignment vertical="center" wrapText="1"/>
    </xf>
    <xf numFmtId="0" fontId="19" fillId="0" borderId="20" xfId="0" applyFont="1" applyBorder="1" applyAlignment="1">
      <alignment vertical="center"/>
    </xf>
    <xf numFmtId="0" fontId="10" fillId="0" borderId="20" xfId="0" applyFont="1" applyBorder="1" applyAlignment="1">
      <alignment vertical="center"/>
    </xf>
    <xf numFmtId="0" fontId="10" fillId="0" borderId="20" xfId="0" applyFont="1" applyBorder="1" applyAlignment="1">
      <alignment vertical="center" wrapText="1"/>
    </xf>
    <xf numFmtId="0" fontId="10" fillId="0" borderId="19" xfId="0" applyFont="1" applyBorder="1" applyAlignment="1">
      <alignment horizontal="center" vertical="center"/>
    </xf>
    <xf numFmtId="0" fontId="32" fillId="0" borderId="14" xfId="2" applyFont="1" applyBorder="1">
      <alignment vertical="center" wrapText="1"/>
    </xf>
    <xf numFmtId="0" fontId="3" fillId="0" borderId="6" xfId="0" applyFont="1" applyBorder="1" applyAlignment="1">
      <alignment horizontal="center" vertical="center"/>
    </xf>
    <xf numFmtId="0" fontId="7" fillId="0" borderId="11" xfId="0" applyFont="1" applyBorder="1" applyAlignment="1">
      <alignment horizontal="left" vertical="center" wrapText="1"/>
    </xf>
    <xf numFmtId="0" fontId="16" fillId="6" borderId="11" xfId="0" applyFont="1" applyFill="1" applyBorder="1" applyAlignment="1">
      <alignment horizontal="center" vertical="center" wrapText="1"/>
    </xf>
    <xf numFmtId="0" fontId="12" fillId="0" borderId="11" xfId="0" applyFont="1" applyBorder="1" applyAlignment="1">
      <alignment horizontal="left" vertical="center" wrapText="1"/>
    </xf>
    <xf numFmtId="0" fontId="0" fillId="0" borderId="10" xfId="0" applyBorder="1" applyAlignment="1">
      <alignment horizontal="center"/>
    </xf>
    <xf numFmtId="14" fontId="4" fillId="0" borderId="11" xfId="0" applyNumberFormat="1" applyFont="1" applyBorder="1" applyAlignment="1">
      <alignment horizontal="left" vertical="center" wrapText="1"/>
    </xf>
    <xf numFmtId="164" fontId="12" fillId="0" borderId="11" xfId="0" applyNumberFormat="1" applyFont="1" applyBorder="1" applyAlignment="1">
      <alignment horizontal="left" vertical="center" wrapText="1"/>
    </xf>
    <xf numFmtId="0" fontId="18" fillId="6" borderId="18" xfId="1" applyFont="1" applyFill="1" applyBorder="1" applyAlignment="1">
      <alignment horizontal="center" vertical="center"/>
    </xf>
    <xf numFmtId="0" fontId="2" fillId="0" borderId="10" xfId="1" applyAlignment="1">
      <alignment horizontal="center"/>
    </xf>
    <xf numFmtId="0" fontId="36" fillId="14" borderId="21" xfId="0" applyFont="1" applyFill="1" applyBorder="1" applyAlignment="1">
      <alignment horizontal="center" vertical="center"/>
    </xf>
    <xf numFmtId="0" fontId="34" fillId="9" borderId="51" xfId="0" applyFont="1" applyFill="1" applyBorder="1" applyAlignment="1">
      <alignment horizontal="center" vertical="center"/>
    </xf>
    <xf numFmtId="0" fontId="4" fillId="0" borderId="28" xfId="0" applyFont="1" applyBorder="1" applyAlignment="1">
      <alignment horizontal="center"/>
    </xf>
    <xf numFmtId="0" fontId="3" fillId="0" borderId="1" xfId="0" applyFont="1" applyBorder="1" applyAlignment="1">
      <alignment horizontal="center"/>
    </xf>
    <xf numFmtId="0" fontId="5" fillId="0" borderId="5" xfId="0" applyFont="1" applyBorder="1" applyAlignment="1">
      <alignment horizontal="center" vertical="center"/>
    </xf>
    <xf numFmtId="0" fontId="5" fillId="0" borderId="3" xfId="0" applyFont="1" applyBorder="1" applyAlignment="1">
      <alignment horizontal="center" vertical="center"/>
    </xf>
    <xf numFmtId="0" fontId="34" fillId="9" borderId="52" xfId="0" applyFont="1" applyFill="1" applyBorder="1" applyAlignment="1">
      <alignment horizontal="center" vertical="center"/>
    </xf>
    <xf numFmtId="0" fontId="36" fillId="14" borderId="52" xfId="0" applyFont="1" applyFill="1" applyBorder="1" applyAlignment="1">
      <alignment horizontal="center" vertical="center"/>
    </xf>
    <xf numFmtId="0" fontId="4" fillId="0" borderId="22" xfId="0" applyFont="1" applyBorder="1" applyAlignment="1">
      <alignment horizontal="center"/>
    </xf>
    <xf numFmtId="0" fontId="5" fillId="0" borderId="29" xfId="0" applyFont="1" applyBorder="1" applyAlignment="1">
      <alignment horizontal="center" vertical="center"/>
    </xf>
    <xf numFmtId="0" fontId="0" fillId="0" borderId="22" xfId="0" applyBorder="1" applyAlignment="1">
      <alignment horizontal="left" vertical="center"/>
    </xf>
    <xf numFmtId="0" fontId="5" fillId="0" borderId="22" xfId="0" applyFont="1" applyBorder="1" applyAlignment="1">
      <alignment horizontal="center" vertical="center"/>
    </xf>
    <xf numFmtId="0" fontId="5" fillId="0" borderId="48" xfId="0" applyFont="1" applyBorder="1" applyAlignment="1">
      <alignment horizontal="center" vertical="center"/>
    </xf>
    <xf numFmtId="0" fontId="36" fillId="14" borderId="6" xfId="0" applyFont="1" applyFill="1" applyBorder="1" applyAlignment="1">
      <alignment horizontal="center" vertical="center"/>
    </xf>
    <xf numFmtId="0" fontId="34" fillId="9" borderId="6" xfId="0" applyFont="1" applyFill="1" applyBorder="1" applyAlignment="1">
      <alignment horizontal="center" vertical="center"/>
    </xf>
    <xf numFmtId="0" fontId="3" fillId="0" borderId="10" xfId="0" applyFont="1" applyBorder="1" applyAlignment="1">
      <alignment horizontal="center"/>
    </xf>
    <xf numFmtId="0" fontId="0" fillId="0" borderId="29" xfId="0" applyBorder="1" applyAlignment="1">
      <alignment horizontal="left" vertical="center"/>
    </xf>
    <xf numFmtId="0" fontId="5" fillId="0" borderId="47"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46" xfId="0" applyFont="1" applyBorder="1" applyAlignment="1">
      <alignment horizontal="center" vertical="center" wrapText="1"/>
    </xf>
    <xf numFmtId="0" fontId="3" fillId="0" borderId="5" xfId="0" applyFont="1" applyBorder="1" applyAlignment="1">
      <alignment horizontal="center"/>
    </xf>
    <xf numFmtId="0" fontId="3" fillId="0" borderId="3" xfId="0" applyFont="1" applyBorder="1" applyAlignment="1">
      <alignment horizontal="center"/>
    </xf>
    <xf numFmtId="0" fontId="5" fillId="0" borderId="47" xfId="0" applyFont="1" applyBorder="1" applyAlignment="1">
      <alignment horizontal="center" vertical="center"/>
    </xf>
    <xf numFmtId="0" fontId="5" fillId="0" borderId="10" xfId="0" applyFont="1" applyBorder="1" applyAlignment="1">
      <alignment horizontal="center" vertical="center"/>
    </xf>
    <xf numFmtId="0" fontId="36" fillId="12" borderId="6" xfId="0" applyFont="1" applyFill="1" applyBorder="1" applyAlignment="1">
      <alignment horizontal="center" vertical="center"/>
    </xf>
    <xf numFmtId="0" fontId="5" fillId="0" borderId="8" xfId="0" applyFont="1"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36" fillId="14" borderId="34" xfId="0" applyFont="1" applyFill="1" applyBorder="1" applyAlignment="1">
      <alignment horizontal="center" vertical="center"/>
    </xf>
    <xf numFmtId="0" fontId="34" fillId="9" borderId="31" xfId="0" applyFont="1" applyFill="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34" fillId="9" borderId="40" xfId="0" applyFont="1" applyFill="1" applyBorder="1" applyAlignment="1">
      <alignment horizontal="center" vertical="center"/>
    </xf>
    <xf numFmtId="0" fontId="0" fillId="0" borderId="1" xfId="0" applyBorder="1" applyAlignment="1">
      <alignment horizontal="center" vertical="center" wrapText="1"/>
    </xf>
    <xf numFmtId="0" fontId="0" fillId="0" borderId="5" xfId="0" applyBorder="1" applyAlignment="1">
      <alignment horizontal="left" vertical="center"/>
    </xf>
    <xf numFmtId="0" fontId="5" fillId="0" borderId="2" xfId="0" applyFont="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5" fillId="0" borderId="19"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11" fillId="0" borderId="9" xfId="0" applyFont="1" applyBorder="1" applyAlignment="1">
      <alignment vertical="center"/>
    </xf>
    <xf numFmtId="0" fontId="4" fillId="0" borderId="11" xfId="0" applyFont="1" applyBorder="1" applyAlignment="1"/>
    <xf numFmtId="0" fontId="17" fillId="6" borderId="11" xfId="0" applyFont="1" applyFill="1" applyBorder="1" applyAlignment="1"/>
    <xf numFmtId="0" fontId="4" fillId="0" borderId="2" xfId="0" applyFont="1" applyBorder="1" applyAlignment="1"/>
    <xf numFmtId="0" fontId="4" fillId="0" borderId="3" xfId="0" applyFont="1" applyBorder="1" applyAlignment="1"/>
    <xf numFmtId="0" fontId="4" fillId="0" borderId="28" xfId="0" applyFont="1" applyBorder="1" applyAlignment="1"/>
    <xf numFmtId="0" fontId="35" fillId="10" borderId="21" xfId="0" applyFont="1" applyFill="1" applyBorder="1" applyAlignment="1"/>
    <xf numFmtId="0" fontId="27" fillId="7" borderId="21" xfId="0" applyFont="1" applyFill="1" applyBorder="1" applyAlignment="1"/>
    <xf numFmtId="0" fontId="4" fillId="0" borderId="8" xfId="0" applyFont="1" applyBorder="1" applyAlignment="1"/>
    <xf numFmtId="0" fontId="35" fillId="10" borderId="52" xfId="0" applyFont="1" applyFill="1" applyBorder="1" applyAlignment="1"/>
    <xf numFmtId="0" fontId="27" fillId="7" borderId="52" xfId="0" applyFont="1" applyFill="1" applyBorder="1" applyAlignment="1"/>
    <xf numFmtId="0" fontId="4" fillId="0" borderId="48" xfId="0" applyFont="1" applyBorder="1" applyAlignment="1"/>
    <xf numFmtId="0" fontId="4" fillId="0" borderId="22" xfId="0" applyFont="1" applyBorder="1" applyAlignment="1"/>
    <xf numFmtId="0" fontId="35" fillId="10" borderId="4" xfId="0" applyFont="1" applyFill="1" applyBorder="1" applyAlignment="1"/>
    <xf numFmtId="0" fontId="35" fillId="10" borderId="7" xfId="0" applyFont="1" applyFill="1" applyBorder="1" applyAlignment="1"/>
    <xf numFmtId="0" fontId="27" fillId="7" borderId="4" xfId="0" applyFont="1" applyFill="1" applyBorder="1" applyAlignment="1"/>
    <xf numFmtId="0" fontId="27" fillId="7" borderId="7" xfId="0" applyFont="1" applyFill="1" applyBorder="1" applyAlignment="1"/>
    <xf numFmtId="0" fontId="4" fillId="0" borderId="46" xfId="0" applyFont="1" applyBorder="1" applyAlignment="1"/>
    <xf numFmtId="0" fontId="27" fillId="13" borderId="4" xfId="0" applyFont="1" applyFill="1" applyBorder="1" applyAlignment="1"/>
    <xf numFmtId="0" fontId="27" fillId="13" borderId="7" xfId="0" applyFont="1" applyFill="1" applyBorder="1" applyAlignment="1"/>
    <xf numFmtId="0" fontId="35" fillId="10" borderId="30" xfId="0" applyFont="1" applyFill="1" applyBorder="1" applyAlignment="1"/>
    <xf numFmtId="0" fontId="35" fillId="10" borderId="33" xfId="0" applyFont="1" applyFill="1" applyBorder="1" applyAlignment="1"/>
    <xf numFmtId="0" fontId="27" fillId="7" borderId="35" xfId="0" applyFont="1" applyFill="1" applyBorder="1" applyAlignment="1"/>
    <xf numFmtId="0" fontId="27" fillId="7" borderId="36" xfId="0" applyFont="1" applyFill="1" applyBorder="1" applyAlignment="1"/>
    <xf numFmtId="0" fontId="35" fillId="10" borderId="39" xfId="0" applyFont="1" applyFill="1" applyBorder="1" applyAlignment="1"/>
    <xf numFmtId="0" fontId="0" fillId="0" borderId="9" xfId="0" applyBorder="1" applyAlignment="1"/>
    <xf numFmtId="0" fontId="4" fillId="0" borderId="9" xfId="0" applyFont="1" applyBorder="1" applyAlignment="1"/>
  </cellXfs>
  <cellStyles count="5">
    <cellStyle name="Normal" xfId="0" builtinId="0"/>
    <cellStyle name="Normal 2" xfId="1" xr:uid="{5702FA3C-C939-443F-ACCC-56C53ED40912}"/>
    <cellStyle name="Normal 2 2" xfId="2" xr:uid="{7F202A87-22DD-4294-BDD1-A154B77B860B}"/>
    <cellStyle name="Normal 2 3" xfId="4" xr:uid="{2D05781F-BC7B-4EB7-875A-44C1E5E234AB}"/>
    <cellStyle name="Normal 3" xfId="3" xr:uid="{D0D5CDBC-7945-41DE-9A83-E0304711A1A6}"/>
  </cellStyles>
  <dxfs count="33">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
      <font>
        <b/>
        <i val="0"/>
        <strike val="0"/>
        <color theme="5" tint="-0.499984740745262"/>
      </font>
      <fill>
        <patternFill>
          <bgColor theme="7" tint="0.59996337778862885"/>
        </patternFill>
      </fill>
    </dxf>
    <dxf>
      <font>
        <b/>
        <i val="0"/>
        <strike val="0"/>
        <color theme="9" tint="-0.499984740745262"/>
      </font>
      <fill>
        <patternFill>
          <bgColor theme="9" tint="0.59996337778862885"/>
        </patternFill>
      </fill>
    </dxf>
    <dxf>
      <font>
        <b/>
        <i val="0"/>
        <strike val="0"/>
        <color rgb="FFC00000"/>
      </font>
      <fill>
        <patternFill>
          <bgColor rgb="FFFF7C80"/>
        </patternFill>
      </fill>
    </dxf>
  </dxfs>
  <tableStyles count="0" defaultTableStyle="TableStyleMedium2" defaultPivotStyle="PivotStyleLight16"/>
  <colors>
    <mruColors>
      <color rgb="FF00518E"/>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56727</xdr:colOff>
      <xdr:row>0</xdr:row>
      <xdr:rowOff>234738</xdr:rowOff>
    </xdr:from>
    <xdr:to>
      <xdr:col>2</xdr:col>
      <xdr:colOff>281868</xdr:colOff>
      <xdr:row>0</xdr:row>
      <xdr:rowOff>783167</xdr:rowOff>
    </xdr:to>
    <xdr:pic>
      <xdr:nvPicPr>
        <xdr:cNvPr id="2" name="Imatge 1" descr="Imatge que conté Gràfics, Font, disseny gràfic, logotip&#10;&#10;Pot ser que el contingut generat per IA no sigui correcte.">
          <a:extLst>
            <a:ext uri="{FF2B5EF4-FFF2-40B4-BE49-F238E27FC236}">
              <a16:creationId xmlns:a16="http://schemas.microsoft.com/office/drawing/2014/main" id="{5AD54E8D-82FB-B2FF-C68C-46A6749938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477" y="234738"/>
          <a:ext cx="1336391" cy="548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933450</xdr:rowOff>
    </xdr:from>
    <xdr:ext cx="7038975" cy="38100"/>
    <xdr:grpSp>
      <xdr:nvGrpSpPr>
        <xdr:cNvPr id="2" name="Shape 2">
          <a:extLst>
            <a:ext uri="{FF2B5EF4-FFF2-40B4-BE49-F238E27FC236}">
              <a16:creationId xmlns:a16="http://schemas.microsoft.com/office/drawing/2014/main" id="{00000000-0008-0000-0F00-000002000000}"/>
            </a:ext>
          </a:extLst>
        </xdr:cNvPr>
        <xdr:cNvGrpSpPr/>
      </xdr:nvGrpSpPr>
      <xdr:grpSpPr>
        <a:xfrm>
          <a:off x="0" y="933450"/>
          <a:ext cx="7038975" cy="38100"/>
          <a:chOff x="1826513" y="3780000"/>
          <a:chExt cx="7038975" cy="0"/>
        </a:xfrm>
      </xdr:grpSpPr>
      <xdr:cxnSp macro="">
        <xdr:nvCxnSpPr>
          <xdr:cNvPr id="3" name="Shape 3">
            <a:extLst>
              <a:ext uri="{FF2B5EF4-FFF2-40B4-BE49-F238E27FC236}">
                <a16:creationId xmlns:a16="http://schemas.microsoft.com/office/drawing/2014/main" id="{00000000-0008-0000-0F00-000003000000}"/>
              </a:ext>
            </a:extLst>
          </xdr:cNvPr>
          <xdr:cNvCxnSpPr/>
        </xdr:nvCxnSpPr>
        <xdr:spPr>
          <a:xfrm>
            <a:off x="1826513" y="3780000"/>
            <a:ext cx="7038975" cy="0"/>
          </a:xfrm>
          <a:prstGeom prst="straightConnector1">
            <a:avLst/>
          </a:prstGeom>
          <a:noFill/>
          <a:ln w="19050" cap="flat" cmpd="sng">
            <a:solidFill>
              <a:srgbClr val="008000"/>
            </a:solidFill>
            <a:prstDash val="solid"/>
            <a:round/>
            <a:headEnd type="none" w="med" len="med"/>
            <a:tailEnd type="none" w="med" len="med"/>
          </a:ln>
        </xdr:spPr>
      </xdr:cxnSp>
    </xdr:grpSp>
    <xdr:clientData fLocksWithSheet="0"/>
  </xdr:oneCellAnchor>
  <xdr:oneCellAnchor>
    <xdr:from>
      <xdr:col>0</xdr:col>
      <xdr:colOff>0</xdr:colOff>
      <xdr:row>0</xdr:row>
      <xdr:rowOff>933450</xdr:rowOff>
    </xdr:from>
    <xdr:ext cx="7648575" cy="38100"/>
    <xdr:grpSp>
      <xdr:nvGrpSpPr>
        <xdr:cNvPr id="4" name="Shape 2">
          <a:extLst>
            <a:ext uri="{FF2B5EF4-FFF2-40B4-BE49-F238E27FC236}">
              <a16:creationId xmlns:a16="http://schemas.microsoft.com/office/drawing/2014/main" id="{00000000-0008-0000-0F00-000004000000}"/>
            </a:ext>
          </a:extLst>
        </xdr:cNvPr>
        <xdr:cNvGrpSpPr/>
      </xdr:nvGrpSpPr>
      <xdr:grpSpPr>
        <a:xfrm>
          <a:off x="0" y="933450"/>
          <a:ext cx="7648575" cy="38100"/>
          <a:chOff x="1521713" y="3780000"/>
          <a:chExt cx="7648575" cy="0"/>
        </a:xfrm>
      </xdr:grpSpPr>
      <xdr:cxnSp macro="">
        <xdr:nvCxnSpPr>
          <xdr:cNvPr id="5" name="Shape 4">
            <a:extLst>
              <a:ext uri="{FF2B5EF4-FFF2-40B4-BE49-F238E27FC236}">
                <a16:creationId xmlns:a16="http://schemas.microsoft.com/office/drawing/2014/main" id="{00000000-0008-0000-0F00-000005000000}"/>
              </a:ext>
            </a:extLst>
          </xdr:cNvPr>
          <xdr:cNvCxnSpPr/>
        </xdr:nvCxnSpPr>
        <xdr:spPr>
          <a:xfrm>
            <a:off x="1521713" y="3780000"/>
            <a:ext cx="7648575" cy="0"/>
          </a:xfrm>
          <a:prstGeom prst="straightConnector1">
            <a:avLst/>
          </a:prstGeom>
          <a:noFill/>
          <a:ln w="19050" cap="flat" cmpd="sng">
            <a:solidFill>
              <a:srgbClr val="008000"/>
            </a:solidFill>
            <a:prstDash val="solid"/>
            <a:round/>
            <a:headEnd type="none" w="med" len="med"/>
            <a:tailEnd type="none" w="med" len="med"/>
          </a:ln>
        </xdr:spPr>
      </xdr:cxnSp>
    </xdr:grpSp>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991"/>
  <sheetViews>
    <sheetView zoomScale="90" zoomScaleNormal="90" workbookViewId="0">
      <selection activeCell="B9" sqref="B9:D9"/>
    </sheetView>
  </sheetViews>
  <sheetFormatPr defaultColWidth="14.28515625" defaultRowHeight="15" customHeight="1"/>
  <cols>
    <col min="1" max="1" width="4.28515625" customWidth="1"/>
    <col min="2" max="2" width="16.28515625" customWidth="1"/>
    <col min="3" max="3" width="20.28515625" customWidth="1"/>
    <col min="4" max="4" width="63.140625" customWidth="1"/>
    <col min="5" max="8" width="10.7109375" customWidth="1"/>
    <col min="9" max="9" width="10.7109375" hidden="1" customWidth="1"/>
    <col min="10" max="26" width="10.7109375" customWidth="1"/>
  </cols>
  <sheetData>
    <row r="1" spans="1:9" ht="78.599999999999994" customHeight="1">
      <c r="A1" s="202"/>
      <c r="B1" s="202"/>
      <c r="C1" s="202"/>
      <c r="D1" s="202"/>
    </row>
    <row r="2" spans="1:9" ht="20.25" customHeight="1">
      <c r="B2" s="91" t="s">
        <v>0</v>
      </c>
      <c r="C2" s="201" t="s">
        <v>1</v>
      </c>
      <c r="D2" s="251"/>
    </row>
    <row r="3" spans="1:9" ht="20.25" customHeight="1">
      <c r="B3" s="91" t="s">
        <v>2</v>
      </c>
      <c r="C3" s="203">
        <v>45855</v>
      </c>
      <c r="D3" s="251"/>
    </row>
    <row r="4" spans="1:9" ht="20.25" customHeight="1">
      <c r="B4" s="91" t="s">
        <v>3</v>
      </c>
      <c r="C4" s="201" t="s">
        <v>4</v>
      </c>
      <c r="D4" s="251"/>
    </row>
    <row r="5" spans="1:9" ht="20.25" customHeight="1">
      <c r="B5" s="91" t="s">
        <v>5</v>
      </c>
      <c r="C5" s="204" t="s">
        <v>6</v>
      </c>
      <c r="D5" s="251"/>
    </row>
    <row r="6" spans="1:9" ht="20.25" customHeight="1">
      <c r="B6" s="91" t="s">
        <v>7</v>
      </c>
      <c r="C6" s="199" t="s">
        <v>8</v>
      </c>
      <c r="D6" s="251"/>
    </row>
    <row r="7" spans="1:9" ht="46.15" customHeight="1">
      <c r="A7" s="31"/>
      <c r="B7" s="92" t="s">
        <v>9</v>
      </c>
      <c r="C7" s="201" t="s">
        <v>10</v>
      </c>
      <c r="D7" s="251"/>
      <c r="I7">
        <v>24</v>
      </c>
    </row>
    <row r="8" spans="1:9" ht="20.25" customHeight="1">
      <c r="B8" s="18"/>
      <c r="C8" s="18"/>
      <c r="D8" s="18"/>
    </row>
    <row r="9" spans="1:9" ht="20.25" customHeight="1">
      <c r="B9" s="200" t="s">
        <v>11</v>
      </c>
      <c r="C9" s="252"/>
      <c r="D9" s="252"/>
    </row>
    <row r="10" spans="1:9" ht="20.25" customHeight="1">
      <c r="B10" s="93" t="s">
        <v>12</v>
      </c>
      <c r="C10" s="93" t="s">
        <v>2</v>
      </c>
      <c r="D10" s="93" t="s">
        <v>13</v>
      </c>
    </row>
    <row r="11" spans="1:9" ht="22.15" customHeight="1">
      <c r="B11" s="140">
        <v>1</v>
      </c>
      <c r="C11" s="141">
        <v>45855</v>
      </c>
      <c r="D11" s="20" t="s">
        <v>14</v>
      </c>
    </row>
    <row r="12" spans="1:9" ht="22.15" customHeight="1">
      <c r="B12" s="48"/>
      <c r="C12" s="19"/>
      <c r="D12" s="17"/>
    </row>
    <row r="13" spans="1:9" ht="22.15" customHeight="1">
      <c r="B13" s="49"/>
      <c r="C13" s="19"/>
      <c r="D13" s="20"/>
      <c r="I13">
        <v>24</v>
      </c>
    </row>
    <row r="14" spans="1:9" ht="22.15" customHeight="1">
      <c r="B14" s="48"/>
      <c r="C14" s="19"/>
      <c r="D14" s="17"/>
    </row>
    <row r="15" spans="1:9" ht="20.25" customHeight="1">
      <c r="B15" s="21"/>
      <c r="C15" s="21"/>
      <c r="D15" s="21"/>
    </row>
    <row r="16" spans="1:9" ht="15.75" customHeight="1"/>
    <row r="17" spans="9:9" ht="15.75" customHeight="1"/>
    <row r="18" spans="9:9" ht="15.75" customHeight="1"/>
    <row r="19" spans="9:9" ht="15.75" customHeight="1"/>
    <row r="20" spans="9:9" ht="15.75" customHeight="1"/>
    <row r="21" spans="9:9" ht="15.75" customHeight="1"/>
    <row r="22" spans="9:9" ht="15.75" customHeight="1"/>
    <row r="23" spans="9:9" ht="15.75" customHeight="1"/>
    <row r="24" spans="9:9" ht="15.75" customHeight="1"/>
    <row r="25" spans="9:9" ht="15.75" customHeight="1">
      <c r="I25">
        <v>24</v>
      </c>
    </row>
    <row r="26" spans="9:9" ht="15.75" customHeight="1">
      <c r="I26">
        <v>24</v>
      </c>
    </row>
    <row r="27" spans="9:9" ht="15.75" customHeight="1">
      <c r="I27">
        <v>24</v>
      </c>
    </row>
    <row r="28" spans="9:9" ht="15.75" customHeight="1">
      <c r="I28">
        <v>24</v>
      </c>
    </row>
    <row r="29" spans="9:9" ht="15.75" customHeight="1">
      <c r="I29">
        <v>24</v>
      </c>
    </row>
    <row r="30" spans="9:9" ht="15.75" customHeight="1">
      <c r="I30">
        <v>24</v>
      </c>
    </row>
    <row r="31" spans="9:9" ht="15.75" customHeight="1"/>
    <row r="32" spans="9:9" ht="15.75" customHeight="1">
      <c r="I32">
        <v>24</v>
      </c>
    </row>
    <row r="33" spans="9:9" ht="15.75" customHeight="1">
      <c r="I33">
        <v>24</v>
      </c>
    </row>
    <row r="34" spans="9:9" ht="15.75" customHeight="1">
      <c r="I34">
        <v>24</v>
      </c>
    </row>
    <row r="35" spans="9:9" ht="15.75" customHeight="1">
      <c r="I35">
        <v>24</v>
      </c>
    </row>
    <row r="36" spans="9:9" ht="15.75" customHeight="1">
      <c r="I36">
        <v>24</v>
      </c>
    </row>
    <row r="37" spans="9:9" ht="15.75" customHeight="1">
      <c r="I37">
        <v>24</v>
      </c>
    </row>
    <row r="38" spans="9:9" ht="15.75" customHeight="1">
      <c r="I38">
        <v>24</v>
      </c>
    </row>
    <row r="39" spans="9:9" ht="15.75" customHeight="1">
      <c r="I39">
        <v>24</v>
      </c>
    </row>
    <row r="40" spans="9:9" ht="15.75" customHeight="1">
      <c r="I40">
        <v>24</v>
      </c>
    </row>
    <row r="41" spans="9:9" ht="15.75" customHeight="1">
      <c r="I41">
        <v>24</v>
      </c>
    </row>
    <row r="42" spans="9:9" ht="15.75" customHeight="1">
      <c r="I42">
        <v>24</v>
      </c>
    </row>
    <row r="43" spans="9:9" ht="15.75" customHeight="1"/>
    <row r="44" spans="9:9" ht="15.75" customHeight="1"/>
    <row r="45" spans="9:9" ht="15.75" customHeight="1"/>
    <row r="46" spans="9:9" ht="15.75" customHeight="1"/>
    <row r="47" spans="9:9" ht="15.75" customHeight="1"/>
    <row r="48" spans="9:9" ht="15.75" customHeight="1">
      <c r="I48">
        <v>24</v>
      </c>
    </row>
    <row r="49" spans="9:9" ht="15.75" customHeight="1">
      <c r="I49">
        <v>24</v>
      </c>
    </row>
    <row r="50" spans="9:9" ht="15.75" customHeight="1">
      <c r="I50">
        <v>24</v>
      </c>
    </row>
    <row r="51" spans="9:9" ht="15.75" customHeight="1">
      <c r="I51">
        <v>24</v>
      </c>
    </row>
    <row r="52" spans="9:9" ht="15.75" customHeight="1">
      <c r="I52">
        <v>24</v>
      </c>
    </row>
    <row r="53" spans="9:9" ht="15.75" customHeight="1"/>
    <row r="54" spans="9:9" ht="15.75" customHeight="1"/>
    <row r="55" spans="9:9" ht="15.75" customHeight="1"/>
    <row r="56" spans="9:9" ht="15.75" customHeight="1"/>
    <row r="57" spans="9:9" ht="15.75" customHeight="1"/>
    <row r="58" spans="9:9" ht="15.75" customHeight="1"/>
    <row r="59" spans="9:9" ht="15.75" customHeight="1"/>
    <row r="60" spans="9:9" ht="15.75" customHeight="1"/>
    <row r="61" spans="9:9" ht="15.75" customHeight="1"/>
    <row r="62" spans="9:9" ht="15.75" customHeight="1"/>
    <row r="63" spans="9:9" ht="15.75" customHeight="1"/>
    <row r="64" spans="9: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8">
    <mergeCell ref="C6:D6"/>
    <mergeCell ref="B9:D9"/>
    <mergeCell ref="C7:D7"/>
    <mergeCell ref="A1:D1"/>
    <mergeCell ref="C2:D2"/>
    <mergeCell ref="C3:D3"/>
    <mergeCell ref="C4:D4"/>
    <mergeCell ref="C5:D5"/>
  </mergeCells>
  <pageMargins left="0.7" right="0.7" top="0.75" bottom="0.75" header="0" footer="0"/>
  <pageSetup paperSize="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494EB-81C8-4C8A-A82F-7F4FDBA77099}">
  <sheetPr>
    <pageSetUpPr fitToPage="1"/>
  </sheetPr>
  <dimension ref="A1:I52"/>
  <sheetViews>
    <sheetView zoomScale="70" zoomScaleNormal="70" workbookViewId="0">
      <selection activeCell="B10" sqref="B10"/>
    </sheetView>
  </sheetViews>
  <sheetFormatPr defaultColWidth="11.28515625" defaultRowHeight="14.45"/>
  <cols>
    <col min="1" max="1" width="28" style="22" customWidth="1"/>
    <col min="2" max="2" width="168.140625" style="22" customWidth="1"/>
    <col min="3" max="8" width="11.28515625" style="22"/>
    <col min="9" max="9" width="0" style="22" hidden="1" customWidth="1"/>
    <col min="10" max="16384" width="11.28515625" style="22"/>
  </cols>
  <sheetData>
    <row r="1" spans="1:9" ht="67.900000000000006" customHeight="1">
      <c r="A1" s="206"/>
      <c r="B1" s="206"/>
    </row>
    <row r="2" spans="1:9" ht="27.75" customHeight="1" thickBot="1">
      <c r="A2" s="205" t="s">
        <v>15</v>
      </c>
      <c r="B2" s="205"/>
    </row>
    <row r="3" spans="1:9" ht="24.75" customHeight="1">
      <c r="A3" s="97" t="s">
        <v>16</v>
      </c>
      <c r="B3" s="98" t="s">
        <v>17</v>
      </c>
    </row>
    <row r="4" spans="1:9" ht="39.75" customHeight="1">
      <c r="A4" s="94" t="s">
        <v>18</v>
      </c>
      <c r="B4" s="28" t="s">
        <v>19</v>
      </c>
    </row>
    <row r="5" spans="1:9" ht="57.4" customHeight="1">
      <c r="A5" s="94" t="s">
        <v>20</v>
      </c>
      <c r="B5" s="28" t="s">
        <v>21</v>
      </c>
    </row>
    <row r="6" spans="1:9" ht="45" hidden="1" customHeight="1">
      <c r="A6" s="94" t="s">
        <v>22</v>
      </c>
      <c r="B6" s="28" t="s">
        <v>23</v>
      </c>
    </row>
    <row r="7" spans="1:9" ht="41.25" customHeight="1">
      <c r="A7" s="94" t="s">
        <v>24</v>
      </c>
      <c r="B7" s="28" t="s">
        <v>25</v>
      </c>
      <c r="I7" s="22">
        <v>24</v>
      </c>
    </row>
    <row r="8" spans="1:9" ht="50.25" customHeight="1">
      <c r="A8" s="94" t="s">
        <v>26</v>
      </c>
      <c r="B8" s="28" t="s">
        <v>27</v>
      </c>
    </row>
    <row r="9" spans="1:9" ht="50.25" customHeight="1">
      <c r="A9" s="94" t="s">
        <v>28</v>
      </c>
      <c r="B9" s="28" t="s">
        <v>29</v>
      </c>
    </row>
    <row r="10" spans="1:9" ht="25.5" customHeight="1">
      <c r="A10" s="94" t="s">
        <v>30</v>
      </c>
      <c r="B10" s="28" t="s">
        <v>31</v>
      </c>
    </row>
    <row r="11" spans="1:9" ht="24.75" customHeight="1">
      <c r="A11" s="94" t="s">
        <v>32</v>
      </c>
      <c r="B11" s="28" t="s">
        <v>33</v>
      </c>
    </row>
    <row r="12" spans="1:9" ht="56.25" customHeight="1">
      <c r="A12" s="94" t="s">
        <v>34</v>
      </c>
      <c r="B12" s="28" t="s">
        <v>35</v>
      </c>
    </row>
    <row r="13" spans="1:9" ht="64.150000000000006" customHeight="1">
      <c r="A13" s="94" t="s">
        <v>36</v>
      </c>
      <c r="B13" s="28" t="s">
        <v>37</v>
      </c>
      <c r="I13" s="22">
        <v>24</v>
      </c>
    </row>
    <row r="14" spans="1:9" ht="61.15" customHeight="1">
      <c r="A14" s="94" t="s">
        <v>38</v>
      </c>
      <c r="B14" s="28" t="s">
        <v>39</v>
      </c>
    </row>
    <row r="15" spans="1:9" ht="55.5" customHeight="1">
      <c r="A15" s="94" t="s">
        <v>40</v>
      </c>
      <c r="B15" s="28" t="s">
        <v>41</v>
      </c>
    </row>
    <row r="16" spans="1:9" ht="234.75" customHeight="1">
      <c r="A16" s="95" t="s">
        <v>42</v>
      </c>
      <c r="B16" s="197" t="s">
        <v>43</v>
      </c>
    </row>
    <row r="17" spans="1:9" ht="41.25" customHeight="1" thickBot="1">
      <c r="A17" s="96" t="s">
        <v>44</v>
      </c>
      <c r="B17" s="27" t="s">
        <v>45</v>
      </c>
    </row>
    <row r="18" spans="1:9">
      <c r="A18" s="26"/>
      <c r="B18" s="25"/>
    </row>
    <row r="19" spans="1:9" ht="51.75" customHeight="1">
      <c r="A19" s="26"/>
      <c r="B19" s="25" t="s">
        <v>46</v>
      </c>
    </row>
    <row r="20" spans="1:9">
      <c r="A20" s="26"/>
      <c r="B20" s="25"/>
    </row>
    <row r="21" spans="1:9" ht="24" customHeight="1">
      <c r="A21" s="26"/>
      <c r="B21" s="25" t="s">
        <v>47</v>
      </c>
    </row>
    <row r="22" spans="1:9">
      <c r="A22" s="24"/>
      <c r="B22" s="23"/>
    </row>
    <row r="25" spans="1:9">
      <c r="I25" s="22">
        <v>24</v>
      </c>
    </row>
    <row r="26" spans="1:9">
      <c r="I26" s="22">
        <v>24</v>
      </c>
    </row>
    <row r="27" spans="1:9">
      <c r="I27" s="22">
        <v>24</v>
      </c>
    </row>
    <row r="28" spans="1:9">
      <c r="I28" s="22">
        <v>24</v>
      </c>
    </row>
    <row r="29" spans="1:9">
      <c r="I29" s="22">
        <v>24</v>
      </c>
    </row>
    <row r="30" spans="1:9">
      <c r="I30" s="22">
        <v>24</v>
      </c>
    </row>
    <row r="32" spans="1:9">
      <c r="I32" s="22">
        <v>24</v>
      </c>
    </row>
    <row r="33" spans="9:9">
      <c r="I33" s="22">
        <v>24</v>
      </c>
    </row>
    <row r="34" spans="9:9">
      <c r="I34" s="22">
        <v>24</v>
      </c>
    </row>
    <row r="35" spans="9:9">
      <c r="I35" s="22">
        <v>24</v>
      </c>
    </row>
    <row r="36" spans="9:9">
      <c r="I36" s="22">
        <v>24</v>
      </c>
    </row>
    <row r="37" spans="9:9">
      <c r="I37" s="22">
        <v>24</v>
      </c>
    </row>
    <row r="38" spans="9:9">
      <c r="I38" s="22">
        <v>24</v>
      </c>
    </row>
    <row r="39" spans="9:9">
      <c r="I39" s="22">
        <v>24</v>
      </c>
    </row>
    <row r="40" spans="9:9">
      <c r="I40" s="22">
        <v>24</v>
      </c>
    </row>
    <row r="41" spans="9:9">
      <c r="I41" s="22">
        <v>24</v>
      </c>
    </row>
    <row r="42" spans="9:9">
      <c r="I42" s="22">
        <v>24</v>
      </c>
    </row>
    <row r="48" spans="9:9">
      <c r="I48" s="22">
        <v>24</v>
      </c>
    </row>
    <row r="49" spans="9:9">
      <c r="I49" s="22">
        <v>24</v>
      </c>
    </row>
    <row r="50" spans="9:9">
      <c r="I50" s="22">
        <v>24</v>
      </c>
    </row>
    <row r="51" spans="9:9">
      <c r="I51" s="22">
        <v>24</v>
      </c>
    </row>
    <row r="52" spans="9:9">
      <c r="I52" s="22">
        <v>24</v>
      </c>
    </row>
  </sheetData>
  <mergeCells count="2">
    <mergeCell ref="A2:B2"/>
    <mergeCell ref="A1:B1"/>
  </mergeCells>
  <pageMargins left="0.7" right="0.7" top="0.75" bottom="0.75" header="0" footer="0"/>
  <pageSetup scale="62"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H10"/>
  <sheetViews>
    <sheetView zoomScale="80" zoomScaleNormal="80" workbookViewId="0">
      <pane xSplit="2" ySplit="3" topLeftCell="C4" activePane="bottomRight" state="frozen"/>
      <selection pane="bottomRight" activeCell="B9" sqref="B9"/>
      <selection pane="bottomLeft" activeCell="D35" sqref="D35"/>
      <selection pane="topRight" activeCell="D35" sqref="D35"/>
    </sheetView>
  </sheetViews>
  <sheetFormatPr defaultColWidth="14.28515625" defaultRowHeight="15" customHeight="1"/>
  <cols>
    <col min="1" max="1" width="5.7109375" customWidth="1"/>
    <col min="2" max="2" width="67.28515625" bestFit="1" customWidth="1"/>
    <col min="3" max="3" width="25.28515625" customWidth="1"/>
    <col min="4" max="4" width="35.140625" customWidth="1"/>
    <col min="5" max="5" width="77.28515625" customWidth="1"/>
    <col min="6" max="6" width="55" customWidth="1"/>
    <col min="7" max="7" width="22.28515625" customWidth="1"/>
    <col min="8" max="9" width="11.7109375" customWidth="1"/>
    <col min="10" max="10" width="9.28515625" customWidth="1"/>
    <col min="11" max="14" width="8.28515625" customWidth="1"/>
    <col min="15" max="15" width="13.28515625" customWidth="1"/>
    <col min="16" max="20" width="7.7109375" style="63" customWidth="1"/>
    <col min="21" max="22" width="11.28515625" style="63" customWidth="1"/>
    <col min="23" max="23" width="42.28515625" customWidth="1"/>
    <col min="24" max="34" width="9.140625" customWidth="1"/>
  </cols>
  <sheetData>
    <row r="1" spans="1:34" ht="64.5" customHeight="1">
      <c r="A1" s="210"/>
      <c r="B1" s="253"/>
      <c r="C1" s="211" t="s">
        <v>48</v>
      </c>
      <c r="D1" s="254"/>
      <c r="E1" s="254"/>
      <c r="F1" s="254"/>
      <c r="G1" s="254"/>
      <c r="H1" s="212"/>
      <c r="I1" s="212"/>
      <c r="J1" s="255"/>
      <c r="K1" s="255"/>
      <c r="L1" s="255"/>
      <c r="M1" s="255"/>
      <c r="N1" s="255"/>
      <c r="O1" s="255"/>
      <c r="P1" s="209"/>
      <c r="Q1" s="209"/>
      <c r="R1" s="209"/>
      <c r="S1" s="209"/>
      <c r="T1" s="209"/>
      <c r="U1" s="209"/>
      <c r="V1" s="209"/>
      <c r="W1" s="64"/>
      <c r="X1" s="2"/>
      <c r="Y1" s="2"/>
      <c r="Z1" s="2"/>
      <c r="AA1" s="2"/>
      <c r="AB1" s="2"/>
      <c r="AC1" s="2"/>
      <c r="AD1" s="2"/>
      <c r="AE1" s="2"/>
      <c r="AF1" s="2"/>
      <c r="AG1" s="2"/>
      <c r="AH1" s="2"/>
    </row>
    <row r="2" spans="1:34" ht="32.65" customHeight="1">
      <c r="A2" s="146"/>
      <c r="B2" s="41"/>
      <c r="C2" s="52"/>
      <c r="D2" s="41"/>
      <c r="E2" s="41"/>
      <c r="F2" s="41"/>
      <c r="G2" s="41"/>
      <c r="H2" s="52"/>
      <c r="I2" s="58"/>
      <c r="J2" s="208" t="s">
        <v>49</v>
      </c>
      <c r="K2" s="256"/>
      <c r="L2" s="256"/>
      <c r="M2" s="256"/>
      <c r="N2" s="256"/>
      <c r="O2" s="256"/>
      <c r="P2" s="207" t="s">
        <v>50</v>
      </c>
      <c r="Q2" s="257"/>
      <c r="R2" s="257"/>
      <c r="S2" s="257"/>
      <c r="T2" s="257"/>
      <c r="U2" s="257"/>
      <c r="V2" s="257"/>
      <c r="W2" s="64"/>
      <c r="X2" s="2"/>
      <c r="Y2" s="2"/>
      <c r="Z2" s="2"/>
      <c r="AA2" s="2"/>
      <c r="AB2" s="2"/>
      <c r="AC2" s="2"/>
      <c r="AD2" s="2"/>
      <c r="AE2" s="2"/>
      <c r="AF2" s="2"/>
      <c r="AG2" s="2"/>
      <c r="AH2" s="2"/>
    </row>
    <row r="3" spans="1:34" ht="96" customHeight="1">
      <c r="A3" s="103" t="s">
        <v>18</v>
      </c>
      <c r="B3" s="158" t="s">
        <v>24</v>
      </c>
      <c r="C3" s="158" t="s">
        <v>20</v>
      </c>
      <c r="D3" s="158" t="s">
        <v>26</v>
      </c>
      <c r="E3" s="158" t="s">
        <v>30</v>
      </c>
      <c r="F3" s="158" t="s">
        <v>28</v>
      </c>
      <c r="G3" s="158" t="s">
        <v>51</v>
      </c>
      <c r="H3" s="158" t="s">
        <v>52</v>
      </c>
      <c r="I3" s="105" t="s">
        <v>53</v>
      </c>
      <c r="J3" s="134" t="s">
        <v>34</v>
      </c>
      <c r="K3" s="135" t="s">
        <v>54</v>
      </c>
      <c r="L3" s="106" t="s">
        <v>55</v>
      </c>
      <c r="M3" s="135" t="s">
        <v>56</v>
      </c>
      <c r="N3" s="135" t="s">
        <v>57</v>
      </c>
      <c r="O3" s="107" t="s">
        <v>58</v>
      </c>
      <c r="P3" s="154" t="s">
        <v>34</v>
      </c>
      <c r="Q3" s="155" t="s">
        <v>54</v>
      </c>
      <c r="R3" s="109" t="s">
        <v>55</v>
      </c>
      <c r="S3" s="155" t="s">
        <v>56</v>
      </c>
      <c r="T3" s="155" t="s">
        <v>57</v>
      </c>
      <c r="U3" s="110" t="s">
        <v>59</v>
      </c>
      <c r="V3" s="111" t="s">
        <v>60</v>
      </c>
      <c r="W3" s="112" t="s">
        <v>44</v>
      </c>
      <c r="X3" s="3"/>
      <c r="Y3" s="3"/>
      <c r="Z3" s="3"/>
      <c r="AA3" s="3"/>
      <c r="AB3" s="3"/>
      <c r="AC3" s="3"/>
      <c r="AD3" s="3"/>
      <c r="AE3" s="3"/>
      <c r="AF3" s="3"/>
      <c r="AG3" s="3"/>
      <c r="AH3" s="3"/>
    </row>
    <row r="4" spans="1:34" ht="28.9" customHeight="1">
      <c r="A4" s="130" t="s">
        <v>61</v>
      </c>
      <c r="B4" s="6" t="s">
        <v>62</v>
      </c>
      <c r="C4" s="5" t="s">
        <v>63</v>
      </c>
      <c r="D4" s="6" t="s">
        <v>64</v>
      </c>
      <c r="E4" s="6" t="s">
        <v>65</v>
      </c>
      <c r="F4" s="6"/>
      <c r="G4" s="151" t="s">
        <v>4</v>
      </c>
      <c r="H4" s="152" t="s">
        <v>66</v>
      </c>
      <c r="I4" s="153" t="s">
        <v>67</v>
      </c>
      <c r="J4" s="136"/>
      <c r="K4" s="137"/>
      <c r="L4" s="35">
        <v>2</v>
      </c>
      <c r="M4" s="137"/>
      <c r="N4" s="137"/>
      <c r="O4" s="9">
        <f t="shared" ref="O4:O10" si="0">IF(OR(J4&lt;&gt;"",K4&lt;&gt;"",L4&lt;&gt;"",N4&lt;&gt;"",M4&lt;&gt;""),MAX(J4:N4),"")</f>
        <v>2</v>
      </c>
      <c r="P4" s="138" t="str">
        <f t="shared" ref="P4:P10" si="1">IF(J4="","",VLOOKUP(J4,Valor_Actiu_NivellENS,2,FALSE))</f>
        <v/>
      </c>
      <c r="Q4" s="138" t="str">
        <f t="shared" ref="Q4:Q10" si="2">IF(K4="","",VLOOKUP(K4,Valor_Actiu_NivellENS,2,FALSE))</f>
        <v/>
      </c>
      <c r="R4" s="76">
        <f t="shared" ref="R4:R10" si="3">IF(L4="","",VLOOKUP(L4,Valor_Actiu_NivellENS,2,FALSE))</f>
        <v>2</v>
      </c>
      <c r="S4" s="138" t="str">
        <f t="shared" ref="S4:S10" si="4">IF(M4="","",VLOOKUP(M4,Valor_Actiu_NivellENS,2,FALSE))</f>
        <v/>
      </c>
      <c r="T4" s="138" t="str">
        <f t="shared" ref="T4:T10" si="5">IF(N4="","",VLOOKUP(N4,Valor_Actiu_NivellENS,2,FALSE))</f>
        <v/>
      </c>
      <c r="U4" s="72">
        <f t="shared" ref="U4:U10" si="6">IF(OR(P4&lt;&gt;"",Q4&lt;&gt;"",R4&lt;&gt;"",T4&lt;&gt;"",S4&lt;&gt;""),MAX(P4:T4),"")</f>
        <v>2</v>
      </c>
      <c r="V4" s="73" t="str">
        <f t="shared" ref="V4:V10" si="7">VLOOKUP(U4,NivellENS_Categoria,2,FALSE)</f>
        <v>MEDIA</v>
      </c>
      <c r="W4" s="33"/>
      <c r="X4" s="10"/>
      <c r="Y4" s="10"/>
      <c r="Z4" s="10"/>
      <c r="AA4" s="10"/>
      <c r="AB4" s="10"/>
      <c r="AC4" s="10"/>
      <c r="AD4" s="10"/>
      <c r="AE4" s="10"/>
      <c r="AF4" s="10"/>
      <c r="AG4" s="10"/>
      <c r="AH4" s="10"/>
    </row>
    <row r="5" spans="1:34" ht="28.9" customHeight="1">
      <c r="A5" s="130" t="s">
        <v>68</v>
      </c>
      <c r="B5" s="6" t="s">
        <v>69</v>
      </c>
      <c r="C5" s="5" t="s">
        <v>63</v>
      </c>
      <c r="D5" s="6" t="s">
        <v>64</v>
      </c>
      <c r="E5" s="6" t="s">
        <v>70</v>
      </c>
      <c r="F5" s="6"/>
      <c r="G5" s="151" t="s">
        <v>71</v>
      </c>
      <c r="H5" s="152" t="s">
        <v>66</v>
      </c>
      <c r="I5" s="153" t="s">
        <v>67</v>
      </c>
      <c r="J5" s="136"/>
      <c r="K5" s="137"/>
      <c r="L5" s="35">
        <v>2</v>
      </c>
      <c r="M5" s="137"/>
      <c r="N5" s="137"/>
      <c r="O5" s="9">
        <f t="shared" si="0"/>
        <v>2</v>
      </c>
      <c r="P5" s="138" t="str">
        <f t="shared" si="1"/>
        <v/>
      </c>
      <c r="Q5" s="138" t="str">
        <f t="shared" si="2"/>
        <v/>
      </c>
      <c r="R5" s="76">
        <f t="shared" si="3"/>
        <v>2</v>
      </c>
      <c r="S5" s="138" t="str">
        <f t="shared" si="4"/>
        <v/>
      </c>
      <c r="T5" s="138" t="str">
        <f t="shared" si="5"/>
        <v/>
      </c>
      <c r="U5" s="72">
        <f t="shared" si="6"/>
        <v>2</v>
      </c>
      <c r="V5" s="73" t="str">
        <f t="shared" si="7"/>
        <v>MEDIA</v>
      </c>
      <c r="W5" s="33"/>
      <c r="X5" s="10"/>
      <c r="Y5" s="10"/>
      <c r="Z5" s="10"/>
      <c r="AA5" s="10"/>
      <c r="AB5" s="10"/>
      <c r="AC5" s="10"/>
      <c r="AD5" s="10"/>
      <c r="AE5" s="10"/>
      <c r="AF5" s="10"/>
      <c r="AG5" s="10"/>
      <c r="AH5" s="10"/>
    </row>
    <row r="6" spans="1:34" ht="28.9" customHeight="1">
      <c r="A6" s="130" t="s">
        <v>72</v>
      </c>
      <c r="B6" s="6" t="s">
        <v>73</v>
      </c>
      <c r="C6" s="5" t="s">
        <v>63</v>
      </c>
      <c r="D6" s="6" t="s">
        <v>74</v>
      </c>
      <c r="E6" s="6" t="s">
        <v>75</v>
      </c>
      <c r="F6" s="6"/>
      <c r="G6" s="151" t="s">
        <v>71</v>
      </c>
      <c r="H6" s="152" t="s">
        <v>76</v>
      </c>
      <c r="I6" s="153" t="s">
        <v>77</v>
      </c>
      <c r="J6" s="136"/>
      <c r="K6" s="137"/>
      <c r="L6" s="35">
        <v>3</v>
      </c>
      <c r="M6" s="137"/>
      <c r="N6" s="137"/>
      <c r="O6" s="9">
        <f t="shared" si="0"/>
        <v>3</v>
      </c>
      <c r="P6" s="138" t="str">
        <f t="shared" si="1"/>
        <v/>
      </c>
      <c r="Q6" s="138" t="str">
        <f t="shared" si="2"/>
        <v/>
      </c>
      <c r="R6" s="76">
        <f t="shared" si="3"/>
        <v>2</v>
      </c>
      <c r="S6" s="138" t="str">
        <f t="shared" si="4"/>
        <v/>
      </c>
      <c r="T6" s="138" t="str">
        <f t="shared" si="5"/>
        <v/>
      </c>
      <c r="U6" s="72">
        <f t="shared" si="6"/>
        <v>2</v>
      </c>
      <c r="V6" s="73" t="str">
        <f t="shared" si="7"/>
        <v>MEDIA</v>
      </c>
      <c r="W6" s="33"/>
      <c r="X6" s="10"/>
      <c r="Y6" s="10"/>
      <c r="Z6" s="10"/>
      <c r="AA6" s="10"/>
      <c r="AB6" s="10"/>
      <c r="AC6" s="10"/>
      <c r="AD6" s="10"/>
      <c r="AE6" s="10"/>
      <c r="AF6" s="10"/>
      <c r="AG6" s="10"/>
      <c r="AH6" s="10"/>
    </row>
    <row r="7" spans="1:34" ht="28.9" customHeight="1">
      <c r="A7" s="130" t="s">
        <v>78</v>
      </c>
      <c r="B7" s="6" t="s">
        <v>79</v>
      </c>
      <c r="C7" s="5" t="s">
        <v>63</v>
      </c>
      <c r="D7" s="6" t="s">
        <v>74</v>
      </c>
      <c r="E7" s="6" t="s">
        <v>80</v>
      </c>
      <c r="F7" s="6"/>
      <c r="G7" s="151" t="s">
        <v>71</v>
      </c>
      <c r="H7" s="152" t="s">
        <v>76</v>
      </c>
      <c r="I7" s="153" t="s">
        <v>77</v>
      </c>
      <c r="J7" s="136"/>
      <c r="K7" s="137"/>
      <c r="L7" s="35">
        <v>3</v>
      </c>
      <c r="M7" s="137"/>
      <c r="N7" s="137"/>
      <c r="O7" s="9">
        <f t="shared" si="0"/>
        <v>3</v>
      </c>
      <c r="P7" s="138" t="str">
        <f t="shared" si="1"/>
        <v/>
      </c>
      <c r="Q7" s="138" t="str">
        <f t="shared" si="2"/>
        <v/>
      </c>
      <c r="R7" s="76">
        <f t="shared" si="3"/>
        <v>2</v>
      </c>
      <c r="S7" s="138" t="str">
        <f t="shared" si="4"/>
        <v/>
      </c>
      <c r="T7" s="138" t="str">
        <f t="shared" si="5"/>
        <v/>
      </c>
      <c r="U7" s="72">
        <f t="shared" si="6"/>
        <v>2</v>
      </c>
      <c r="V7" s="73" t="str">
        <f t="shared" si="7"/>
        <v>MEDIA</v>
      </c>
      <c r="W7" s="33"/>
      <c r="X7" s="10"/>
      <c r="Y7" s="10"/>
      <c r="Z7" s="10"/>
      <c r="AA7" s="10"/>
      <c r="AB7" s="10"/>
      <c r="AC7" s="10"/>
      <c r="AD7" s="10"/>
      <c r="AE7" s="10"/>
      <c r="AF7" s="10"/>
      <c r="AG7" s="10"/>
      <c r="AH7" s="10"/>
    </row>
    <row r="8" spans="1:34" ht="55.15">
      <c r="A8" s="130" t="s">
        <v>81</v>
      </c>
      <c r="B8" s="6" t="s">
        <v>82</v>
      </c>
      <c r="C8" s="5" t="s">
        <v>83</v>
      </c>
      <c r="D8" s="6" t="s">
        <v>84</v>
      </c>
      <c r="E8" s="6" t="s">
        <v>85</v>
      </c>
      <c r="F8" s="6"/>
      <c r="G8" s="151" t="s">
        <v>4</v>
      </c>
      <c r="H8" s="152" t="s">
        <v>66</v>
      </c>
      <c r="I8" s="153" t="s">
        <v>86</v>
      </c>
      <c r="J8" s="136"/>
      <c r="K8" s="137"/>
      <c r="L8" s="35">
        <v>2</v>
      </c>
      <c r="M8" s="137"/>
      <c r="N8" s="137"/>
      <c r="O8" s="9">
        <f t="shared" si="0"/>
        <v>2</v>
      </c>
      <c r="P8" s="138" t="str">
        <f t="shared" si="1"/>
        <v/>
      </c>
      <c r="Q8" s="138" t="str">
        <f t="shared" si="2"/>
        <v/>
      </c>
      <c r="R8" s="76">
        <f t="shared" si="3"/>
        <v>2</v>
      </c>
      <c r="S8" s="138" t="str">
        <f t="shared" si="4"/>
        <v/>
      </c>
      <c r="T8" s="138" t="str">
        <f t="shared" si="5"/>
        <v/>
      </c>
      <c r="U8" s="72">
        <f t="shared" si="6"/>
        <v>2</v>
      </c>
      <c r="V8" s="73" t="str">
        <f t="shared" si="7"/>
        <v>MEDIA</v>
      </c>
      <c r="W8" s="33"/>
      <c r="X8" s="10"/>
      <c r="Y8" s="10"/>
      <c r="Z8" s="10"/>
      <c r="AA8" s="10"/>
      <c r="AB8" s="10"/>
      <c r="AC8" s="10"/>
      <c r="AD8" s="10"/>
      <c r="AE8" s="10"/>
      <c r="AF8" s="10"/>
      <c r="AG8" s="10"/>
      <c r="AH8" s="10"/>
    </row>
    <row r="9" spans="1:34" ht="28.9" customHeight="1">
      <c r="A9" s="130" t="s">
        <v>87</v>
      </c>
      <c r="B9" s="6" t="s">
        <v>88</v>
      </c>
      <c r="C9" s="5" t="s">
        <v>83</v>
      </c>
      <c r="D9" s="6" t="s">
        <v>89</v>
      </c>
      <c r="E9" s="6" t="s">
        <v>90</v>
      </c>
      <c r="F9" s="6" t="s">
        <v>91</v>
      </c>
      <c r="G9" s="151" t="s">
        <v>71</v>
      </c>
      <c r="H9" s="152" t="s">
        <v>76</v>
      </c>
      <c r="I9" s="153" t="s">
        <v>77</v>
      </c>
      <c r="J9" s="136"/>
      <c r="K9" s="137"/>
      <c r="L9" s="35">
        <v>3</v>
      </c>
      <c r="M9" s="137"/>
      <c r="N9" s="137"/>
      <c r="O9" s="9">
        <f t="shared" si="0"/>
        <v>3</v>
      </c>
      <c r="P9" s="138" t="str">
        <f t="shared" si="1"/>
        <v/>
      </c>
      <c r="Q9" s="138" t="str">
        <f t="shared" si="2"/>
        <v/>
      </c>
      <c r="R9" s="76">
        <f t="shared" si="3"/>
        <v>2</v>
      </c>
      <c r="S9" s="138" t="str">
        <f t="shared" si="4"/>
        <v/>
      </c>
      <c r="T9" s="138" t="str">
        <f t="shared" si="5"/>
        <v/>
      </c>
      <c r="U9" s="72">
        <f t="shared" si="6"/>
        <v>2</v>
      </c>
      <c r="V9" s="73" t="str">
        <f t="shared" si="7"/>
        <v>MEDIA</v>
      </c>
      <c r="W9" s="33"/>
      <c r="X9" s="10"/>
      <c r="Y9" s="10"/>
      <c r="Z9" s="10"/>
      <c r="AA9" s="10"/>
      <c r="AB9" s="10"/>
      <c r="AC9" s="10"/>
      <c r="AD9" s="10"/>
      <c r="AE9" s="10"/>
      <c r="AF9" s="10"/>
      <c r="AG9" s="10"/>
      <c r="AH9" s="10"/>
    </row>
    <row r="10" spans="1:34" ht="34.15" customHeight="1">
      <c r="A10" s="130" t="s">
        <v>92</v>
      </c>
      <c r="B10" s="6" t="s">
        <v>93</v>
      </c>
      <c r="C10" s="5" t="s">
        <v>83</v>
      </c>
      <c r="D10" s="6" t="s">
        <v>89</v>
      </c>
      <c r="E10" s="6" t="s">
        <v>94</v>
      </c>
      <c r="F10" s="6" t="s">
        <v>95</v>
      </c>
      <c r="G10" s="151" t="s">
        <v>71</v>
      </c>
      <c r="H10" s="152" t="s">
        <v>66</v>
      </c>
      <c r="I10" s="153" t="s">
        <v>67</v>
      </c>
      <c r="J10" s="136"/>
      <c r="K10" s="137"/>
      <c r="L10" s="35">
        <v>2</v>
      </c>
      <c r="M10" s="137"/>
      <c r="N10" s="137"/>
      <c r="O10" s="9">
        <f t="shared" si="0"/>
        <v>2</v>
      </c>
      <c r="P10" s="138" t="str">
        <f t="shared" si="1"/>
        <v/>
      </c>
      <c r="Q10" s="138" t="str">
        <f t="shared" si="2"/>
        <v/>
      </c>
      <c r="R10" s="76">
        <f t="shared" si="3"/>
        <v>2</v>
      </c>
      <c r="S10" s="138" t="str">
        <f t="shared" si="4"/>
        <v/>
      </c>
      <c r="T10" s="138" t="str">
        <f t="shared" si="5"/>
        <v/>
      </c>
      <c r="U10" s="72">
        <f t="shared" si="6"/>
        <v>2</v>
      </c>
      <c r="V10" s="74" t="str">
        <f t="shared" si="7"/>
        <v>MEDIA</v>
      </c>
      <c r="W10" s="33"/>
      <c r="X10" s="10"/>
      <c r="Y10" s="10"/>
      <c r="Z10" s="10"/>
      <c r="AA10" s="10"/>
      <c r="AB10" s="10"/>
      <c r="AC10" s="10"/>
      <c r="AD10" s="10"/>
      <c r="AE10" s="10"/>
      <c r="AF10" s="10"/>
      <c r="AG10" s="10"/>
      <c r="AH10" s="10"/>
    </row>
  </sheetData>
  <mergeCells count="7">
    <mergeCell ref="P2:V2"/>
    <mergeCell ref="J2:O2"/>
    <mergeCell ref="P1:V1"/>
    <mergeCell ref="A1:B1"/>
    <mergeCell ref="C1:G1"/>
    <mergeCell ref="H1:I1"/>
    <mergeCell ref="J1:O1"/>
  </mergeCells>
  <phoneticPr fontId="20" type="noConversion"/>
  <conditionalFormatting sqref="O4:O10">
    <cfRule type="colorScale" priority="4">
      <colorScale>
        <cfvo type="num" val="0"/>
        <cfvo type="num" val="3"/>
        <color rgb="FFFFEF9C"/>
        <color theme="5"/>
      </colorScale>
    </cfRule>
  </conditionalFormatting>
  <conditionalFormatting sqref="V4:V10">
    <cfRule type="cellIs" dxfId="32" priority="1" operator="equal">
      <formula>"ALTA"</formula>
    </cfRule>
    <cfRule type="cellIs" dxfId="31" priority="2" operator="equal">
      <formula>"BAJA"</formula>
    </cfRule>
    <cfRule type="cellIs" dxfId="30" priority="3" operator="equal">
      <formula>"MEDIA"</formula>
    </cfRule>
  </conditionalFormatting>
  <dataValidations count="2">
    <dataValidation type="list" allowBlank="1" showErrorMessage="1" sqref="C4:C10" xr:uid="{00000000-0002-0000-0200-000001000000}">
      <formula1>Capa</formula1>
    </dataValidation>
    <dataValidation type="list" allowBlank="1" showErrorMessage="1" sqref="J4:N10" xr:uid="{9AE1A7B2-6824-4333-A52E-445B21B3D008}">
      <formula1>Impacte</formula1>
    </dataValidation>
  </dataValidations>
  <pageMargins left="0.7" right="0.7" top="0.75" bottom="0.75" header="0" footer="0"/>
  <pageSetup scale="31"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H22"/>
  <sheetViews>
    <sheetView topLeftCell="A3" zoomScale="80" zoomScaleNormal="80" workbookViewId="0">
      <selection activeCell="C9" sqref="C9:C15"/>
    </sheetView>
  </sheetViews>
  <sheetFormatPr defaultColWidth="14.28515625" defaultRowHeight="15" customHeight="1"/>
  <cols>
    <col min="1" max="1" width="9.140625" customWidth="1"/>
    <col min="2" max="2" width="53.28515625" customWidth="1"/>
    <col min="3" max="3" width="28.28515625" customWidth="1"/>
    <col min="4" max="4" width="17.140625" customWidth="1"/>
    <col min="5" max="5" width="50.140625" customWidth="1"/>
    <col min="6" max="6" width="54" customWidth="1"/>
    <col min="7" max="7" width="23.42578125" customWidth="1"/>
    <col min="8" max="8" width="10.85546875" style="29" customWidth="1"/>
    <col min="9" max="9" width="17.28515625" customWidth="1"/>
    <col min="10" max="10" width="9.140625" customWidth="1"/>
    <col min="11" max="11" width="8.140625" customWidth="1"/>
    <col min="12" max="12" width="8" customWidth="1"/>
    <col min="13" max="14" width="8.140625" customWidth="1"/>
    <col min="15" max="15" width="14.140625" customWidth="1"/>
    <col min="16" max="20" width="7.7109375" style="63" customWidth="1"/>
    <col min="21" max="22" width="11.28515625" style="63" customWidth="1"/>
    <col min="23" max="23" width="42.28515625" customWidth="1"/>
    <col min="24" max="34" width="9.140625" customWidth="1"/>
  </cols>
  <sheetData>
    <row r="1" spans="1:34" ht="52.9" customHeight="1">
      <c r="A1" s="211"/>
      <c r="B1" s="258"/>
      <c r="C1" s="211" t="s">
        <v>96</v>
      </c>
      <c r="D1" s="254"/>
      <c r="E1" s="254"/>
      <c r="F1" s="254"/>
      <c r="G1" s="8"/>
      <c r="H1" s="41"/>
      <c r="I1" s="41"/>
      <c r="J1" s="133"/>
      <c r="K1" s="215"/>
      <c r="L1" s="215"/>
      <c r="M1" s="215"/>
      <c r="N1" s="215"/>
      <c r="O1" s="215"/>
      <c r="P1" s="209"/>
      <c r="Q1" s="209"/>
      <c r="R1" s="209"/>
      <c r="S1" s="209"/>
      <c r="T1" s="209"/>
      <c r="U1" s="209"/>
      <c r="V1" s="209"/>
      <c r="W1" s="46"/>
    </row>
    <row r="2" spans="1:34" ht="52.9" customHeight="1">
      <c r="A2" s="53"/>
      <c r="B2" s="41"/>
      <c r="C2" s="52"/>
      <c r="D2" s="41"/>
      <c r="E2" s="41"/>
      <c r="F2" s="41"/>
      <c r="G2" s="8"/>
      <c r="H2" s="41"/>
      <c r="I2" s="41"/>
      <c r="J2" s="213" t="s">
        <v>49</v>
      </c>
      <c r="K2" s="259"/>
      <c r="L2" s="259"/>
      <c r="M2" s="259"/>
      <c r="N2" s="259"/>
      <c r="O2" s="259"/>
      <c r="P2" s="214" t="s">
        <v>50</v>
      </c>
      <c r="Q2" s="260"/>
      <c r="R2" s="260"/>
      <c r="S2" s="260"/>
      <c r="T2" s="260"/>
      <c r="U2" s="260"/>
      <c r="V2" s="260"/>
      <c r="W2" s="46"/>
    </row>
    <row r="3" spans="1:34" s="2" customFormat="1" ht="94.9" customHeight="1">
      <c r="A3" s="99" t="s">
        <v>18</v>
      </c>
      <c r="B3" s="99" t="s">
        <v>24</v>
      </c>
      <c r="C3" s="99" t="s">
        <v>26</v>
      </c>
      <c r="D3" s="99" t="s">
        <v>32</v>
      </c>
      <c r="E3" s="99" t="s">
        <v>30</v>
      </c>
      <c r="F3" s="99" t="s">
        <v>28</v>
      </c>
      <c r="G3" s="103" t="s">
        <v>97</v>
      </c>
      <c r="H3" s="104" t="s">
        <v>98</v>
      </c>
      <c r="I3" s="156" t="s">
        <v>99</v>
      </c>
      <c r="J3" s="160" t="s">
        <v>34</v>
      </c>
      <c r="K3" s="161" t="s">
        <v>54</v>
      </c>
      <c r="L3" s="161" t="s">
        <v>55</v>
      </c>
      <c r="M3" s="161" t="s">
        <v>56</v>
      </c>
      <c r="N3" s="161" t="s">
        <v>57</v>
      </c>
      <c r="O3" s="162" t="s">
        <v>58</v>
      </c>
      <c r="P3" s="108" t="s">
        <v>34</v>
      </c>
      <c r="Q3" s="109" t="s">
        <v>54</v>
      </c>
      <c r="R3" s="109" t="s">
        <v>55</v>
      </c>
      <c r="S3" s="109" t="s">
        <v>56</v>
      </c>
      <c r="T3" s="109" t="s">
        <v>57</v>
      </c>
      <c r="U3" s="110" t="s">
        <v>59</v>
      </c>
      <c r="V3" s="159" t="s">
        <v>60</v>
      </c>
      <c r="W3" s="119" t="s">
        <v>44</v>
      </c>
      <c r="X3" s="3"/>
      <c r="Y3" s="3"/>
      <c r="Z3" s="3"/>
      <c r="AA3" s="3"/>
      <c r="AB3" s="3"/>
      <c r="AC3" s="3"/>
      <c r="AD3" s="3"/>
      <c r="AE3" s="3"/>
      <c r="AF3" s="3"/>
      <c r="AG3" s="3"/>
      <c r="AH3" s="3"/>
    </row>
    <row r="4" spans="1:34" s="45" customFormat="1" ht="30.6" customHeight="1">
      <c r="A4" s="42" t="s">
        <v>100</v>
      </c>
      <c r="B4" s="14" t="s">
        <v>101</v>
      </c>
      <c r="C4" s="30" t="s">
        <v>102</v>
      </c>
      <c r="D4" s="14" t="s">
        <v>103</v>
      </c>
      <c r="E4" s="30" t="s">
        <v>104</v>
      </c>
      <c r="F4" s="30" t="s">
        <v>105</v>
      </c>
      <c r="G4" s="32" t="s">
        <v>4</v>
      </c>
      <c r="H4" s="34" t="s">
        <v>106</v>
      </c>
      <c r="I4" s="157" t="s">
        <v>107</v>
      </c>
      <c r="J4" s="34">
        <v>0</v>
      </c>
      <c r="K4" s="35">
        <v>1</v>
      </c>
      <c r="L4" s="137"/>
      <c r="M4" s="35">
        <v>2</v>
      </c>
      <c r="N4" s="35">
        <v>1</v>
      </c>
      <c r="O4" s="9">
        <f t="shared" ref="O4:O22" si="0">IF(OR(J4&lt;&gt;"",K4&lt;&gt;"",L4&lt;&gt;"",N4&lt;&gt;"",M4&lt;&gt;""),MAX(J4:N4),"")</f>
        <v>2</v>
      </c>
      <c r="P4" s="76">
        <f t="shared" ref="P4" si="1">IF(J4="","",VLOOKUP(J4,Valor_Actiu_NivellENS,2,FALSE))</f>
        <v>1</v>
      </c>
      <c r="Q4" s="76">
        <f t="shared" ref="Q4" si="2">IF(K4="","",VLOOKUP(K4,Valor_Actiu_NivellENS,2,FALSE))</f>
        <v>1</v>
      </c>
      <c r="R4" s="138" t="str">
        <f t="shared" ref="R4" si="3">IF(L4="","",VLOOKUP(L4,Valor_Actiu_NivellENS,2,FALSE))</f>
        <v/>
      </c>
      <c r="S4" s="76">
        <f t="shared" ref="S4" si="4">IF(M4="","",VLOOKUP(M4,Valor_Actiu_NivellENS,2,FALSE))</f>
        <v>2</v>
      </c>
      <c r="T4" s="76">
        <f t="shared" ref="T4" si="5">IF(N4="","",VLOOKUP(N4,Valor_Actiu_NivellENS,2,FALSE))</f>
        <v>1</v>
      </c>
      <c r="U4" s="72">
        <f t="shared" ref="U4:U22" si="6">IF(OR(P4&lt;&gt;"",Q4&lt;&gt;"",R4&lt;&gt;"",T4&lt;&gt;"",S4&lt;&gt;""),MAX(P4:T4),"")</f>
        <v>2</v>
      </c>
      <c r="V4" s="73" t="str">
        <f t="shared" ref="V4" si="7">VLOOKUP(U4,NivellENS_Categoria,2,FALSE)</f>
        <v>MEDIA</v>
      </c>
      <c r="W4" s="14"/>
      <c r="X4" s="44"/>
      <c r="Y4" s="44"/>
      <c r="Z4" s="44"/>
      <c r="AA4" s="44"/>
      <c r="AB4" s="44"/>
      <c r="AC4" s="44"/>
      <c r="AD4" s="44"/>
      <c r="AE4" s="44"/>
      <c r="AF4" s="44"/>
      <c r="AG4" s="44"/>
      <c r="AH4" s="44"/>
    </row>
    <row r="5" spans="1:34" s="45" customFormat="1" ht="30.6" customHeight="1">
      <c r="A5" s="42" t="s">
        <v>108</v>
      </c>
      <c r="B5" s="14" t="s">
        <v>109</v>
      </c>
      <c r="C5" s="30" t="s">
        <v>102</v>
      </c>
      <c r="D5" s="14" t="s">
        <v>110</v>
      </c>
      <c r="E5" s="30" t="s">
        <v>111</v>
      </c>
      <c r="F5" s="30" t="s">
        <v>105</v>
      </c>
      <c r="G5" s="32" t="s">
        <v>4</v>
      </c>
      <c r="H5" s="34" t="s">
        <v>66</v>
      </c>
      <c r="I5" s="157" t="s">
        <v>112</v>
      </c>
      <c r="J5" s="34">
        <v>2</v>
      </c>
      <c r="K5" s="35">
        <v>3</v>
      </c>
      <c r="L5" s="137"/>
      <c r="M5" s="35">
        <v>3</v>
      </c>
      <c r="N5" s="35">
        <v>2</v>
      </c>
      <c r="O5" s="9">
        <f t="shared" si="0"/>
        <v>3</v>
      </c>
      <c r="P5" s="76">
        <f t="shared" ref="P5:P22" si="8">IF(J5="","",VLOOKUP(J5,Valor_Actiu_NivellENS,2,FALSE))</f>
        <v>2</v>
      </c>
      <c r="Q5" s="76">
        <f t="shared" ref="Q5:Q22" si="9">IF(K5="","",VLOOKUP(K5,Valor_Actiu_NivellENS,2,FALSE))</f>
        <v>2</v>
      </c>
      <c r="R5" s="138" t="str">
        <f t="shared" ref="R5:R22" si="10">IF(L5="","",VLOOKUP(L5,Valor_Actiu_NivellENS,2,FALSE))</f>
        <v/>
      </c>
      <c r="S5" s="76">
        <f t="shared" ref="S5:S22" si="11">IF(M5="","",VLOOKUP(M5,Valor_Actiu_NivellENS,2,FALSE))</f>
        <v>2</v>
      </c>
      <c r="T5" s="76">
        <f t="shared" ref="T5:T22" si="12">IF(N5="","",VLOOKUP(N5,Valor_Actiu_NivellENS,2,FALSE))</f>
        <v>2</v>
      </c>
      <c r="U5" s="72">
        <f t="shared" si="6"/>
        <v>2</v>
      </c>
      <c r="V5" s="73" t="str">
        <f t="shared" ref="V5:V22" si="13">VLOOKUP(U5,NivellENS_Categoria,2,FALSE)</f>
        <v>MEDIA</v>
      </c>
      <c r="W5" s="14"/>
      <c r="X5" s="44"/>
      <c r="Y5" s="44"/>
      <c r="Z5" s="44"/>
      <c r="AA5" s="44"/>
      <c r="AB5" s="44"/>
      <c r="AC5" s="44"/>
      <c r="AD5" s="44"/>
      <c r="AE5" s="44"/>
      <c r="AF5" s="44"/>
      <c r="AG5" s="44"/>
      <c r="AH5" s="44"/>
    </row>
    <row r="6" spans="1:34" s="45" customFormat="1" ht="30.6" customHeight="1">
      <c r="A6" s="42" t="s">
        <v>113</v>
      </c>
      <c r="B6" s="14" t="s">
        <v>114</v>
      </c>
      <c r="C6" s="30" t="s">
        <v>102</v>
      </c>
      <c r="D6" s="14" t="s">
        <v>110</v>
      </c>
      <c r="E6" s="30" t="s">
        <v>115</v>
      </c>
      <c r="F6" s="30" t="s">
        <v>105</v>
      </c>
      <c r="G6" s="32" t="s">
        <v>4</v>
      </c>
      <c r="H6" s="34" t="s">
        <v>66</v>
      </c>
      <c r="I6" s="157" t="s">
        <v>112</v>
      </c>
      <c r="J6" s="34">
        <v>2</v>
      </c>
      <c r="K6" s="35">
        <v>3</v>
      </c>
      <c r="L6" s="137"/>
      <c r="M6" s="35">
        <v>3</v>
      </c>
      <c r="N6" s="35">
        <v>3</v>
      </c>
      <c r="O6" s="9">
        <f t="shared" si="0"/>
        <v>3</v>
      </c>
      <c r="P6" s="76">
        <f t="shared" si="8"/>
        <v>2</v>
      </c>
      <c r="Q6" s="76">
        <f t="shared" si="9"/>
        <v>2</v>
      </c>
      <c r="R6" s="138" t="str">
        <f t="shared" si="10"/>
        <v/>
      </c>
      <c r="S6" s="76">
        <f t="shared" si="11"/>
        <v>2</v>
      </c>
      <c r="T6" s="76">
        <f t="shared" si="12"/>
        <v>2</v>
      </c>
      <c r="U6" s="72">
        <f t="shared" si="6"/>
        <v>2</v>
      </c>
      <c r="V6" s="73" t="str">
        <f t="shared" si="13"/>
        <v>MEDIA</v>
      </c>
      <c r="W6" s="14"/>
      <c r="X6" s="44"/>
      <c r="Y6" s="44"/>
      <c r="Z6" s="44"/>
      <c r="AA6" s="44"/>
      <c r="AB6" s="44"/>
      <c r="AC6" s="44"/>
      <c r="AD6" s="44"/>
      <c r="AE6" s="44"/>
      <c r="AF6" s="44"/>
      <c r="AG6" s="44"/>
      <c r="AH6" s="44"/>
    </row>
    <row r="7" spans="1:34" s="45" customFormat="1" ht="30.6" customHeight="1">
      <c r="A7" s="42" t="s">
        <v>116</v>
      </c>
      <c r="B7" s="14" t="s">
        <v>117</v>
      </c>
      <c r="C7" s="30" t="s">
        <v>102</v>
      </c>
      <c r="D7" s="14" t="s">
        <v>103</v>
      </c>
      <c r="E7" s="30" t="s">
        <v>118</v>
      </c>
      <c r="F7" s="30" t="s">
        <v>105</v>
      </c>
      <c r="G7" s="32" t="s">
        <v>4</v>
      </c>
      <c r="H7" s="34" t="s">
        <v>66</v>
      </c>
      <c r="I7" s="157" t="s">
        <v>112</v>
      </c>
      <c r="J7" s="34">
        <v>2</v>
      </c>
      <c r="K7" s="35">
        <v>2</v>
      </c>
      <c r="L7" s="137"/>
      <c r="M7" s="35">
        <v>2</v>
      </c>
      <c r="N7" s="35">
        <v>2</v>
      </c>
      <c r="O7" s="9">
        <f t="shared" si="0"/>
        <v>2</v>
      </c>
      <c r="P7" s="76">
        <f t="shared" si="8"/>
        <v>2</v>
      </c>
      <c r="Q7" s="76">
        <f t="shared" si="9"/>
        <v>2</v>
      </c>
      <c r="R7" s="138" t="str">
        <f t="shared" si="10"/>
        <v/>
      </c>
      <c r="S7" s="76">
        <f t="shared" si="11"/>
        <v>2</v>
      </c>
      <c r="T7" s="76">
        <f t="shared" si="12"/>
        <v>2</v>
      </c>
      <c r="U7" s="72">
        <f t="shared" si="6"/>
        <v>2</v>
      </c>
      <c r="V7" s="73" t="str">
        <f t="shared" si="13"/>
        <v>MEDIA</v>
      </c>
      <c r="W7" s="14"/>
      <c r="X7" s="44"/>
      <c r="Y7" s="44"/>
      <c r="Z7" s="44"/>
      <c r="AA7" s="44"/>
      <c r="AB7" s="44"/>
      <c r="AC7" s="44"/>
      <c r="AD7" s="44"/>
      <c r="AE7" s="44"/>
      <c r="AF7" s="44"/>
      <c r="AG7" s="44"/>
      <c r="AH7" s="44"/>
    </row>
    <row r="8" spans="1:34" s="45" customFormat="1" ht="30.6" customHeight="1">
      <c r="A8" s="42" t="s">
        <v>119</v>
      </c>
      <c r="B8" s="14" t="s">
        <v>120</v>
      </c>
      <c r="C8" s="30" t="s">
        <v>102</v>
      </c>
      <c r="D8" s="14" t="s">
        <v>110</v>
      </c>
      <c r="E8" s="30" t="s">
        <v>121</v>
      </c>
      <c r="F8" s="30" t="s">
        <v>105</v>
      </c>
      <c r="G8" s="32" t="s">
        <v>4</v>
      </c>
      <c r="H8" s="34" t="s">
        <v>66</v>
      </c>
      <c r="I8" s="157" t="s">
        <v>112</v>
      </c>
      <c r="J8" s="34">
        <v>2</v>
      </c>
      <c r="K8" s="35">
        <v>3</v>
      </c>
      <c r="L8" s="137"/>
      <c r="M8" s="35">
        <v>3</v>
      </c>
      <c r="N8" s="35">
        <v>3</v>
      </c>
      <c r="O8" s="9">
        <f t="shared" si="0"/>
        <v>3</v>
      </c>
      <c r="P8" s="76">
        <f t="shared" si="8"/>
        <v>2</v>
      </c>
      <c r="Q8" s="76">
        <f t="shared" si="9"/>
        <v>2</v>
      </c>
      <c r="R8" s="138" t="str">
        <f t="shared" si="10"/>
        <v/>
      </c>
      <c r="S8" s="76">
        <f t="shared" si="11"/>
        <v>2</v>
      </c>
      <c r="T8" s="76">
        <f t="shared" si="12"/>
        <v>2</v>
      </c>
      <c r="U8" s="72">
        <f t="shared" si="6"/>
        <v>2</v>
      </c>
      <c r="V8" s="73" t="str">
        <f t="shared" si="13"/>
        <v>MEDIA</v>
      </c>
      <c r="W8" s="14"/>
      <c r="X8" s="44"/>
      <c r="Y8" s="44"/>
      <c r="Z8" s="44"/>
      <c r="AA8" s="44"/>
      <c r="AB8" s="44"/>
      <c r="AC8" s="44"/>
      <c r="AD8" s="44"/>
      <c r="AE8" s="44"/>
      <c r="AF8" s="44"/>
      <c r="AG8" s="44"/>
      <c r="AH8" s="44"/>
    </row>
    <row r="9" spans="1:34" s="45" customFormat="1" ht="30.6" customHeight="1">
      <c r="A9" s="42" t="s">
        <v>122</v>
      </c>
      <c r="B9" s="14" t="s">
        <v>123</v>
      </c>
      <c r="C9" s="30" t="s">
        <v>124</v>
      </c>
      <c r="D9" s="14" t="s">
        <v>103</v>
      </c>
      <c r="E9" s="30" t="s">
        <v>125</v>
      </c>
      <c r="F9" s="30" t="s">
        <v>126</v>
      </c>
      <c r="G9" s="32" t="s">
        <v>71</v>
      </c>
      <c r="H9" s="34" t="s">
        <v>67</v>
      </c>
      <c r="I9" s="157" t="s">
        <v>112</v>
      </c>
      <c r="J9" s="34">
        <v>2</v>
      </c>
      <c r="K9" s="35">
        <v>2</v>
      </c>
      <c r="L9" s="137"/>
      <c r="M9" s="35">
        <v>2</v>
      </c>
      <c r="N9" s="35">
        <v>1</v>
      </c>
      <c r="O9" s="9">
        <f t="shared" si="0"/>
        <v>2</v>
      </c>
      <c r="P9" s="76">
        <f t="shared" si="8"/>
        <v>2</v>
      </c>
      <c r="Q9" s="76">
        <f t="shared" si="9"/>
        <v>2</v>
      </c>
      <c r="R9" s="138" t="str">
        <f t="shared" si="10"/>
        <v/>
      </c>
      <c r="S9" s="76">
        <f t="shared" si="11"/>
        <v>2</v>
      </c>
      <c r="T9" s="76">
        <f t="shared" si="12"/>
        <v>1</v>
      </c>
      <c r="U9" s="72">
        <f t="shared" si="6"/>
        <v>2</v>
      </c>
      <c r="V9" s="73" t="str">
        <f t="shared" si="13"/>
        <v>MEDIA</v>
      </c>
      <c r="W9" s="14"/>
      <c r="X9" s="44"/>
      <c r="Y9" s="44"/>
      <c r="Z9" s="44"/>
      <c r="AA9" s="44"/>
      <c r="AB9" s="44"/>
      <c r="AC9" s="44"/>
      <c r="AD9" s="44"/>
      <c r="AE9" s="44"/>
      <c r="AF9" s="44"/>
      <c r="AG9" s="44"/>
      <c r="AH9" s="44"/>
    </row>
    <row r="10" spans="1:34" s="45" customFormat="1" ht="30.6" customHeight="1">
      <c r="A10" s="42" t="s">
        <v>127</v>
      </c>
      <c r="B10" s="14" t="s">
        <v>128</v>
      </c>
      <c r="C10" s="30" t="s">
        <v>124</v>
      </c>
      <c r="D10" s="14" t="s">
        <v>103</v>
      </c>
      <c r="E10" s="30" t="s">
        <v>129</v>
      </c>
      <c r="F10" s="30" t="s">
        <v>126</v>
      </c>
      <c r="G10" s="32" t="s">
        <v>71</v>
      </c>
      <c r="H10" s="34" t="s">
        <v>76</v>
      </c>
      <c r="I10" s="157" t="s">
        <v>112</v>
      </c>
      <c r="J10" s="34">
        <v>2</v>
      </c>
      <c r="K10" s="35">
        <v>2</v>
      </c>
      <c r="L10" s="137"/>
      <c r="M10" s="35">
        <v>2</v>
      </c>
      <c r="N10" s="35">
        <v>3</v>
      </c>
      <c r="O10" s="9">
        <f t="shared" si="0"/>
        <v>3</v>
      </c>
      <c r="P10" s="76">
        <f t="shared" si="8"/>
        <v>2</v>
      </c>
      <c r="Q10" s="76">
        <f t="shared" si="9"/>
        <v>2</v>
      </c>
      <c r="R10" s="138" t="str">
        <f t="shared" si="10"/>
        <v/>
      </c>
      <c r="S10" s="76">
        <f t="shared" si="11"/>
        <v>2</v>
      </c>
      <c r="T10" s="76">
        <f t="shared" si="12"/>
        <v>2</v>
      </c>
      <c r="U10" s="72">
        <f t="shared" si="6"/>
        <v>2</v>
      </c>
      <c r="V10" s="73" t="str">
        <f t="shared" si="13"/>
        <v>MEDIA</v>
      </c>
      <c r="W10" s="14"/>
      <c r="X10" s="44"/>
      <c r="Y10" s="44"/>
      <c r="Z10" s="44"/>
      <c r="AA10" s="44"/>
      <c r="AB10" s="44"/>
      <c r="AC10" s="44"/>
      <c r="AD10" s="44"/>
      <c r="AE10" s="44"/>
      <c r="AF10" s="44"/>
      <c r="AG10" s="44"/>
      <c r="AH10" s="44"/>
    </row>
    <row r="11" spans="1:34" s="45" customFormat="1" ht="30.6" customHeight="1">
      <c r="A11" s="42" t="s">
        <v>130</v>
      </c>
      <c r="B11" s="14" t="s">
        <v>131</v>
      </c>
      <c r="C11" s="30" t="s">
        <v>124</v>
      </c>
      <c r="D11" s="14" t="s">
        <v>103</v>
      </c>
      <c r="E11" s="30" t="s">
        <v>132</v>
      </c>
      <c r="F11" s="30" t="s">
        <v>126</v>
      </c>
      <c r="G11" s="32" t="s">
        <v>71</v>
      </c>
      <c r="H11" s="34" t="s">
        <v>133</v>
      </c>
      <c r="I11" s="157" t="s">
        <v>112</v>
      </c>
      <c r="J11" s="34">
        <v>3</v>
      </c>
      <c r="K11" s="35">
        <v>2</v>
      </c>
      <c r="L11" s="137"/>
      <c r="M11" s="35">
        <v>2</v>
      </c>
      <c r="N11" s="35">
        <v>2</v>
      </c>
      <c r="O11" s="9">
        <f t="shared" si="0"/>
        <v>3</v>
      </c>
      <c r="P11" s="76">
        <f t="shared" si="8"/>
        <v>2</v>
      </c>
      <c r="Q11" s="76">
        <f t="shared" si="9"/>
        <v>2</v>
      </c>
      <c r="R11" s="138" t="str">
        <f t="shared" si="10"/>
        <v/>
      </c>
      <c r="S11" s="76">
        <f t="shared" si="11"/>
        <v>2</v>
      </c>
      <c r="T11" s="76">
        <f t="shared" si="12"/>
        <v>2</v>
      </c>
      <c r="U11" s="72">
        <f t="shared" si="6"/>
        <v>2</v>
      </c>
      <c r="V11" s="73" t="str">
        <f t="shared" si="13"/>
        <v>MEDIA</v>
      </c>
      <c r="W11" s="14"/>
      <c r="X11" s="44"/>
      <c r="Y11" s="44"/>
      <c r="Z11" s="44"/>
      <c r="AA11" s="44"/>
      <c r="AB11" s="44"/>
      <c r="AC11" s="44"/>
      <c r="AD11" s="44"/>
      <c r="AE11" s="44"/>
      <c r="AF11" s="44"/>
      <c r="AG11" s="44"/>
      <c r="AH11" s="44"/>
    </row>
    <row r="12" spans="1:34" s="45" customFormat="1" ht="30.6" customHeight="1">
      <c r="A12" s="42" t="s">
        <v>134</v>
      </c>
      <c r="B12" s="14" t="s">
        <v>135</v>
      </c>
      <c r="C12" s="30" t="s">
        <v>124</v>
      </c>
      <c r="D12" s="14" t="s">
        <v>103</v>
      </c>
      <c r="E12" s="30" t="s">
        <v>136</v>
      </c>
      <c r="F12" s="30" t="s">
        <v>126</v>
      </c>
      <c r="G12" s="32" t="s">
        <v>71</v>
      </c>
      <c r="H12" s="34" t="s">
        <v>66</v>
      </c>
      <c r="I12" s="157" t="s">
        <v>137</v>
      </c>
      <c r="J12" s="34">
        <v>1</v>
      </c>
      <c r="K12" s="35">
        <v>2</v>
      </c>
      <c r="L12" s="137"/>
      <c r="M12" s="35">
        <v>2</v>
      </c>
      <c r="N12" s="35">
        <v>2</v>
      </c>
      <c r="O12" s="9">
        <f t="shared" si="0"/>
        <v>2</v>
      </c>
      <c r="P12" s="76">
        <f t="shared" si="8"/>
        <v>1</v>
      </c>
      <c r="Q12" s="76">
        <f t="shared" si="9"/>
        <v>2</v>
      </c>
      <c r="R12" s="138" t="str">
        <f t="shared" si="10"/>
        <v/>
      </c>
      <c r="S12" s="76">
        <f t="shared" si="11"/>
        <v>2</v>
      </c>
      <c r="T12" s="76">
        <f t="shared" si="12"/>
        <v>2</v>
      </c>
      <c r="U12" s="72">
        <f t="shared" si="6"/>
        <v>2</v>
      </c>
      <c r="V12" s="73" t="str">
        <f t="shared" si="13"/>
        <v>MEDIA</v>
      </c>
      <c r="W12" s="14"/>
      <c r="X12" s="44"/>
      <c r="Y12" s="44"/>
      <c r="Z12" s="44"/>
      <c r="AA12" s="44"/>
      <c r="AB12" s="44"/>
      <c r="AC12" s="44"/>
      <c r="AD12" s="44"/>
      <c r="AE12" s="44"/>
      <c r="AF12" s="44"/>
      <c r="AG12" s="44"/>
      <c r="AH12" s="44"/>
    </row>
    <row r="13" spans="1:34" s="45" customFormat="1" ht="30.6" customHeight="1">
      <c r="A13" s="42" t="s">
        <v>138</v>
      </c>
      <c r="B13" s="14" t="s">
        <v>139</v>
      </c>
      <c r="C13" s="30" t="s">
        <v>124</v>
      </c>
      <c r="D13" s="14" t="s">
        <v>103</v>
      </c>
      <c r="E13" s="30" t="s">
        <v>140</v>
      </c>
      <c r="F13" s="30" t="s">
        <v>126</v>
      </c>
      <c r="G13" s="32" t="s">
        <v>71</v>
      </c>
      <c r="H13" s="34" t="s">
        <v>66</v>
      </c>
      <c r="I13" s="157" t="s">
        <v>112</v>
      </c>
      <c r="J13" s="34">
        <v>2</v>
      </c>
      <c r="K13" s="35">
        <v>2</v>
      </c>
      <c r="L13" s="137"/>
      <c r="M13" s="35">
        <v>2</v>
      </c>
      <c r="N13" s="35">
        <v>2</v>
      </c>
      <c r="O13" s="9">
        <f t="shared" si="0"/>
        <v>2</v>
      </c>
      <c r="P13" s="76">
        <f t="shared" si="8"/>
        <v>2</v>
      </c>
      <c r="Q13" s="76">
        <f t="shared" si="9"/>
        <v>2</v>
      </c>
      <c r="R13" s="138" t="str">
        <f t="shared" si="10"/>
        <v/>
      </c>
      <c r="S13" s="76">
        <f t="shared" si="11"/>
        <v>2</v>
      </c>
      <c r="T13" s="76">
        <f t="shared" si="12"/>
        <v>2</v>
      </c>
      <c r="U13" s="72">
        <f t="shared" si="6"/>
        <v>2</v>
      </c>
      <c r="V13" s="73" t="str">
        <f t="shared" si="13"/>
        <v>MEDIA</v>
      </c>
      <c r="W13" s="14"/>
      <c r="X13" s="44"/>
      <c r="Y13" s="44"/>
      <c r="Z13" s="44"/>
      <c r="AA13" s="44"/>
      <c r="AB13" s="44"/>
      <c r="AC13" s="44"/>
      <c r="AD13" s="44"/>
      <c r="AE13" s="44"/>
      <c r="AF13" s="44"/>
      <c r="AG13" s="44"/>
      <c r="AH13" s="44"/>
    </row>
    <row r="14" spans="1:34" s="45" customFormat="1" ht="30.6" customHeight="1">
      <c r="A14" s="42" t="s">
        <v>141</v>
      </c>
      <c r="B14" s="14" t="s">
        <v>142</v>
      </c>
      <c r="C14" s="30" t="s">
        <v>124</v>
      </c>
      <c r="D14" s="14" t="s">
        <v>103</v>
      </c>
      <c r="E14" s="30" t="s">
        <v>143</v>
      </c>
      <c r="F14" s="30" t="s">
        <v>126</v>
      </c>
      <c r="G14" s="32" t="s">
        <v>71</v>
      </c>
      <c r="H14" s="34" t="s">
        <v>66</v>
      </c>
      <c r="I14" s="157" t="s">
        <v>137</v>
      </c>
      <c r="J14" s="34">
        <v>1</v>
      </c>
      <c r="K14" s="35">
        <v>2</v>
      </c>
      <c r="L14" s="137"/>
      <c r="M14" s="35">
        <v>2</v>
      </c>
      <c r="N14" s="35">
        <v>2</v>
      </c>
      <c r="O14" s="9">
        <f t="shared" si="0"/>
        <v>2</v>
      </c>
      <c r="P14" s="76">
        <f t="shared" si="8"/>
        <v>1</v>
      </c>
      <c r="Q14" s="76">
        <f t="shared" si="9"/>
        <v>2</v>
      </c>
      <c r="R14" s="138" t="str">
        <f t="shared" si="10"/>
        <v/>
      </c>
      <c r="S14" s="76">
        <f t="shared" si="11"/>
        <v>2</v>
      </c>
      <c r="T14" s="76">
        <f t="shared" si="12"/>
        <v>2</v>
      </c>
      <c r="U14" s="72">
        <f t="shared" si="6"/>
        <v>2</v>
      </c>
      <c r="V14" s="73" t="str">
        <f t="shared" si="13"/>
        <v>MEDIA</v>
      </c>
      <c r="W14" s="14"/>
      <c r="X14" s="44"/>
      <c r="Y14" s="44"/>
      <c r="Z14" s="44"/>
      <c r="AA14" s="44"/>
      <c r="AB14" s="44"/>
      <c r="AC14" s="44"/>
      <c r="AD14" s="44"/>
      <c r="AE14" s="44"/>
      <c r="AF14" s="44"/>
      <c r="AG14" s="44"/>
      <c r="AH14" s="44"/>
    </row>
    <row r="15" spans="1:34" s="45" customFormat="1" ht="30.6" customHeight="1">
      <c r="A15" s="42" t="s">
        <v>144</v>
      </c>
      <c r="B15" s="14" t="s">
        <v>145</v>
      </c>
      <c r="C15" s="30" t="s">
        <v>124</v>
      </c>
      <c r="D15" s="14" t="s">
        <v>103</v>
      </c>
      <c r="E15" s="30" t="s">
        <v>146</v>
      </c>
      <c r="F15" s="30" t="s">
        <v>147</v>
      </c>
      <c r="G15" s="32" t="s">
        <v>71</v>
      </c>
      <c r="H15" s="34" t="s">
        <v>66</v>
      </c>
      <c r="I15" s="157" t="s">
        <v>137</v>
      </c>
      <c r="J15" s="34">
        <v>1</v>
      </c>
      <c r="K15" s="35">
        <v>2</v>
      </c>
      <c r="L15" s="137"/>
      <c r="M15" s="35">
        <v>2</v>
      </c>
      <c r="N15" s="35">
        <v>2</v>
      </c>
      <c r="O15" s="9">
        <f t="shared" si="0"/>
        <v>2</v>
      </c>
      <c r="P15" s="76">
        <f t="shared" si="8"/>
        <v>1</v>
      </c>
      <c r="Q15" s="76">
        <f t="shared" si="9"/>
        <v>2</v>
      </c>
      <c r="R15" s="138" t="str">
        <f t="shared" si="10"/>
        <v/>
      </c>
      <c r="S15" s="76">
        <f t="shared" si="11"/>
        <v>2</v>
      </c>
      <c r="T15" s="76">
        <f t="shared" si="12"/>
        <v>2</v>
      </c>
      <c r="U15" s="72">
        <f t="shared" si="6"/>
        <v>2</v>
      </c>
      <c r="V15" s="73" t="str">
        <f t="shared" si="13"/>
        <v>MEDIA</v>
      </c>
      <c r="W15" s="14"/>
      <c r="X15" s="44"/>
      <c r="Y15" s="44"/>
      <c r="Z15" s="44"/>
      <c r="AA15" s="44"/>
      <c r="AB15" s="44"/>
      <c r="AC15" s="44"/>
      <c r="AD15" s="44"/>
      <c r="AE15" s="44"/>
      <c r="AF15" s="44"/>
      <c r="AG15" s="44"/>
      <c r="AH15" s="44"/>
    </row>
    <row r="16" spans="1:34" s="45" customFormat="1" ht="30.6" customHeight="1">
      <c r="A16" s="42" t="s">
        <v>148</v>
      </c>
      <c r="B16" s="14" t="s">
        <v>149</v>
      </c>
      <c r="C16" s="30" t="s">
        <v>150</v>
      </c>
      <c r="D16" s="14" t="s">
        <v>110</v>
      </c>
      <c r="E16" s="30" t="s">
        <v>151</v>
      </c>
      <c r="F16" s="30" t="s">
        <v>152</v>
      </c>
      <c r="G16" s="32" t="s">
        <v>71</v>
      </c>
      <c r="H16" s="34" t="s">
        <v>133</v>
      </c>
      <c r="I16" s="157" t="s">
        <v>112</v>
      </c>
      <c r="J16" s="34">
        <v>2</v>
      </c>
      <c r="K16" s="35">
        <v>2</v>
      </c>
      <c r="L16" s="137"/>
      <c r="M16" s="35">
        <v>2</v>
      </c>
      <c r="N16" s="35">
        <v>2</v>
      </c>
      <c r="O16" s="9">
        <f t="shared" si="0"/>
        <v>2</v>
      </c>
      <c r="P16" s="76">
        <f t="shared" si="8"/>
        <v>2</v>
      </c>
      <c r="Q16" s="76">
        <f t="shared" si="9"/>
        <v>2</v>
      </c>
      <c r="R16" s="138" t="str">
        <f t="shared" si="10"/>
        <v/>
      </c>
      <c r="S16" s="76">
        <f t="shared" si="11"/>
        <v>2</v>
      </c>
      <c r="T16" s="76">
        <f t="shared" si="12"/>
        <v>2</v>
      </c>
      <c r="U16" s="72">
        <f t="shared" si="6"/>
        <v>2</v>
      </c>
      <c r="V16" s="73" t="str">
        <f t="shared" si="13"/>
        <v>MEDIA</v>
      </c>
      <c r="W16" s="14"/>
      <c r="X16" s="44"/>
      <c r="Y16" s="44"/>
      <c r="Z16" s="44"/>
      <c r="AA16" s="44"/>
      <c r="AB16" s="44"/>
      <c r="AC16" s="44"/>
      <c r="AD16" s="44"/>
      <c r="AE16" s="44"/>
      <c r="AF16" s="44"/>
      <c r="AG16" s="44"/>
      <c r="AH16" s="44"/>
    </row>
    <row r="17" spans="1:34" s="45" customFormat="1" ht="30.6" customHeight="1">
      <c r="A17" s="42" t="s">
        <v>153</v>
      </c>
      <c r="B17" s="14" t="s">
        <v>154</v>
      </c>
      <c r="C17" s="30" t="s">
        <v>155</v>
      </c>
      <c r="D17" s="14" t="s">
        <v>110</v>
      </c>
      <c r="E17" s="30" t="s">
        <v>156</v>
      </c>
      <c r="F17" s="30" t="s">
        <v>157</v>
      </c>
      <c r="G17" s="32" t="s">
        <v>71</v>
      </c>
      <c r="H17" s="34" t="s">
        <v>133</v>
      </c>
      <c r="I17" s="157" t="s">
        <v>112</v>
      </c>
      <c r="J17" s="34">
        <v>2</v>
      </c>
      <c r="K17" s="35">
        <v>2</v>
      </c>
      <c r="L17" s="137"/>
      <c r="M17" s="35">
        <v>2</v>
      </c>
      <c r="N17" s="35">
        <v>2</v>
      </c>
      <c r="O17" s="9">
        <f t="shared" si="0"/>
        <v>2</v>
      </c>
      <c r="P17" s="76">
        <f t="shared" si="8"/>
        <v>2</v>
      </c>
      <c r="Q17" s="76">
        <f t="shared" si="9"/>
        <v>2</v>
      </c>
      <c r="R17" s="138" t="str">
        <f t="shared" si="10"/>
        <v/>
      </c>
      <c r="S17" s="76">
        <f t="shared" si="11"/>
        <v>2</v>
      </c>
      <c r="T17" s="76">
        <f t="shared" si="12"/>
        <v>2</v>
      </c>
      <c r="U17" s="72">
        <f t="shared" si="6"/>
        <v>2</v>
      </c>
      <c r="V17" s="73" t="str">
        <f t="shared" si="13"/>
        <v>MEDIA</v>
      </c>
      <c r="W17" s="14"/>
      <c r="X17" s="44"/>
      <c r="Y17" s="44"/>
      <c r="Z17" s="44"/>
      <c r="AA17" s="44"/>
      <c r="AB17" s="44"/>
      <c r="AC17" s="44"/>
      <c r="AD17" s="44"/>
      <c r="AE17" s="44"/>
      <c r="AF17" s="44"/>
      <c r="AG17" s="44"/>
      <c r="AH17" s="44"/>
    </row>
    <row r="18" spans="1:34" s="45" customFormat="1" ht="30.6" customHeight="1">
      <c r="A18" s="42" t="s">
        <v>158</v>
      </c>
      <c r="B18" s="14" t="s">
        <v>159</v>
      </c>
      <c r="C18" s="30" t="s">
        <v>150</v>
      </c>
      <c r="D18" s="14" t="s">
        <v>110</v>
      </c>
      <c r="E18" s="30" t="s">
        <v>160</v>
      </c>
      <c r="F18" s="30" t="s">
        <v>161</v>
      </c>
      <c r="G18" s="32" t="s">
        <v>71</v>
      </c>
      <c r="H18" s="34" t="s">
        <v>76</v>
      </c>
      <c r="I18" s="157" t="s">
        <v>112</v>
      </c>
      <c r="J18" s="34">
        <v>3</v>
      </c>
      <c r="K18" s="35">
        <v>3</v>
      </c>
      <c r="L18" s="137"/>
      <c r="M18" s="35">
        <v>3</v>
      </c>
      <c r="N18" s="35">
        <v>3</v>
      </c>
      <c r="O18" s="9">
        <f t="shared" si="0"/>
        <v>3</v>
      </c>
      <c r="P18" s="76">
        <f t="shared" si="8"/>
        <v>2</v>
      </c>
      <c r="Q18" s="76">
        <f t="shared" si="9"/>
        <v>2</v>
      </c>
      <c r="R18" s="138" t="str">
        <f t="shared" si="10"/>
        <v/>
      </c>
      <c r="S18" s="76">
        <f t="shared" si="11"/>
        <v>2</v>
      </c>
      <c r="T18" s="76">
        <f t="shared" si="12"/>
        <v>2</v>
      </c>
      <c r="U18" s="72">
        <f t="shared" si="6"/>
        <v>2</v>
      </c>
      <c r="V18" s="73" t="str">
        <f t="shared" si="13"/>
        <v>MEDIA</v>
      </c>
      <c r="W18" s="14"/>
      <c r="X18" s="44"/>
      <c r="Y18" s="44"/>
      <c r="Z18" s="44"/>
      <c r="AA18" s="44"/>
      <c r="AB18" s="44"/>
      <c r="AC18" s="44"/>
      <c r="AD18" s="44"/>
      <c r="AE18" s="44"/>
      <c r="AF18" s="44"/>
      <c r="AG18" s="44"/>
      <c r="AH18" s="44"/>
    </row>
    <row r="19" spans="1:34" s="45" customFormat="1" ht="30.6" customHeight="1">
      <c r="A19" s="42" t="s">
        <v>162</v>
      </c>
      <c r="B19" s="14" t="s">
        <v>163</v>
      </c>
      <c r="C19" s="30" t="s">
        <v>150</v>
      </c>
      <c r="D19" s="14" t="s">
        <v>110</v>
      </c>
      <c r="E19" s="30" t="s">
        <v>164</v>
      </c>
      <c r="F19" s="30" t="s">
        <v>165</v>
      </c>
      <c r="G19" s="32" t="s">
        <v>71</v>
      </c>
      <c r="H19" s="34" t="s">
        <v>76</v>
      </c>
      <c r="I19" s="157" t="s">
        <v>112</v>
      </c>
      <c r="J19" s="34">
        <v>2</v>
      </c>
      <c r="K19" s="35">
        <v>2</v>
      </c>
      <c r="L19" s="137"/>
      <c r="M19" s="35">
        <v>2</v>
      </c>
      <c r="N19" s="35">
        <v>2</v>
      </c>
      <c r="O19" s="9">
        <f t="shared" si="0"/>
        <v>2</v>
      </c>
      <c r="P19" s="76">
        <f t="shared" si="8"/>
        <v>2</v>
      </c>
      <c r="Q19" s="76">
        <f t="shared" si="9"/>
        <v>2</v>
      </c>
      <c r="R19" s="138" t="str">
        <f t="shared" si="10"/>
        <v/>
      </c>
      <c r="S19" s="76">
        <f t="shared" si="11"/>
        <v>2</v>
      </c>
      <c r="T19" s="76">
        <f t="shared" si="12"/>
        <v>2</v>
      </c>
      <c r="U19" s="72">
        <f t="shared" si="6"/>
        <v>2</v>
      </c>
      <c r="V19" s="73" t="str">
        <f t="shared" si="13"/>
        <v>MEDIA</v>
      </c>
      <c r="W19" s="14"/>
      <c r="X19" s="44"/>
      <c r="Y19" s="44"/>
      <c r="Z19" s="44"/>
      <c r="AA19" s="44"/>
      <c r="AB19" s="44"/>
      <c r="AC19" s="44"/>
      <c r="AD19" s="44"/>
      <c r="AE19" s="44"/>
      <c r="AF19" s="44"/>
      <c r="AG19" s="44"/>
      <c r="AH19" s="44"/>
    </row>
    <row r="20" spans="1:34" s="45" customFormat="1" ht="30.6" customHeight="1">
      <c r="A20" s="42" t="s">
        <v>166</v>
      </c>
      <c r="B20" s="14" t="s">
        <v>167</v>
      </c>
      <c r="C20" s="30" t="s">
        <v>168</v>
      </c>
      <c r="D20" s="14" t="s">
        <v>110</v>
      </c>
      <c r="E20" s="30" t="s">
        <v>169</v>
      </c>
      <c r="F20" s="30" t="s">
        <v>165</v>
      </c>
      <c r="G20" s="32" t="s">
        <v>71</v>
      </c>
      <c r="H20" s="34" t="s">
        <v>76</v>
      </c>
      <c r="I20" s="157" t="s">
        <v>112</v>
      </c>
      <c r="J20" s="34">
        <v>2</v>
      </c>
      <c r="K20" s="35">
        <v>2</v>
      </c>
      <c r="L20" s="137"/>
      <c r="M20" s="35">
        <v>2</v>
      </c>
      <c r="N20" s="35">
        <v>2</v>
      </c>
      <c r="O20" s="9">
        <f>IF(OR(J20&lt;&gt;"",K20&lt;&gt;"",L20&lt;&gt;"",N20&lt;&gt;"",M20&lt;&gt;""),MAX(J20:N20),"")</f>
        <v>2</v>
      </c>
      <c r="P20" s="76">
        <f t="shared" si="8"/>
        <v>2</v>
      </c>
      <c r="Q20" s="76">
        <f t="shared" si="9"/>
        <v>2</v>
      </c>
      <c r="R20" s="138" t="str">
        <f t="shared" si="10"/>
        <v/>
      </c>
      <c r="S20" s="76">
        <f t="shared" si="11"/>
        <v>2</v>
      </c>
      <c r="T20" s="76">
        <f t="shared" si="12"/>
        <v>2</v>
      </c>
      <c r="U20" s="72">
        <f t="shared" si="6"/>
        <v>2</v>
      </c>
      <c r="V20" s="73" t="str">
        <f t="shared" si="13"/>
        <v>MEDIA</v>
      </c>
      <c r="W20" s="14"/>
      <c r="X20" s="44"/>
      <c r="Y20" s="44"/>
      <c r="Z20" s="44"/>
      <c r="AA20" s="44"/>
      <c r="AB20" s="44"/>
      <c r="AC20" s="44"/>
      <c r="AD20" s="44"/>
      <c r="AE20" s="44"/>
      <c r="AF20" s="44"/>
      <c r="AG20" s="44"/>
      <c r="AH20" s="44"/>
    </row>
    <row r="21" spans="1:34" s="45" customFormat="1" ht="30.6" customHeight="1">
      <c r="A21" s="42" t="s">
        <v>170</v>
      </c>
      <c r="B21" s="14" t="s">
        <v>171</v>
      </c>
      <c r="C21" s="30" t="s">
        <v>155</v>
      </c>
      <c r="D21" s="14" t="s">
        <v>110</v>
      </c>
      <c r="E21" s="30" t="s">
        <v>172</v>
      </c>
      <c r="F21" s="30" t="s">
        <v>173</v>
      </c>
      <c r="G21" s="32" t="s">
        <v>4</v>
      </c>
      <c r="H21" s="34" t="s">
        <v>66</v>
      </c>
      <c r="I21" s="157" t="s">
        <v>112</v>
      </c>
      <c r="J21" s="34">
        <v>2</v>
      </c>
      <c r="K21" s="35">
        <v>2</v>
      </c>
      <c r="L21" s="137"/>
      <c r="M21" s="35">
        <v>2</v>
      </c>
      <c r="N21" s="35">
        <v>2</v>
      </c>
      <c r="O21" s="9">
        <f t="shared" si="0"/>
        <v>2</v>
      </c>
      <c r="P21" s="76">
        <f t="shared" si="8"/>
        <v>2</v>
      </c>
      <c r="Q21" s="76">
        <f t="shared" si="9"/>
        <v>2</v>
      </c>
      <c r="R21" s="138" t="str">
        <f t="shared" si="10"/>
        <v/>
      </c>
      <c r="S21" s="76">
        <f t="shared" si="11"/>
        <v>2</v>
      </c>
      <c r="T21" s="76">
        <f t="shared" si="12"/>
        <v>2</v>
      </c>
      <c r="U21" s="72">
        <f t="shared" si="6"/>
        <v>2</v>
      </c>
      <c r="V21" s="73" t="str">
        <f t="shared" si="13"/>
        <v>MEDIA</v>
      </c>
      <c r="W21" s="14"/>
      <c r="X21" s="44"/>
      <c r="Y21" s="44"/>
      <c r="Z21" s="44"/>
      <c r="AA21" s="44"/>
      <c r="AB21" s="44"/>
      <c r="AC21" s="44"/>
      <c r="AD21" s="44"/>
      <c r="AE21" s="44"/>
      <c r="AF21" s="44"/>
      <c r="AG21" s="44"/>
      <c r="AH21" s="44"/>
    </row>
    <row r="22" spans="1:34" s="45" customFormat="1" ht="30.6" customHeight="1">
      <c r="A22" s="42" t="s">
        <v>174</v>
      </c>
      <c r="B22" s="14" t="s">
        <v>175</v>
      </c>
      <c r="C22" s="30" t="s">
        <v>150</v>
      </c>
      <c r="D22" s="14" t="s">
        <v>110</v>
      </c>
      <c r="E22" s="30" t="s">
        <v>176</v>
      </c>
      <c r="F22" s="30" t="s">
        <v>91</v>
      </c>
      <c r="G22" s="32" t="s">
        <v>71</v>
      </c>
      <c r="H22" s="34" t="s">
        <v>66</v>
      </c>
      <c r="I22" s="157" t="s">
        <v>137</v>
      </c>
      <c r="J22" s="34">
        <v>1</v>
      </c>
      <c r="K22" s="35">
        <v>2</v>
      </c>
      <c r="L22" s="137"/>
      <c r="M22" s="35">
        <v>2</v>
      </c>
      <c r="N22" s="35">
        <v>1</v>
      </c>
      <c r="O22" s="9">
        <f t="shared" si="0"/>
        <v>2</v>
      </c>
      <c r="P22" s="76">
        <f t="shared" si="8"/>
        <v>1</v>
      </c>
      <c r="Q22" s="76">
        <f t="shared" si="9"/>
        <v>2</v>
      </c>
      <c r="R22" s="138" t="str">
        <f t="shared" si="10"/>
        <v/>
      </c>
      <c r="S22" s="76">
        <f t="shared" si="11"/>
        <v>2</v>
      </c>
      <c r="T22" s="76">
        <f t="shared" si="12"/>
        <v>1</v>
      </c>
      <c r="U22" s="72">
        <f t="shared" si="6"/>
        <v>2</v>
      </c>
      <c r="V22" s="73" t="str">
        <f t="shared" si="13"/>
        <v>MEDIA</v>
      </c>
      <c r="W22" s="14"/>
      <c r="X22" s="44"/>
      <c r="Y22" s="44"/>
      <c r="Z22" s="44"/>
      <c r="AA22" s="44"/>
      <c r="AB22" s="44"/>
      <c r="AC22" s="44"/>
      <c r="AD22" s="44"/>
      <c r="AE22" s="44"/>
      <c r="AF22" s="44"/>
      <c r="AG22" s="44"/>
      <c r="AH22" s="44"/>
    </row>
  </sheetData>
  <mergeCells count="6">
    <mergeCell ref="A1:B1"/>
    <mergeCell ref="C1:F1"/>
    <mergeCell ref="J2:O2"/>
    <mergeCell ref="P2:V2"/>
    <mergeCell ref="K1:O1"/>
    <mergeCell ref="P1:V1"/>
  </mergeCells>
  <phoneticPr fontId="20" type="noConversion"/>
  <conditionalFormatting sqref="O4:O22">
    <cfRule type="colorScale" priority="7">
      <colorScale>
        <cfvo type="num" val="0"/>
        <cfvo type="num" val="3"/>
        <color rgb="FFFFEF9C"/>
        <color theme="5"/>
      </colorScale>
    </cfRule>
  </conditionalFormatting>
  <conditionalFormatting sqref="V4:V22">
    <cfRule type="cellIs" dxfId="29" priority="1" operator="equal">
      <formula>"ALTA"</formula>
    </cfRule>
    <cfRule type="cellIs" dxfId="28" priority="2" operator="equal">
      <formula>"BAJA"</formula>
    </cfRule>
    <cfRule type="cellIs" dxfId="27" priority="3" operator="equal">
      <formula>"MEDIA"</formula>
    </cfRule>
  </conditionalFormatting>
  <dataValidations count="3">
    <dataValidation type="list" allowBlank="1" showErrorMessage="1" sqref="J4:K22 M4:N22" xr:uid="{00000000-0002-0000-0300-000003000000}">
      <formula1>Impacte</formula1>
    </dataValidation>
    <dataValidation type="list" allowBlank="1" showErrorMessage="1" sqref="D4:D22" xr:uid="{00000000-0002-0000-0300-000001000000}">
      <formula1>dades_personals</formula1>
    </dataValidation>
    <dataValidation type="list" allowBlank="1" showErrorMessage="1" sqref="I4:I22" xr:uid="{00000000-0002-0000-0300-000004000000}">
      <formula1>Classificacio_informacio</formula1>
    </dataValidation>
  </dataValidations>
  <pageMargins left="0.7" right="0.7" top="0.75" bottom="0.75" header="0" footer="0"/>
  <pageSetup scale="36"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I11"/>
  <sheetViews>
    <sheetView tabSelected="1" topLeftCell="A2" zoomScale="80" zoomScaleNormal="80" workbookViewId="0">
      <selection activeCell="V6" sqref="V6"/>
    </sheetView>
  </sheetViews>
  <sheetFormatPr defaultColWidth="14.28515625" defaultRowHeight="15" customHeight="1"/>
  <cols>
    <col min="1" max="1" width="9.140625" customWidth="1"/>
    <col min="2" max="2" width="41.7109375" customWidth="1"/>
    <col min="3" max="3" width="16.7109375" customWidth="1"/>
    <col min="4" max="4" width="52" bestFit="1" customWidth="1"/>
    <col min="5" max="5" width="54.140625" customWidth="1"/>
    <col min="6" max="6" width="16.28515625" customWidth="1"/>
    <col min="7" max="7" width="8.140625" customWidth="1"/>
    <col min="8" max="8" width="8.85546875" customWidth="1"/>
    <col min="9" max="10" width="7.85546875" customWidth="1"/>
    <col min="11" max="11" width="8" customWidth="1"/>
    <col min="12" max="12" width="11.42578125" customWidth="1"/>
    <col min="13" max="17" width="7.7109375" style="63" customWidth="1"/>
    <col min="18" max="18" width="11.28515625" style="63" customWidth="1"/>
    <col min="19" max="19" width="13.28515625" style="63" customWidth="1"/>
    <col min="20" max="20" width="42.28515625" customWidth="1"/>
    <col min="21" max="35" width="9.140625" customWidth="1"/>
  </cols>
  <sheetData>
    <row r="1" spans="1:35" ht="62.65" customHeight="1">
      <c r="A1" s="216"/>
      <c r="B1" s="261"/>
      <c r="C1" s="216" t="s">
        <v>177</v>
      </c>
      <c r="D1" s="218"/>
      <c r="E1" s="218"/>
      <c r="F1" s="219"/>
      <c r="G1" s="217"/>
      <c r="H1" s="262"/>
      <c r="I1" s="262"/>
      <c r="J1" s="262"/>
      <c r="K1" s="262"/>
      <c r="L1" s="262"/>
      <c r="M1" s="262"/>
      <c r="N1" s="262"/>
      <c r="O1" s="262"/>
      <c r="P1" s="262"/>
      <c r="Q1" s="262"/>
      <c r="R1" s="262"/>
      <c r="S1" s="262"/>
      <c r="T1" s="261"/>
      <c r="U1" s="2"/>
      <c r="V1" s="2"/>
      <c r="W1" s="2"/>
      <c r="X1" s="2"/>
      <c r="Y1" s="2"/>
      <c r="Z1" s="2"/>
      <c r="AA1" s="2"/>
      <c r="AB1" s="2"/>
      <c r="AC1" s="2"/>
      <c r="AD1" s="2"/>
      <c r="AE1" s="2"/>
      <c r="AF1" s="2"/>
      <c r="AG1" s="2"/>
      <c r="AH1" s="2"/>
      <c r="AI1" s="2"/>
    </row>
    <row r="2" spans="1:35" ht="46.9" customHeight="1">
      <c r="A2" s="147"/>
      <c r="B2" s="142"/>
      <c r="C2" s="147"/>
      <c r="D2" s="147"/>
      <c r="E2" s="147"/>
      <c r="F2" s="53"/>
      <c r="G2" s="221" t="s">
        <v>49</v>
      </c>
      <c r="H2" s="263"/>
      <c r="I2" s="263"/>
      <c r="J2" s="263"/>
      <c r="K2" s="263"/>
      <c r="L2" s="264"/>
      <c r="M2" s="220" t="s">
        <v>50</v>
      </c>
      <c r="N2" s="265"/>
      <c r="O2" s="265"/>
      <c r="P2" s="265"/>
      <c r="Q2" s="265"/>
      <c r="R2" s="265"/>
      <c r="S2" s="266"/>
      <c r="T2" s="68"/>
      <c r="U2" s="2"/>
      <c r="V2" s="2"/>
      <c r="W2" s="2"/>
      <c r="X2" s="2"/>
      <c r="Y2" s="2"/>
      <c r="Z2" s="2"/>
      <c r="AA2" s="2"/>
      <c r="AB2" s="2"/>
      <c r="AC2" s="2"/>
      <c r="AD2" s="2"/>
      <c r="AE2" s="2"/>
      <c r="AF2" s="2"/>
      <c r="AG2" s="2"/>
      <c r="AH2" s="2"/>
      <c r="AI2" s="2"/>
    </row>
    <row r="3" spans="1:35" ht="93.75" customHeight="1">
      <c r="A3" s="99" t="s">
        <v>18</v>
      </c>
      <c r="B3" s="99" t="s">
        <v>24</v>
      </c>
      <c r="C3" s="99" t="s">
        <v>26</v>
      </c>
      <c r="D3" s="99" t="s">
        <v>30</v>
      </c>
      <c r="E3" s="99" t="s">
        <v>28</v>
      </c>
      <c r="F3" s="103" t="s">
        <v>97</v>
      </c>
      <c r="G3" s="121" t="s">
        <v>55</v>
      </c>
      <c r="H3" s="100" t="s">
        <v>54</v>
      </c>
      <c r="I3" s="100" t="s">
        <v>34</v>
      </c>
      <c r="J3" s="100" t="s">
        <v>56</v>
      </c>
      <c r="K3" s="100" t="s">
        <v>57</v>
      </c>
      <c r="L3" s="176" t="s">
        <v>58</v>
      </c>
      <c r="M3" s="163" t="s">
        <v>55</v>
      </c>
      <c r="N3" s="143" t="s">
        <v>54</v>
      </c>
      <c r="O3" s="143" t="s">
        <v>34</v>
      </c>
      <c r="P3" s="143" t="s">
        <v>56</v>
      </c>
      <c r="Q3" s="143" t="s">
        <v>57</v>
      </c>
      <c r="R3" s="144" t="s">
        <v>59</v>
      </c>
      <c r="S3" s="164" t="s">
        <v>60</v>
      </c>
      <c r="T3" s="112" t="s">
        <v>44</v>
      </c>
      <c r="U3" s="3"/>
      <c r="V3" s="3"/>
      <c r="W3" s="3"/>
      <c r="X3" s="3"/>
      <c r="Y3" s="3"/>
      <c r="Z3" s="3"/>
      <c r="AA3" s="3"/>
      <c r="AB3" s="3"/>
      <c r="AC3" s="3"/>
      <c r="AD3" s="3"/>
      <c r="AE3" s="3"/>
      <c r="AF3" s="3"/>
      <c r="AG3" s="3"/>
      <c r="AH3" s="3"/>
      <c r="AI3" s="3"/>
    </row>
    <row r="4" spans="1:35" s="171" customFormat="1" ht="45" customHeight="1">
      <c r="A4" s="42" t="s">
        <v>178</v>
      </c>
      <c r="B4" s="30" t="s">
        <v>179</v>
      </c>
      <c r="C4" s="30" t="s">
        <v>180</v>
      </c>
      <c r="D4" s="30" t="s">
        <v>181</v>
      </c>
      <c r="E4" s="30" t="s">
        <v>182</v>
      </c>
      <c r="F4" s="151" t="s">
        <v>71</v>
      </c>
      <c r="G4" s="34">
        <v>2</v>
      </c>
      <c r="H4" s="35"/>
      <c r="I4" s="35"/>
      <c r="J4" s="35"/>
      <c r="K4" s="35"/>
      <c r="L4" s="9">
        <f t="shared" ref="L4:L6" si="0">IF(OR(G4&lt;&gt;"",H4&lt;&gt;"",I4&lt;&gt;"",K4&lt;&gt;"",J4&lt;&gt;""),MAX(G4:K4),"")</f>
        <v>2</v>
      </c>
      <c r="M4" s="165">
        <f t="shared" ref="M4:Q6" si="1">IF(G4="","",VLOOKUP(G4,Valor_Actiu_NivellENS,2,FALSE))</f>
        <v>2</v>
      </c>
      <c r="N4" s="76" t="str">
        <f t="shared" si="1"/>
        <v/>
      </c>
      <c r="O4" s="76" t="str">
        <f t="shared" si="1"/>
        <v/>
      </c>
      <c r="P4" s="76" t="str">
        <f t="shared" si="1"/>
        <v/>
      </c>
      <c r="Q4" s="76" t="str">
        <f t="shared" si="1"/>
        <v/>
      </c>
      <c r="R4" s="72">
        <f t="shared" ref="R4:R6" si="2">IF(OR(M4&lt;&gt;"",N4&lt;&gt;"",O4&lt;&gt;"",Q4&lt;&gt;"",P4&lt;&gt;""),MAX(M4:Q4),"")</f>
        <v>2</v>
      </c>
      <c r="S4" s="73" t="str">
        <f t="shared" ref="S4:S6" si="3">VLOOKUP(R4,NivellENS_Categoria,2,FALSE)</f>
        <v>MEDIA</v>
      </c>
      <c r="T4" s="177"/>
      <c r="U4" s="170"/>
      <c r="V4" s="14"/>
      <c r="W4" s="14"/>
      <c r="X4" s="44"/>
      <c r="Y4" s="44"/>
      <c r="Z4" s="44"/>
      <c r="AA4" s="44"/>
      <c r="AB4" s="44"/>
      <c r="AC4" s="44"/>
      <c r="AD4" s="44"/>
      <c r="AE4" s="44"/>
      <c r="AF4" s="44"/>
      <c r="AG4" s="44"/>
      <c r="AH4" s="44"/>
      <c r="AI4" s="44"/>
    </row>
    <row r="5" spans="1:35" s="171" customFormat="1" ht="35.450000000000003" customHeight="1">
      <c r="A5" s="42" t="s">
        <v>183</v>
      </c>
      <c r="B5" s="30" t="s">
        <v>184</v>
      </c>
      <c r="C5" s="30" t="s">
        <v>180</v>
      </c>
      <c r="D5" s="30" t="s">
        <v>185</v>
      </c>
      <c r="E5" s="30" t="s">
        <v>165</v>
      </c>
      <c r="F5" s="151" t="s">
        <v>71</v>
      </c>
      <c r="G5" s="34">
        <v>3</v>
      </c>
      <c r="H5" s="35"/>
      <c r="I5" s="35"/>
      <c r="J5" s="35"/>
      <c r="K5" s="35"/>
      <c r="L5" s="9">
        <f t="shared" si="0"/>
        <v>3</v>
      </c>
      <c r="M5" s="165">
        <f t="shared" si="1"/>
        <v>2</v>
      </c>
      <c r="N5" s="76" t="str">
        <f t="shared" si="1"/>
        <v/>
      </c>
      <c r="O5" s="76" t="str">
        <f t="shared" si="1"/>
        <v/>
      </c>
      <c r="P5" s="76" t="str">
        <f t="shared" si="1"/>
        <v/>
      </c>
      <c r="Q5" s="76" t="str">
        <f t="shared" si="1"/>
        <v/>
      </c>
      <c r="R5" s="72">
        <f t="shared" si="2"/>
        <v>2</v>
      </c>
      <c r="S5" s="73" t="str">
        <f t="shared" si="3"/>
        <v>MEDIA</v>
      </c>
      <c r="T5" s="177" t="s">
        <v>186</v>
      </c>
      <c r="U5" s="172"/>
      <c r="V5" s="173"/>
      <c r="W5" s="173"/>
      <c r="X5" s="44"/>
      <c r="Y5" s="44"/>
      <c r="Z5" s="44"/>
      <c r="AA5" s="44"/>
      <c r="AB5" s="44"/>
      <c r="AC5" s="44"/>
      <c r="AD5" s="44"/>
      <c r="AE5" s="44"/>
      <c r="AF5" s="44"/>
      <c r="AG5" s="44"/>
      <c r="AH5" s="44"/>
      <c r="AI5" s="44"/>
    </row>
    <row r="6" spans="1:35" s="171" customFormat="1" ht="75" customHeight="1">
      <c r="A6" s="42" t="s">
        <v>187</v>
      </c>
      <c r="B6" s="30" t="s">
        <v>188</v>
      </c>
      <c r="C6" s="30" t="s">
        <v>180</v>
      </c>
      <c r="D6" s="30" t="s">
        <v>189</v>
      </c>
      <c r="E6" s="30" t="s">
        <v>190</v>
      </c>
      <c r="F6" s="151" t="s">
        <v>71</v>
      </c>
      <c r="G6" s="34">
        <v>3</v>
      </c>
      <c r="H6" s="35"/>
      <c r="I6" s="35"/>
      <c r="J6" s="35"/>
      <c r="K6" s="35"/>
      <c r="L6" s="9">
        <f t="shared" si="0"/>
        <v>3</v>
      </c>
      <c r="M6" s="165">
        <f t="shared" si="1"/>
        <v>2</v>
      </c>
      <c r="N6" s="76" t="str">
        <f t="shared" si="1"/>
        <v/>
      </c>
      <c r="O6" s="76" t="str">
        <f t="shared" si="1"/>
        <v/>
      </c>
      <c r="P6" s="76" t="str">
        <f t="shared" si="1"/>
        <v/>
      </c>
      <c r="Q6" s="76" t="str">
        <f t="shared" si="1"/>
        <v/>
      </c>
      <c r="R6" s="72">
        <f t="shared" si="2"/>
        <v>2</v>
      </c>
      <c r="S6" s="73" t="str">
        <f t="shared" si="3"/>
        <v>MEDIA</v>
      </c>
      <c r="T6" s="177"/>
      <c r="U6" s="172"/>
      <c r="V6" s="173"/>
      <c r="W6" s="173"/>
      <c r="X6" s="44"/>
      <c r="Y6" s="44"/>
      <c r="Z6" s="44"/>
      <c r="AA6" s="44"/>
      <c r="AB6" s="44"/>
      <c r="AC6" s="44"/>
      <c r="AD6" s="44"/>
      <c r="AE6" s="44"/>
      <c r="AF6" s="44"/>
      <c r="AG6" s="44"/>
      <c r="AH6" s="44"/>
      <c r="AI6" s="44"/>
    </row>
    <row r="11" spans="1:35" ht="15" customHeight="1">
      <c r="L11" s="21"/>
    </row>
  </sheetData>
  <mergeCells count="5">
    <mergeCell ref="A1:B1"/>
    <mergeCell ref="G1:T1"/>
    <mergeCell ref="C1:F1"/>
    <mergeCell ref="M2:S2"/>
    <mergeCell ref="G2:L2"/>
  </mergeCells>
  <phoneticPr fontId="20" type="noConversion"/>
  <conditionalFormatting sqref="L4:L6">
    <cfRule type="colorScale" priority="1">
      <colorScale>
        <cfvo type="num" val="0"/>
        <cfvo type="num" val="3"/>
        <color rgb="FFFFEF9C"/>
        <color theme="5"/>
      </colorScale>
    </cfRule>
  </conditionalFormatting>
  <conditionalFormatting sqref="S4:S6">
    <cfRule type="cellIs" dxfId="26" priority="3" operator="equal">
      <formula>"ALTA"</formula>
    </cfRule>
    <cfRule type="cellIs" dxfId="25" priority="4" operator="equal">
      <formula>"BAJA"</formula>
    </cfRule>
    <cfRule type="cellIs" dxfId="24" priority="5" operator="equal">
      <formula>"MEDIA"</formula>
    </cfRule>
  </conditionalFormatting>
  <conditionalFormatting sqref="U4:U6">
    <cfRule type="colorScale" priority="24">
      <colorScale>
        <cfvo type="formula" val="0"/>
        <cfvo type="formula" val="5"/>
        <color rgb="FFFFFFFF"/>
        <color rgb="FFE36C09"/>
      </colorScale>
    </cfRule>
    <cfRule type="colorScale" priority="25">
      <colorScale>
        <cfvo type="min"/>
        <cfvo type="max"/>
        <color rgb="FFFDE9D9"/>
        <color rgb="FFCC3300"/>
      </colorScale>
    </cfRule>
    <cfRule type="colorScale" priority="26">
      <colorScale>
        <cfvo type="min"/>
        <cfvo type="max"/>
        <color rgb="FFFFEF9C"/>
        <color rgb="FFFF7128"/>
      </colorScale>
    </cfRule>
    <cfRule type="colorScale" priority="27">
      <colorScale>
        <cfvo type="formula" val="0"/>
        <cfvo type="formula" val="5"/>
        <color rgb="FFFFFFFF"/>
        <color rgb="FFE36C09"/>
      </colorScale>
    </cfRule>
    <cfRule type="colorScale" priority="28">
      <colorScale>
        <cfvo type="min"/>
        <cfvo type="max"/>
        <color rgb="FFFDE9D9"/>
        <color rgb="FFCC3300"/>
      </colorScale>
    </cfRule>
    <cfRule type="colorScale" priority="29">
      <colorScale>
        <cfvo type="min"/>
        <cfvo type="max"/>
        <color rgb="FFFFEF9C"/>
        <color rgb="FFFF7128"/>
      </colorScale>
    </cfRule>
  </conditionalFormatting>
  <dataValidations count="1">
    <dataValidation type="list" allowBlank="1" showErrorMessage="1" sqref="G4:K6" xr:uid="{BE5E99DE-E223-4B78-BCF4-1B3B8D0EC052}">
      <formula1>Impacte</formula1>
    </dataValidation>
  </dataValidations>
  <pageMargins left="0.7" right="0.7" top="0.75" bottom="0.75" header="0" footer="0"/>
  <pageSetup scale="4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I8"/>
  <sheetViews>
    <sheetView zoomScale="80" zoomScaleNormal="80" workbookViewId="0">
      <selection activeCell="C15" sqref="C15"/>
    </sheetView>
  </sheetViews>
  <sheetFormatPr defaultColWidth="14.28515625" defaultRowHeight="15" customHeight="1"/>
  <cols>
    <col min="1" max="1" width="9.28515625" customWidth="1"/>
    <col min="2" max="2" width="28.7109375" bestFit="1" customWidth="1"/>
    <col min="3" max="3" width="25.85546875" bestFit="1" customWidth="1"/>
    <col min="4" max="4" width="53.7109375" customWidth="1"/>
    <col min="5" max="5" width="30.140625" bestFit="1" customWidth="1"/>
    <col min="6" max="6" width="22.85546875" customWidth="1"/>
    <col min="7" max="7" width="7.7109375" customWidth="1"/>
    <col min="8" max="10" width="7.28515625" customWidth="1"/>
    <col min="11" max="11" width="8.140625" customWidth="1"/>
    <col min="12" max="12" width="9.140625" customWidth="1"/>
    <col min="13" max="17" width="7.7109375" style="63" customWidth="1"/>
    <col min="18" max="19" width="11.28515625" style="63" customWidth="1"/>
    <col min="20" max="20" width="52.7109375" customWidth="1"/>
    <col min="21" max="35" width="9.140625" customWidth="1"/>
  </cols>
  <sheetData>
    <row r="1" spans="1:35" ht="55.15" customHeight="1">
      <c r="A1" s="222"/>
      <c r="B1" s="267"/>
      <c r="C1" s="224" t="s">
        <v>191</v>
      </c>
      <c r="D1" s="225"/>
      <c r="E1" s="225"/>
      <c r="F1" s="226"/>
      <c r="G1" s="223"/>
      <c r="H1" s="262"/>
      <c r="I1" s="262"/>
      <c r="J1" s="262"/>
      <c r="K1" s="262"/>
      <c r="L1" s="262"/>
      <c r="M1" s="262"/>
      <c r="N1" s="262"/>
      <c r="O1" s="262"/>
      <c r="P1" s="262"/>
      <c r="Q1" s="262"/>
      <c r="R1" s="262"/>
      <c r="S1" s="262"/>
      <c r="T1" s="261"/>
    </row>
    <row r="2" spans="1:35" ht="44.1" customHeight="1">
      <c r="A2" s="227"/>
      <c r="B2" s="228"/>
      <c r="C2" s="228"/>
      <c r="D2" s="228"/>
      <c r="E2" s="228"/>
      <c r="F2" s="228"/>
      <c r="G2" s="221" t="s">
        <v>49</v>
      </c>
      <c r="H2" s="263"/>
      <c r="I2" s="263"/>
      <c r="J2" s="263"/>
      <c r="K2" s="263"/>
      <c r="L2" s="264"/>
      <c r="M2" s="220" t="s">
        <v>50</v>
      </c>
      <c r="N2" s="265"/>
      <c r="O2" s="265"/>
      <c r="P2" s="265"/>
      <c r="Q2" s="265"/>
      <c r="R2" s="265"/>
      <c r="S2" s="266"/>
      <c r="T2" s="68"/>
    </row>
    <row r="3" spans="1:35" s="2" customFormat="1" ht="93.6" customHeight="1">
      <c r="A3" s="99" t="s">
        <v>18</v>
      </c>
      <c r="B3" s="99" t="s">
        <v>24</v>
      </c>
      <c r="C3" s="99" t="s">
        <v>26</v>
      </c>
      <c r="D3" s="99" t="s">
        <v>30</v>
      </c>
      <c r="E3" s="99" t="s">
        <v>28</v>
      </c>
      <c r="F3" s="103" t="s">
        <v>97</v>
      </c>
      <c r="G3" s="121" t="s">
        <v>34</v>
      </c>
      <c r="H3" s="100" t="s">
        <v>54</v>
      </c>
      <c r="I3" s="100" t="s">
        <v>55</v>
      </c>
      <c r="J3" s="100" t="s">
        <v>56</v>
      </c>
      <c r="K3" s="100" t="s">
        <v>57</v>
      </c>
      <c r="L3" s="122" t="s">
        <v>58</v>
      </c>
      <c r="M3" s="163" t="s">
        <v>34</v>
      </c>
      <c r="N3" s="143" t="s">
        <v>54</v>
      </c>
      <c r="O3" s="143" t="s">
        <v>55</v>
      </c>
      <c r="P3" s="143" t="s">
        <v>56</v>
      </c>
      <c r="Q3" s="143" t="s">
        <v>57</v>
      </c>
      <c r="R3" s="144" t="s">
        <v>59</v>
      </c>
      <c r="S3" s="164" t="s">
        <v>60</v>
      </c>
      <c r="T3" s="119" t="s">
        <v>44</v>
      </c>
      <c r="U3" s="3"/>
      <c r="V3" s="3"/>
      <c r="W3" s="3"/>
      <c r="X3" s="3"/>
      <c r="Y3" s="3"/>
      <c r="Z3" s="3"/>
      <c r="AA3" s="3"/>
      <c r="AB3" s="3"/>
      <c r="AC3" s="3"/>
      <c r="AD3" s="3"/>
      <c r="AE3" s="3"/>
      <c r="AF3" s="3"/>
      <c r="AG3" s="3"/>
      <c r="AH3" s="3"/>
      <c r="AI3" s="3"/>
    </row>
    <row r="4" spans="1:35" s="2" customFormat="1" ht="30" customHeight="1">
      <c r="A4" s="4" t="s">
        <v>192</v>
      </c>
      <c r="B4" s="5" t="s">
        <v>193</v>
      </c>
      <c r="C4" s="6" t="s">
        <v>194</v>
      </c>
      <c r="D4" s="6" t="s">
        <v>195</v>
      </c>
      <c r="E4" s="6" t="s">
        <v>95</v>
      </c>
      <c r="F4" s="32" t="s">
        <v>196</v>
      </c>
      <c r="G4" s="34"/>
      <c r="H4" s="35"/>
      <c r="I4" s="35">
        <v>2</v>
      </c>
      <c r="J4" s="35"/>
      <c r="K4" s="35"/>
      <c r="L4" s="9">
        <f t="shared" ref="L4:L7" si="0">IF(OR(G4&lt;&gt;"",H4&lt;&gt;"",I4&lt;&gt;"",K4&lt;&gt;"",J4&lt;&gt;""),MAX(G4:K4),"")</f>
        <v>2</v>
      </c>
      <c r="M4" s="76" t="str">
        <f t="shared" ref="M4:Q7" si="1">IF(G4="","",VLOOKUP(G4,Valor_Actiu_NivellENS,2,FALSE))</f>
        <v/>
      </c>
      <c r="N4" s="76" t="str">
        <f t="shared" si="1"/>
        <v/>
      </c>
      <c r="O4" s="76">
        <f t="shared" si="1"/>
        <v>2</v>
      </c>
      <c r="P4" s="76" t="str">
        <f t="shared" si="1"/>
        <v/>
      </c>
      <c r="Q4" s="76" t="str">
        <f t="shared" si="1"/>
        <v/>
      </c>
      <c r="R4" s="72">
        <f t="shared" ref="R4:R7" si="2">IF(OR(M4&lt;&gt;"",N4&lt;&gt;"",O4&lt;&gt;"",Q4&lt;&gt;"",P4&lt;&gt;""),MAX(M4:Q4),"")</f>
        <v>2</v>
      </c>
      <c r="S4" s="73" t="str">
        <f t="shared" ref="S4:S7" si="3">VLOOKUP(R4,NivellENS_Categoria,2,FALSE)</f>
        <v>MEDIA</v>
      </c>
      <c r="T4" s="79"/>
      <c r="U4" s="10"/>
      <c r="V4" s="10"/>
      <c r="W4" s="10"/>
      <c r="X4" s="10"/>
      <c r="Y4" s="10"/>
      <c r="Z4" s="10"/>
      <c r="AA4" s="10"/>
      <c r="AB4" s="10"/>
      <c r="AC4" s="10"/>
      <c r="AD4" s="10"/>
      <c r="AE4" s="10"/>
      <c r="AF4" s="10"/>
      <c r="AG4" s="10"/>
      <c r="AH4" s="10"/>
      <c r="AI4" s="10"/>
    </row>
    <row r="5" spans="1:35" s="2" customFormat="1" ht="28.15" customHeight="1">
      <c r="A5" s="4" t="s">
        <v>197</v>
      </c>
      <c r="B5" s="5" t="s">
        <v>198</v>
      </c>
      <c r="C5" s="6" t="s">
        <v>199</v>
      </c>
      <c r="D5" s="6" t="s">
        <v>200</v>
      </c>
      <c r="E5" s="6" t="s">
        <v>95</v>
      </c>
      <c r="F5" s="32" t="s">
        <v>196</v>
      </c>
      <c r="G5" s="34"/>
      <c r="H5" s="35"/>
      <c r="I5" s="35">
        <v>3</v>
      </c>
      <c r="J5" s="35"/>
      <c r="K5" s="35"/>
      <c r="L5" s="9">
        <f t="shared" si="0"/>
        <v>3</v>
      </c>
      <c r="M5" s="76" t="str">
        <f t="shared" si="1"/>
        <v/>
      </c>
      <c r="N5" s="76" t="str">
        <f t="shared" si="1"/>
        <v/>
      </c>
      <c r="O5" s="76">
        <f t="shared" si="1"/>
        <v>2</v>
      </c>
      <c r="P5" s="76" t="str">
        <f t="shared" si="1"/>
        <v/>
      </c>
      <c r="Q5" s="76" t="str">
        <f t="shared" si="1"/>
        <v/>
      </c>
      <c r="R5" s="72">
        <f t="shared" si="2"/>
        <v>2</v>
      </c>
      <c r="S5" s="73" t="str">
        <f t="shared" si="3"/>
        <v>MEDIA</v>
      </c>
      <c r="T5" s="79"/>
      <c r="U5" s="10"/>
      <c r="V5" s="10"/>
      <c r="W5" s="10"/>
      <c r="X5" s="10"/>
      <c r="Y5" s="10"/>
      <c r="Z5" s="10"/>
      <c r="AA5" s="10"/>
      <c r="AB5" s="10"/>
      <c r="AC5" s="10"/>
      <c r="AD5" s="10"/>
      <c r="AE5" s="10"/>
      <c r="AF5" s="10"/>
      <c r="AG5" s="10"/>
      <c r="AH5" s="10"/>
      <c r="AI5" s="10"/>
    </row>
    <row r="6" spans="1:35" s="2" customFormat="1" ht="31.15" customHeight="1">
      <c r="A6" s="4" t="s">
        <v>201</v>
      </c>
      <c r="B6" s="5" t="s">
        <v>202</v>
      </c>
      <c r="C6" s="6" t="s">
        <v>203</v>
      </c>
      <c r="D6" s="6" t="s">
        <v>204</v>
      </c>
      <c r="E6" s="6" t="s">
        <v>205</v>
      </c>
      <c r="F6" s="32" t="s">
        <v>196</v>
      </c>
      <c r="G6" s="34"/>
      <c r="H6" s="35"/>
      <c r="I6" s="35">
        <v>2</v>
      </c>
      <c r="J6" s="35"/>
      <c r="K6" s="35"/>
      <c r="L6" s="9">
        <f t="shared" si="0"/>
        <v>2</v>
      </c>
      <c r="M6" s="76" t="str">
        <f t="shared" si="1"/>
        <v/>
      </c>
      <c r="N6" s="76" t="str">
        <f t="shared" si="1"/>
        <v/>
      </c>
      <c r="O6" s="76">
        <f t="shared" si="1"/>
        <v>2</v>
      </c>
      <c r="P6" s="76" t="str">
        <f t="shared" si="1"/>
        <v/>
      </c>
      <c r="Q6" s="76" t="str">
        <f t="shared" si="1"/>
        <v/>
      </c>
      <c r="R6" s="72">
        <f t="shared" si="2"/>
        <v>2</v>
      </c>
      <c r="S6" s="73" t="str">
        <f t="shared" si="3"/>
        <v>MEDIA</v>
      </c>
      <c r="T6" s="79"/>
      <c r="U6" s="10"/>
      <c r="V6" s="10"/>
      <c r="W6" s="10"/>
      <c r="X6" s="10"/>
      <c r="Y6" s="10"/>
      <c r="Z6" s="10"/>
      <c r="AA6" s="10"/>
      <c r="AB6" s="10"/>
      <c r="AC6" s="10"/>
      <c r="AD6" s="10"/>
      <c r="AE6" s="10"/>
      <c r="AF6" s="10"/>
      <c r="AG6" s="10"/>
      <c r="AH6" s="10"/>
      <c r="AI6" s="10"/>
    </row>
    <row r="7" spans="1:35" s="2" customFormat="1" ht="28.15" customHeight="1">
      <c r="A7" s="4" t="s">
        <v>206</v>
      </c>
      <c r="B7" s="5" t="s">
        <v>207</v>
      </c>
      <c r="C7" s="6" t="s">
        <v>194</v>
      </c>
      <c r="D7" s="6" t="s">
        <v>208</v>
      </c>
      <c r="E7" s="6" t="s">
        <v>89</v>
      </c>
      <c r="F7" s="32" t="s">
        <v>196</v>
      </c>
      <c r="G7" s="34"/>
      <c r="H7" s="35"/>
      <c r="I7" s="35">
        <v>3</v>
      </c>
      <c r="J7" s="35"/>
      <c r="K7" s="35"/>
      <c r="L7" s="9">
        <f t="shared" si="0"/>
        <v>3</v>
      </c>
      <c r="M7" s="76" t="str">
        <f t="shared" si="1"/>
        <v/>
      </c>
      <c r="N7" s="76" t="str">
        <f t="shared" si="1"/>
        <v/>
      </c>
      <c r="O7" s="76">
        <f t="shared" si="1"/>
        <v>2</v>
      </c>
      <c r="P7" s="76" t="str">
        <f t="shared" si="1"/>
        <v/>
      </c>
      <c r="Q7" s="76" t="str">
        <f t="shared" si="1"/>
        <v/>
      </c>
      <c r="R7" s="72">
        <f t="shared" si="2"/>
        <v>2</v>
      </c>
      <c r="S7" s="73" t="str">
        <f t="shared" si="3"/>
        <v>MEDIA</v>
      </c>
      <c r="T7" s="79"/>
      <c r="U7" s="10"/>
      <c r="V7" s="10"/>
      <c r="W7" s="10"/>
      <c r="X7" s="10"/>
      <c r="Y7" s="10"/>
      <c r="Z7" s="10"/>
      <c r="AA7" s="10"/>
      <c r="AB7" s="10"/>
      <c r="AC7" s="10"/>
      <c r="AD7" s="10"/>
      <c r="AE7" s="10"/>
      <c r="AF7" s="10"/>
      <c r="AG7" s="10"/>
      <c r="AH7" s="10"/>
      <c r="AI7" s="10"/>
    </row>
    <row r="8" spans="1:35" s="2" customFormat="1" ht="21.6" customHeight="1">
      <c r="A8" s="4" t="s">
        <v>209</v>
      </c>
      <c r="B8" s="5" t="s">
        <v>210</v>
      </c>
      <c r="C8" s="6" t="s">
        <v>211</v>
      </c>
      <c r="D8" s="6" t="s">
        <v>212</v>
      </c>
      <c r="E8" s="6" t="s">
        <v>89</v>
      </c>
      <c r="F8" s="32" t="s">
        <v>196</v>
      </c>
      <c r="G8" s="34"/>
      <c r="H8" s="35">
        <v>3</v>
      </c>
      <c r="I8" s="35">
        <v>3</v>
      </c>
      <c r="J8" s="35">
        <v>3</v>
      </c>
      <c r="K8" s="35"/>
      <c r="L8" s="9">
        <f t="shared" ref="L8" si="4">IF(OR(G8&lt;&gt;"",H8&lt;&gt;"",I8&lt;&gt;"",K8&lt;&gt;"",J8&lt;&gt;""),MAX(G8:K8),"")</f>
        <v>3</v>
      </c>
      <c r="M8" s="76" t="str">
        <f t="shared" ref="M8" si="5">IF(G8="","",VLOOKUP(G8,Valor_Actiu_NivellENS,2,FALSE))</f>
        <v/>
      </c>
      <c r="N8" s="76">
        <f t="shared" ref="N8" si="6">IF(H8="","",VLOOKUP(H8,Valor_Actiu_NivellENS,2,FALSE))</f>
        <v>2</v>
      </c>
      <c r="O8" s="76">
        <f t="shared" ref="O8" si="7">IF(I8="","",VLOOKUP(I8,Valor_Actiu_NivellENS,2,FALSE))</f>
        <v>2</v>
      </c>
      <c r="P8" s="76">
        <f t="shared" ref="P8" si="8">IF(J8="","",VLOOKUP(J8,Valor_Actiu_NivellENS,2,FALSE))</f>
        <v>2</v>
      </c>
      <c r="Q8" s="76" t="str">
        <f t="shared" ref="Q8" si="9">IF(K8="","",VLOOKUP(K8,Valor_Actiu_NivellENS,2,FALSE))</f>
        <v/>
      </c>
      <c r="R8" s="72">
        <f t="shared" ref="R8" si="10">IF(OR(M8&lt;&gt;"",N8&lt;&gt;"",O8&lt;&gt;"",Q8&lt;&gt;"",P8&lt;&gt;""),MAX(M8:Q8),"")</f>
        <v>2</v>
      </c>
      <c r="S8" s="73" t="str">
        <f t="shared" ref="S8" si="11">VLOOKUP(R8,NivellENS_Categoria,2,FALSE)</f>
        <v>MEDIA</v>
      </c>
      <c r="T8" s="79"/>
      <c r="U8" s="10"/>
      <c r="V8" s="10"/>
      <c r="W8" s="10"/>
      <c r="X8" s="10"/>
      <c r="Y8" s="10"/>
      <c r="Z8" s="10"/>
      <c r="AA8" s="10"/>
      <c r="AB8" s="10"/>
      <c r="AC8" s="10"/>
      <c r="AD8" s="10"/>
      <c r="AE8" s="10"/>
      <c r="AF8" s="10"/>
      <c r="AG8" s="10"/>
      <c r="AH8" s="10"/>
      <c r="AI8" s="10"/>
    </row>
  </sheetData>
  <mergeCells count="6">
    <mergeCell ref="A1:B1"/>
    <mergeCell ref="G1:T1"/>
    <mergeCell ref="C1:F1"/>
    <mergeCell ref="M2:S2"/>
    <mergeCell ref="G2:L2"/>
    <mergeCell ref="A2:F2"/>
  </mergeCells>
  <phoneticPr fontId="21" type="noConversion"/>
  <conditionalFormatting sqref="L4:L8">
    <cfRule type="colorScale" priority="4">
      <colorScale>
        <cfvo type="num" val="0"/>
        <cfvo type="num" val="3"/>
        <color rgb="FFFFEF9C"/>
        <color theme="5"/>
      </colorScale>
    </cfRule>
  </conditionalFormatting>
  <conditionalFormatting sqref="S4:S8">
    <cfRule type="cellIs" dxfId="23" priority="1" operator="equal">
      <formula>"ALTA"</formula>
    </cfRule>
    <cfRule type="cellIs" dxfId="22" priority="2" operator="equal">
      <formula>"BAJA"</formula>
    </cfRule>
    <cfRule type="cellIs" dxfId="21" priority="3" operator="equal">
      <formula>"MEDIA"</formula>
    </cfRule>
  </conditionalFormatting>
  <dataValidations count="1">
    <dataValidation type="list" allowBlank="1" showErrorMessage="1" sqref="G4:H8 J4:K8" xr:uid="{3D652FE2-B979-4763-8979-6ADCED60E9D4}">
      <formula1>Impacte</formula1>
    </dataValidation>
  </dataValidations>
  <pageMargins left="0.7" right="0.7" top="0.75" bottom="0.75" header="0" footer="0"/>
  <pageSetup scale="45"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I21"/>
  <sheetViews>
    <sheetView zoomScale="80" zoomScaleNormal="80" workbookViewId="0">
      <selection activeCell="E7" sqref="E7"/>
    </sheetView>
  </sheetViews>
  <sheetFormatPr defaultColWidth="14.28515625" defaultRowHeight="15" customHeight="1"/>
  <cols>
    <col min="1" max="1" width="7.28515625" customWidth="1"/>
    <col min="2" max="2" width="29.140625" customWidth="1"/>
    <col min="3" max="3" width="30.42578125" customWidth="1"/>
    <col min="4" max="4" width="44" customWidth="1"/>
    <col min="5" max="5" width="52.28515625" customWidth="1"/>
    <col min="6" max="6" width="14.140625" customWidth="1"/>
    <col min="7" max="11" width="6.7109375" customWidth="1"/>
    <col min="12" max="12" width="9.140625" customWidth="1"/>
    <col min="13" max="17" width="7.7109375" style="63" customWidth="1"/>
    <col min="18" max="19" width="11.28515625" style="63" customWidth="1"/>
    <col min="20" max="20" width="52.7109375" customWidth="1"/>
    <col min="21" max="35" width="9.140625" customWidth="1"/>
  </cols>
  <sheetData>
    <row r="1" spans="1:35" ht="60.4" customHeight="1">
      <c r="A1" s="222"/>
      <c r="B1" s="267"/>
      <c r="C1" s="229" t="s">
        <v>213</v>
      </c>
      <c r="D1" s="230"/>
      <c r="E1" s="230"/>
      <c r="F1" s="230"/>
      <c r="G1" s="218"/>
      <c r="H1" s="262"/>
      <c r="I1" s="262"/>
      <c r="J1" s="262"/>
      <c r="K1" s="262"/>
      <c r="L1" s="262"/>
      <c r="M1" s="262"/>
      <c r="N1" s="262"/>
      <c r="O1" s="262"/>
      <c r="P1" s="262"/>
      <c r="Q1" s="262"/>
      <c r="R1" s="262"/>
      <c r="S1" s="262"/>
      <c r="T1" s="261"/>
    </row>
    <row r="2" spans="1:35" ht="46.9" customHeight="1">
      <c r="A2" s="145"/>
      <c r="B2" s="41"/>
      <c r="C2" s="52"/>
      <c r="D2" s="52"/>
      <c r="E2" s="52"/>
      <c r="F2" s="174"/>
      <c r="G2" s="221" t="s">
        <v>49</v>
      </c>
      <c r="H2" s="263"/>
      <c r="I2" s="263"/>
      <c r="J2" s="263"/>
      <c r="K2" s="263"/>
      <c r="L2" s="264"/>
      <c r="M2" s="231" t="s">
        <v>50</v>
      </c>
      <c r="N2" s="268"/>
      <c r="O2" s="268"/>
      <c r="P2" s="268"/>
      <c r="Q2" s="268"/>
      <c r="R2" s="268"/>
      <c r="S2" s="269"/>
      <c r="T2" s="68"/>
    </row>
    <row r="3" spans="1:35" s="2" customFormat="1" ht="94.9" customHeight="1">
      <c r="A3" s="99" t="s">
        <v>18</v>
      </c>
      <c r="B3" s="99" t="s">
        <v>24</v>
      </c>
      <c r="C3" s="99" t="s">
        <v>26</v>
      </c>
      <c r="D3" s="99" t="s">
        <v>30</v>
      </c>
      <c r="E3" s="99" t="s">
        <v>28</v>
      </c>
      <c r="F3" s="103" t="s">
        <v>97</v>
      </c>
      <c r="G3" s="121" t="s">
        <v>55</v>
      </c>
      <c r="H3" s="100" t="s">
        <v>54</v>
      </c>
      <c r="I3" s="100" t="s">
        <v>34</v>
      </c>
      <c r="J3" s="100" t="s">
        <v>56</v>
      </c>
      <c r="K3" s="100" t="s">
        <v>57</v>
      </c>
      <c r="L3" s="122" t="s">
        <v>58</v>
      </c>
      <c r="M3" s="167" t="s">
        <v>55</v>
      </c>
      <c r="N3" s="148" t="s">
        <v>54</v>
      </c>
      <c r="O3" s="148" t="s">
        <v>34</v>
      </c>
      <c r="P3" s="148" t="s">
        <v>56</v>
      </c>
      <c r="Q3" s="148" t="s">
        <v>57</v>
      </c>
      <c r="R3" s="149" t="s">
        <v>59</v>
      </c>
      <c r="S3" s="168" t="s">
        <v>60</v>
      </c>
      <c r="T3" s="119" t="s">
        <v>44</v>
      </c>
      <c r="U3" s="3"/>
      <c r="V3" s="3"/>
      <c r="W3" s="3"/>
      <c r="X3" s="3"/>
      <c r="Y3" s="3"/>
      <c r="Z3" s="3"/>
      <c r="AA3" s="3"/>
      <c r="AB3" s="3"/>
      <c r="AC3" s="3"/>
      <c r="AD3" s="3"/>
      <c r="AE3" s="3"/>
      <c r="AF3" s="3"/>
      <c r="AG3" s="3"/>
      <c r="AH3" s="3"/>
      <c r="AI3" s="3"/>
    </row>
    <row r="4" spans="1:35" s="2" customFormat="1" ht="37.5" customHeight="1">
      <c r="A4" s="42" t="s">
        <v>214</v>
      </c>
      <c r="B4" s="6" t="s">
        <v>215</v>
      </c>
      <c r="C4" s="6" t="s">
        <v>216</v>
      </c>
      <c r="D4" s="6" t="s">
        <v>217</v>
      </c>
      <c r="E4" s="30" t="s">
        <v>147</v>
      </c>
      <c r="F4" s="151" t="s">
        <v>71</v>
      </c>
      <c r="G4" s="34">
        <v>2</v>
      </c>
      <c r="H4" s="35">
        <v>2</v>
      </c>
      <c r="I4" s="35">
        <v>2</v>
      </c>
      <c r="J4" s="35">
        <v>1</v>
      </c>
      <c r="K4" s="35">
        <v>1</v>
      </c>
      <c r="L4" s="9">
        <f t="shared" ref="L4:L8" si="0">IF(OR(G4&lt;&gt;"",H4&lt;&gt;"",I4&lt;&gt;"",K4&lt;&gt;"",J4&lt;&gt;""),MAX(G4:K4),"")</f>
        <v>2</v>
      </c>
      <c r="M4" s="165">
        <f t="shared" ref="M4:Q9" si="1">IF(G4="","",VLOOKUP(G4,Valor_Actiu_NivellENS,2,FALSE))</f>
        <v>2</v>
      </c>
      <c r="N4" s="76">
        <f t="shared" si="1"/>
        <v>2</v>
      </c>
      <c r="O4" s="76">
        <f t="shared" si="1"/>
        <v>2</v>
      </c>
      <c r="P4" s="76">
        <f t="shared" si="1"/>
        <v>1</v>
      </c>
      <c r="Q4" s="76">
        <f t="shared" si="1"/>
        <v>1</v>
      </c>
      <c r="R4" s="72">
        <f t="shared" ref="R4:R9" si="2">IF(OR(M4&lt;&gt;"",N4&lt;&gt;"",O4&lt;&gt;"",Q4&lt;&gt;"",P4&lt;&gt;""),MAX(M4:Q4),"")</f>
        <v>2</v>
      </c>
      <c r="S4" s="73" t="str">
        <f t="shared" ref="S4:S9" si="3">VLOOKUP(R4,NivellENS_Categoria,2,FALSE)</f>
        <v>MEDIA</v>
      </c>
      <c r="T4" s="33"/>
      <c r="U4" s="10"/>
      <c r="V4" s="10"/>
      <c r="W4" s="10"/>
      <c r="X4" s="10"/>
      <c r="Y4" s="10"/>
      <c r="Z4" s="10"/>
      <c r="AA4" s="10"/>
      <c r="AB4" s="10"/>
      <c r="AC4" s="10"/>
      <c r="AD4" s="10"/>
      <c r="AE4" s="10"/>
      <c r="AF4" s="10"/>
      <c r="AG4" s="10"/>
      <c r="AH4" s="10"/>
      <c r="AI4" s="10"/>
    </row>
    <row r="5" spans="1:35" s="115" customFormat="1" ht="41.45">
      <c r="A5" s="42" t="s">
        <v>218</v>
      </c>
      <c r="B5" s="6" t="s">
        <v>219</v>
      </c>
      <c r="C5" s="6" t="s">
        <v>220</v>
      </c>
      <c r="D5" s="6" t="s">
        <v>221</v>
      </c>
      <c r="E5" s="6" t="s">
        <v>222</v>
      </c>
      <c r="F5" s="151" t="s">
        <v>71</v>
      </c>
      <c r="G5" s="34">
        <v>3</v>
      </c>
      <c r="H5" s="35">
        <v>2</v>
      </c>
      <c r="I5" s="35">
        <v>2</v>
      </c>
      <c r="J5" s="35">
        <v>2</v>
      </c>
      <c r="K5" s="35">
        <v>1</v>
      </c>
      <c r="L5" s="9">
        <f t="shared" si="0"/>
        <v>3</v>
      </c>
      <c r="M5" s="165">
        <f t="shared" si="1"/>
        <v>2</v>
      </c>
      <c r="N5" s="76">
        <f t="shared" si="1"/>
        <v>2</v>
      </c>
      <c r="O5" s="76">
        <f t="shared" si="1"/>
        <v>2</v>
      </c>
      <c r="P5" s="76">
        <f t="shared" si="1"/>
        <v>2</v>
      </c>
      <c r="Q5" s="76">
        <f t="shared" si="1"/>
        <v>1</v>
      </c>
      <c r="R5" s="72">
        <f t="shared" si="2"/>
        <v>2</v>
      </c>
      <c r="S5" s="74" t="str">
        <f t="shared" si="3"/>
        <v>MEDIA</v>
      </c>
      <c r="T5" s="166"/>
      <c r="U5" s="87"/>
      <c r="V5" s="87"/>
      <c r="W5" s="87"/>
      <c r="X5" s="87"/>
      <c r="Y5" s="87"/>
      <c r="Z5" s="87"/>
      <c r="AA5" s="87"/>
      <c r="AB5" s="87"/>
      <c r="AC5" s="87"/>
      <c r="AD5" s="87"/>
      <c r="AE5" s="87"/>
      <c r="AF5" s="87"/>
      <c r="AG5" s="87"/>
      <c r="AH5" s="87"/>
      <c r="AI5" s="87"/>
    </row>
    <row r="6" spans="1:35" s="115" customFormat="1" ht="55.15">
      <c r="A6" s="42" t="s">
        <v>218</v>
      </c>
      <c r="B6" s="6" t="s">
        <v>223</v>
      </c>
      <c r="C6" s="6" t="s">
        <v>220</v>
      </c>
      <c r="D6" s="6" t="s">
        <v>224</v>
      </c>
      <c r="E6" s="30" t="s">
        <v>225</v>
      </c>
      <c r="F6" s="151" t="s">
        <v>71</v>
      </c>
      <c r="G6" s="34">
        <v>3</v>
      </c>
      <c r="H6" s="35">
        <v>2</v>
      </c>
      <c r="I6" s="35">
        <v>2</v>
      </c>
      <c r="J6" s="35">
        <v>2</v>
      </c>
      <c r="K6" s="35">
        <v>1</v>
      </c>
      <c r="L6" s="9">
        <f t="shared" si="0"/>
        <v>3</v>
      </c>
      <c r="M6" s="165">
        <f t="shared" ref="M6" si="4">IF(G6="","",VLOOKUP(G6,Valor_Actiu_NivellENS,2,FALSE))</f>
        <v>2</v>
      </c>
      <c r="N6" s="76">
        <f t="shared" ref="N6" si="5">IF(H6="","",VLOOKUP(H6,Valor_Actiu_NivellENS,2,FALSE))</f>
        <v>2</v>
      </c>
      <c r="O6" s="76">
        <f t="shared" ref="O6" si="6">IF(I6="","",VLOOKUP(I6,Valor_Actiu_NivellENS,2,FALSE))</f>
        <v>2</v>
      </c>
      <c r="P6" s="76">
        <f t="shared" ref="P6" si="7">IF(J6="","",VLOOKUP(J6,Valor_Actiu_NivellENS,2,FALSE))</f>
        <v>2</v>
      </c>
      <c r="Q6" s="76">
        <f t="shared" ref="Q6" si="8">IF(K6="","",VLOOKUP(K6,Valor_Actiu_NivellENS,2,FALSE))</f>
        <v>1</v>
      </c>
      <c r="R6" s="72">
        <f t="shared" ref="R6" si="9">IF(OR(M6&lt;&gt;"",N6&lt;&gt;"",O6&lt;&gt;"",Q6&lt;&gt;"",P6&lt;&gt;""),MAX(M6:Q6),"")</f>
        <v>2</v>
      </c>
      <c r="S6" s="74" t="str">
        <f t="shared" ref="S6" si="10">VLOOKUP(R6,NivellENS_Categoria,2,FALSE)</f>
        <v>MEDIA</v>
      </c>
      <c r="T6" s="166"/>
      <c r="U6" s="87"/>
      <c r="V6" s="87"/>
      <c r="W6" s="87"/>
      <c r="X6" s="87"/>
      <c r="Y6" s="87"/>
      <c r="Z6" s="87"/>
      <c r="AA6" s="87"/>
      <c r="AB6" s="87"/>
      <c r="AC6" s="87"/>
      <c r="AD6" s="87"/>
      <c r="AE6" s="87"/>
      <c r="AF6" s="87"/>
      <c r="AG6" s="87"/>
      <c r="AH6" s="87"/>
      <c r="AI6" s="87"/>
    </row>
    <row r="7" spans="1:35" s="115" customFormat="1" ht="42" customHeight="1">
      <c r="A7" s="42" t="s">
        <v>226</v>
      </c>
      <c r="B7" s="6" t="s">
        <v>227</v>
      </c>
      <c r="C7" s="6" t="s">
        <v>228</v>
      </c>
      <c r="D7" s="6" t="s">
        <v>229</v>
      </c>
      <c r="E7" s="30" t="s">
        <v>126</v>
      </c>
      <c r="F7" s="151" t="s">
        <v>71</v>
      </c>
      <c r="G7" s="34">
        <v>2</v>
      </c>
      <c r="H7" s="35">
        <v>2</v>
      </c>
      <c r="I7" s="35">
        <v>2</v>
      </c>
      <c r="J7" s="35">
        <v>2</v>
      </c>
      <c r="K7" s="35">
        <v>2</v>
      </c>
      <c r="L7" s="9">
        <f t="shared" si="0"/>
        <v>2</v>
      </c>
      <c r="M7" s="165">
        <f t="shared" si="1"/>
        <v>2</v>
      </c>
      <c r="N7" s="76">
        <f t="shared" si="1"/>
        <v>2</v>
      </c>
      <c r="O7" s="76">
        <f t="shared" si="1"/>
        <v>2</v>
      </c>
      <c r="P7" s="76">
        <f t="shared" si="1"/>
        <v>2</v>
      </c>
      <c r="Q7" s="76">
        <f t="shared" si="1"/>
        <v>2</v>
      </c>
      <c r="R7" s="72">
        <f t="shared" si="2"/>
        <v>2</v>
      </c>
      <c r="S7" s="74" t="str">
        <f t="shared" si="3"/>
        <v>MEDIA</v>
      </c>
      <c r="T7" s="166"/>
      <c r="U7" s="87"/>
      <c r="V7" s="87"/>
      <c r="W7" s="87"/>
      <c r="X7" s="87"/>
      <c r="Y7" s="87"/>
      <c r="Z7" s="87"/>
      <c r="AA7" s="87"/>
      <c r="AB7" s="87"/>
      <c r="AC7" s="87"/>
      <c r="AD7" s="87"/>
      <c r="AE7" s="87"/>
      <c r="AF7" s="87"/>
      <c r="AG7" s="87"/>
      <c r="AH7" s="87"/>
      <c r="AI7" s="87"/>
    </row>
    <row r="8" spans="1:35" s="115" customFormat="1" ht="37.5" customHeight="1">
      <c r="A8" s="42" t="s">
        <v>230</v>
      </c>
      <c r="B8" s="6" t="s">
        <v>231</v>
      </c>
      <c r="C8" s="6" t="s">
        <v>220</v>
      </c>
      <c r="D8" s="6" t="s">
        <v>232</v>
      </c>
      <c r="E8" s="6" t="s">
        <v>84</v>
      </c>
      <c r="F8" s="151" t="s">
        <v>71</v>
      </c>
      <c r="G8" s="34">
        <v>1</v>
      </c>
      <c r="H8" s="35">
        <v>1</v>
      </c>
      <c r="I8" s="35">
        <v>1</v>
      </c>
      <c r="J8" s="35">
        <v>1</v>
      </c>
      <c r="K8" s="35">
        <v>1</v>
      </c>
      <c r="L8" s="9">
        <f t="shared" si="0"/>
        <v>1</v>
      </c>
      <c r="M8" s="165">
        <f t="shared" si="1"/>
        <v>1</v>
      </c>
      <c r="N8" s="76">
        <f t="shared" si="1"/>
        <v>1</v>
      </c>
      <c r="O8" s="76">
        <f t="shared" si="1"/>
        <v>1</v>
      </c>
      <c r="P8" s="76">
        <f t="shared" si="1"/>
        <v>1</v>
      </c>
      <c r="Q8" s="76">
        <f t="shared" si="1"/>
        <v>1</v>
      </c>
      <c r="R8" s="72">
        <f t="shared" si="2"/>
        <v>1</v>
      </c>
      <c r="S8" s="74" t="str">
        <f t="shared" si="3"/>
        <v>BAJA</v>
      </c>
      <c r="T8" s="166"/>
      <c r="U8" s="87"/>
      <c r="V8" s="87"/>
      <c r="W8" s="87"/>
      <c r="X8" s="87"/>
      <c r="Y8" s="87"/>
      <c r="Z8" s="87"/>
      <c r="AA8" s="87"/>
      <c r="AB8" s="87"/>
      <c r="AC8" s="87"/>
      <c r="AD8" s="87"/>
      <c r="AE8" s="87"/>
      <c r="AF8" s="87"/>
      <c r="AG8" s="87"/>
      <c r="AH8" s="87"/>
      <c r="AI8" s="87"/>
    </row>
    <row r="9" spans="1:35" s="21" customFormat="1" ht="37.5" customHeight="1">
      <c r="A9" s="4" t="s">
        <v>233</v>
      </c>
      <c r="B9" s="6" t="s">
        <v>234</v>
      </c>
      <c r="C9" s="6" t="s">
        <v>228</v>
      </c>
      <c r="D9" s="6" t="s">
        <v>235</v>
      </c>
      <c r="E9" s="6" t="s">
        <v>147</v>
      </c>
      <c r="F9" s="151" t="s">
        <v>71</v>
      </c>
      <c r="G9" s="198">
        <v>3</v>
      </c>
      <c r="H9" s="7">
        <v>2</v>
      </c>
      <c r="I9" s="7">
        <v>3</v>
      </c>
      <c r="J9" s="7">
        <v>3</v>
      </c>
      <c r="K9" s="7">
        <v>3</v>
      </c>
      <c r="L9" s="9">
        <v>3</v>
      </c>
      <c r="M9" s="70">
        <f t="shared" si="1"/>
        <v>2</v>
      </c>
      <c r="N9" s="71">
        <f t="shared" si="1"/>
        <v>2</v>
      </c>
      <c r="O9" s="71">
        <f t="shared" si="1"/>
        <v>2</v>
      </c>
      <c r="P9" s="71">
        <f t="shared" si="1"/>
        <v>2</v>
      </c>
      <c r="Q9" s="71">
        <f t="shared" si="1"/>
        <v>2</v>
      </c>
      <c r="R9" s="72">
        <f t="shared" si="2"/>
        <v>2</v>
      </c>
      <c r="S9" s="73" t="str">
        <f t="shared" si="3"/>
        <v>MEDIA</v>
      </c>
      <c r="T9" s="33"/>
      <c r="U9" s="18"/>
      <c r="V9" s="18"/>
      <c r="W9" s="18"/>
      <c r="X9" s="18"/>
      <c r="Y9" s="18"/>
      <c r="Z9" s="18"/>
      <c r="AA9" s="18"/>
      <c r="AB9" s="18"/>
      <c r="AC9" s="18"/>
      <c r="AD9" s="18"/>
      <c r="AE9" s="18"/>
      <c r="AF9" s="18"/>
      <c r="AG9" s="18"/>
      <c r="AH9" s="18"/>
      <c r="AI9" s="18"/>
    </row>
    <row r="10" spans="1:35" s="114" customFormat="1" ht="37.5" customHeight="1">
      <c r="A10" s="82" t="s">
        <v>236</v>
      </c>
      <c r="B10" s="150"/>
      <c r="C10" s="6"/>
      <c r="D10" s="6"/>
      <c r="E10" s="84"/>
      <c r="F10" s="151"/>
      <c r="G10" s="34"/>
      <c r="H10" s="35"/>
      <c r="I10" s="35"/>
      <c r="J10" s="35"/>
      <c r="K10" s="35"/>
      <c r="L10" s="9"/>
      <c r="M10" s="165" t="str">
        <f t="shared" ref="M10" si="11">IF(G10="","",VLOOKUP(G10,Valor_Actiu_NivellENS,2,FALSE))</f>
        <v/>
      </c>
      <c r="N10" s="76" t="str">
        <f t="shared" ref="N10" si="12">IF(H10="","",VLOOKUP(H10,Valor_Actiu_NivellENS,2,FALSE))</f>
        <v/>
      </c>
      <c r="O10" s="76" t="str">
        <f t="shared" ref="O10" si="13">IF(I10="","",VLOOKUP(I10,Valor_Actiu_NivellENS,2,FALSE))</f>
        <v/>
      </c>
      <c r="P10" s="76" t="str">
        <f t="shared" ref="P10" si="14">IF(J10="","",VLOOKUP(J10,Valor_Actiu_NivellENS,2,FALSE))</f>
        <v/>
      </c>
      <c r="Q10" s="76" t="str">
        <f t="shared" ref="Q10" si="15">IF(K10="","",VLOOKUP(K10,Valor_Actiu_NivellENS,2,FALSE))</f>
        <v/>
      </c>
      <c r="R10" s="72" t="str">
        <f t="shared" ref="R10" si="16">IF(OR(M10&lt;&gt;"",N10&lt;&gt;"",O10&lt;&gt;"",Q10&lt;&gt;"",P10&lt;&gt;""),MAX(M10:Q10),"")</f>
        <v/>
      </c>
      <c r="S10" s="74" t="e">
        <f t="shared" ref="S10" si="17">VLOOKUP(R10,NivellENS_Categoria,2,FALSE)</f>
        <v>#N/A</v>
      </c>
      <c r="T10" s="166"/>
      <c r="U10" s="116"/>
      <c r="V10" s="116"/>
      <c r="W10" s="116"/>
      <c r="X10" s="116"/>
      <c r="Y10" s="116"/>
      <c r="Z10" s="116"/>
      <c r="AA10" s="116"/>
      <c r="AB10" s="116"/>
      <c r="AC10" s="116"/>
      <c r="AD10" s="116"/>
      <c r="AE10" s="116"/>
      <c r="AF10" s="116"/>
      <c r="AG10" s="116"/>
      <c r="AH10" s="116"/>
      <c r="AI10" s="116"/>
    </row>
    <row r="21" spans="5:5" ht="15" customHeight="1">
      <c r="E21" s="6" t="s">
        <v>237</v>
      </c>
    </row>
  </sheetData>
  <mergeCells count="5">
    <mergeCell ref="A1:B1"/>
    <mergeCell ref="G1:T1"/>
    <mergeCell ref="C1:F1"/>
    <mergeCell ref="M2:S2"/>
    <mergeCell ref="G2:L2"/>
  </mergeCells>
  <phoneticPr fontId="21" type="noConversion"/>
  <conditionalFormatting sqref="L4:L8">
    <cfRule type="colorScale" priority="1">
      <colorScale>
        <cfvo type="num" val="0"/>
        <cfvo type="num" val="3"/>
        <color rgb="FFFFEF9C"/>
        <color theme="5"/>
      </colorScale>
    </cfRule>
  </conditionalFormatting>
  <conditionalFormatting sqref="L9:L10">
    <cfRule type="colorScale" priority="2">
      <colorScale>
        <cfvo type="num" val="0"/>
        <cfvo type="num" val="3"/>
        <color rgb="FFFFEF9C"/>
        <color theme="5"/>
      </colorScale>
    </cfRule>
  </conditionalFormatting>
  <conditionalFormatting sqref="S4:S10">
    <cfRule type="cellIs" dxfId="20" priority="3" operator="equal">
      <formula>"ALTA"</formula>
    </cfRule>
    <cfRule type="cellIs" dxfId="19" priority="4" operator="equal">
      <formula>"BAJA"</formula>
    </cfRule>
    <cfRule type="cellIs" dxfId="18" priority="5" operator="equal">
      <formula>"MEDIA"</formula>
    </cfRule>
  </conditionalFormatting>
  <dataValidations count="1">
    <dataValidation type="list" allowBlank="1" showErrorMessage="1" sqref="G4:K10" xr:uid="{CAC354AC-FFEB-4A37-87DE-C9AC9E2854F9}">
      <formula1>Impacte</formula1>
    </dataValidation>
  </dataValidations>
  <pageMargins left="0.7" right="0.7" top="0.75" bottom="0.75" header="0" footer="0"/>
  <pageSetup scale="47"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I5"/>
  <sheetViews>
    <sheetView zoomScale="80" zoomScaleNormal="80" workbookViewId="0">
      <selection activeCell="D29" sqref="D29"/>
    </sheetView>
  </sheetViews>
  <sheetFormatPr defaultColWidth="14.28515625" defaultRowHeight="15" customHeight="1"/>
  <cols>
    <col min="1" max="1" width="7.28515625" customWidth="1"/>
    <col min="2" max="2" width="39.28515625" customWidth="1"/>
    <col min="3" max="3" width="31.85546875" bestFit="1" customWidth="1"/>
    <col min="4" max="4" width="56.28515625" customWidth="1"/>
    <col min="5" max="5" width="41.140625" bestFit="1" customWidth="1"/>
    <col min="6" max="6" width="24.28515625" customWidth="1"/>
    <col min="7" max="11" width="8" customWidth="1"/>
    <col min="12" max="12" width="11.28515625" customWidth="1"/>
    <col min="13" max="17" width="7.7109375" style="63" customWidth="1"/>
    <col min="18" max="19" width="11.28515625" style="63" customWidth="1"/>
    <col min="20" max="20" width="52.7109375" customWidth="1"/>
    <col min="21" max="35" width="9.140625" customWidth="1"/>
  </cols>
  <sheetData>
    <row r="1" spans="1:35" ht="58.15" customHeight="1">
      <c r="A1" s="233"/>
      <c r="B1" s="234"/>
      <c r="C1" s="211" t="s">
        <v>238</v>
      </c>
      <c r="D1" s="212"/>
      <c r="E1" s="212"/>
      <c r="F1" s="232"/>
      <c r="G1" s="223"/>
      <c r="H1" s="262"/>
      <c r="I1" s="262"/>
      <c r="J1" s="262"/>
      <c r="K1" s="262"/>
      <c r="L1" s="262"/>
      <c r="M1" s="254"/>
      <c r="N1" s="254"/>
      <c r="O1" s="254"/>
      <c r="P1" s="254"/>
      <c r="Q1" s="254"/>
      <c r="R1" s="254"/>
      <c r="S1" s="254"/>
      <c r="T1" s="258"/>
    </row>
    <row r="2" spans="1:35" ht="33.4" customHeight="1">
      <c r="A2" s="54"/>
      <c r="B2" s="55"/>
      <c r="C2" s="53"/>
      <c r="D2" s="52"/>
      <c r="E2" s="52"/>
      <c r="F2" s="52"/>
      <c r="G2" s="236" t="s">
        <v>49</v>
      </c>
      <c r="H2" s="270"/>
      <c r="I2" s="270"/>
      <c r="J2" s="270"/>
      <c r="K2" s="270"/>
      <c r="L2" s="271"/>
      <c r="M2" s="235" t="s">
        <v>50</v>
      </c>
      <c r="N2" s="272"/>
      <c r="O2" s="272"/>
      <c r="P2" s="272"/>
      <c r="Q2" s="272"/>
      <c r="R2" s="272"/>
      <c r="S2" s="273"/>
      <c r="T2" s="68"/>
    </row>
    <row r="3" spans="1:35" s="2" customFormat="1" ht="81.599999999999994" customHeight="1" thickBot="1">
      <c r="A3" s="99" t="s">
        <v>18</v>
      </c>
      <c r="B3" s="99" t="s">
        <v>24</v>
      </c>
      <c r="C3" s="99" t="s">
        <v>26</v>
      </c>
      <c r="D3" s="99" t="s">
        <v>30</v>
      </c>
      <c r="E3" s="99" t="s">
        <v>28</v>
      </c>
      <c r="F3" s="103" t="s">
        <v>97</v>
      </c>
      <c r="G3" s="123" t="s">
        <v>55</v>
      </c>
      <c r="H3" s="100" t="s">
        <v>54</v>
      </c>
      <c r="I3" s="100" t="s">
        <v>34</v>
      </c>
      <c r="J3" s="100" t="s">
        <v>56</v>
      </c>
      <c r="K3" s="100" t="s">
        <v>57</v>
      </c>
      <c r="L3" s="124" t="s">
        <v>58</v>
      </c>
      <c r="M3" s="126" t="s">
        <v>55</v>
      </c>
      <c r="N3" s="109" t="s">
        <v>54</v>
      </c>
      <c r="O3" s="109" t="s">
        <v>34</v>
      </c>
      <c r="P3" s="109" t="s">
        <v>56</v>
      </c>
      <c r="Q3" s="109" t="s">
        <v>57</v>
      </c>
      <c r="R3" s="110" t="s">
        <v>59</v>
      </c>
      <c r="S3" s="127" t="s">
        <v>60</v>
      </c>
      <c r="T3" s="119" t="s">
        <v>44</v>
      </c>
      <c r="U3" s="3"/>
      <c r="V3" s="3"/>
      <c r="W3" s="3"/>
      <c r="X3" s="3"/>
      <c r="Y3" s="3"/>
      <c r="Z3" s="3"/>
      <c r="AA3" s="3"/>
      <c r="AB3" s="3"/>
      <c r="AC3" s="3"/>
      <c r="AD3" s="3"/>
      <c r="AE3" s="3"/>
      <c r="AF3" s="3"/>
      <c r="AG3" s="3"/>
      <c r="AH3" s="3"/>
      <c r="AI3" s="3"/>
    </row>
    <row r="4" spans="1:35" s="10" customFormat="1" ht="28.15" customHeight="1">
      <c r="A4" s="4" t="s">
        <v>239</v>
      </c>
      <c r="B4" s="178" t="s">
        <v>240</v>
      </c>
      <c r="C4" s="178" t="s">
        <v>241</v>
      </c>
      <c r="D4" s="178" t="s">
        <v>242</v>
      </c>
      <c r="E4" s="6" t="s">
        <v>95</v>
      </c>
      <c r="F4" s="179" t="s">
        <v>71</v>
      </c>
      <c r="G4" s="78">
        <v>2</v>
      </c>
      <c r="H4" s="7">
        <v>2</v>
      </c>
      <c r="I4" s="7">
        <v>1</v>
      </c>
      <c r="J4" s="7">
        <v>2</v>
      </c>
      <c r="K4" s="7">
        <v>2</v>
      </c>
      <c r="L4" s="69">
        <f t="shared" ref="L4" si="0">IF(OR(G4&lt;&gt;"",H4&lt;&gt;"",I4&lt;&gt;"",K4&lt;&gt;"",J4&lt;&gt;""),MAX(G4:K4),"")</f>
        <v>2</v>
      </c>
      <c r="M4" s="81">
        <f t="shared" ref="M4" si="1">IF(G4="","",VLOOKUP(G4,Valor_Actiu_NivellENS,2,FALSE))</f>
        <v>2</v>
      </c>
      <c r="N4" s="81">
        <f t="shared" ref="N4" si="2">IF(H4="","",VLOOKUP(H4,Valor_Actiu_NivellENS,2,FALSE))</f>
        <v>2</v>
      </c>
      <c r="O4" s="81">
        <f t="shared" ref="O4" si="3">IF(I4="","",VLOOKUP(I4,Valor_Actiu_NivellENS,2,FALSE))</f>
        <v>1</v>
      </c>
      <c r="P4" s="81">
        <f t="shared" ref="P4" si="4">IF(J4="","",VLOOKUP(J4,Valor_Actiu_NivellENS,2,FALSE))</f>
        <v>2</v>
      </c>
      <c r="Q4" s="81">
        <f t="shared" ref="Q4" si="5">IF(K4="","",VLOOKUP(K4,Valor_Actiu_NivellENS,2,FALSE))</f>
        <v>2</v>
      </c>
      <c r="R4" s="72">
        <f t="shared" ref="R4:R5" si="6">IF(OR(M4&lt;&gt;"",N4&lt;&gt;"",O4&lt;&gt;"",Q4&lt;&gt;"",P4&lt;&gt;""),MAX(M4:Q4),"")</f>
        <v>2</v>
      </c>
      <c r="S4" s="75" t="str">
        <f t="shared" ref="S4" si="7">VLOOKUP(R4,NivellENS_Categoria,2,FALSE)</f>
        <v>MEDIA</v>
      </c>
      <c r="T4" s="79"/>
    </row>
    <row r="5" spans="1:35" s="10" customFormat="1" ht="28.15" customHeight="1">
      <c r="A5" s="4" t="s">
        <v>243</v>
      </c>
      <c r="B5" s="6" t="s">
        <v>244</v>
      </c>
      <c r="C5" s="6" t="s">
        <v>241</v>
      </c>
      <c r="D5" s="6" t="s">
        <v>245</v>
      </c>
      <c r="E5" s="6" t="s">
        <v>95</v>
      </c>
      <c r="F5" s="180" t="s">
        <v>71</v>
      </c>
      <c r="G5" s="78">
        <v>2</v>
      </c>
      <c r="H5" s="7">
        <v>2</v>
      </c>
      <c r="I5" s="7">
        <v>2</v>
      </c>
      <c r="J5" s="7">
        <v>2</v>
      </c>
      <c r="K5" s="7">
        <v>2</v>
      </c>
      <c r="L5" s="69">
        <v>2</v>
      </c>
      <c r="M5" s="81">
        <v>2</v>
      </c>
      <c r="N5" s="81">
        <v>2</v>
      </c>
      <c r="O5" s="81">
        <v>2</v>
      </c>
      <c r="P5" s="81">
        <v>2</v>
      </c>
      <c r="Q5" s="81">
        <v>2</v>
      </c>
      <c r="R5" s="72">
        <f t="shared" si="6"/>
        <v>2</v>
      </c>
      <c r="S5" s="75"/>
      <c r="T5" s="79"/>
    </row>
  </sheetData>
  <mergeCells count="5">
    <mergeCell ref="G1:T1"/>
    <mergeCell ref="C1:F1"/>
    <mergeCell ref="A1:B1"/>
    <mergeCell ref="M2:S2"/>
    <mergeCell ref="G2:L2"/>
  </mergeCells>
  <phoneticPr fontId="20" type="noConversion"/>
  <conditionalFormatting sqref="L4:L5">
    <cfRule type="colorScale" priority="5">
      <colorScale>
        <cfvo type="num" val="0"/>
        <cfvo type="num" val="3"/>
        <color rgb="FFFFEF9C"/>
        <color theme="5"/>
      </colorScale>
    </cfRule>
  </conditionalFormatting>
  <conditionalFormatting sqref="S4:S5">
    <cfRule type="cellIs" dxfId="17" priority="1" operator="equal">
      <formula>"ALTA"</formula>
    </cfRule>
    <cfRule type="cellIs" dxfId="16" priority="2" operator="equal">
      <formula>"BAJA"</formula>
    </cfRule>
    <cfRule type="cellIs" dxfId="15" priority="3" operator="equal">
      <formula>"MEDIA"</formula>
    </cfRule>
  </conditionalFormatting>
  <dataValidations count="1">
    <dataValidation type="list" allowBlank="1" showErrorMessage="1" sqref="G4:K5 M4:Q5" xr:uid="{00000000-0002-0000-0700-000000000000}">
      <formula1>Impacte</formula1>
    </dataValidation>
  </dataValidations>
  <pageMargins left="0.7" right="0.7" top="0.75" bottom="0.75" header="0" footer="0"/>
  <pageSetup scale="40"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I5"/>
  <sheetViews>
    <sheetView zoomScale="80" zoomScaleNormal="80" workbookViewId="0">
      <selection activeCell="L4" sqref="L4"/>
    </sheetView>
  </sheetViews>
  <sheetFormatPr defaultColWidth="14.28515625" defaultRowHeight="15" customHeight="1"/>
  <cols>
    <col min="1" max="1" width="9.28515625" customWidth="1"/>
    <col min="2" max="2" width="26.7109375" customWidth="1"/>
    <col min="3" max="3" width="31.28515625" customWidth="1"/>
    <col min="4" max="4" width="59" customWidth="1"/>
    <col min="5" max="5" width="57.85546875" customWidth="1"/>
    <col min="6" max="6" width="23.85546875" customWidth="1"/>
    <col min="7" max="11" width="7" customWidth="1"/>
    <col min="12" max="12" width="9.140625" customWidth="1"/>
    <col min="13" max="17" width="7.7109375" style="63" customWidth="1"/>
    <col min="18" max="19" width="11.28515625" style="63" customWidth="1"/>
    <col min="20" max="20" width="52.7109375" customWidth="1"/>
    <col min="21" max="35" width="9.140625" customWidth="1"/>
  </cols>
  <sheetData>
    <row r="1" spans="1:35" ht="55.15" customHeight="1">
      <c r="A1" s="210"/>
      <c r="B1" s="253"/>
      <c r="C1" s="237" t="s">
        <v>246</v>
      </c>
      <c r="D1" s="238"/>
      <c r="E1" s="238"/>
      <c r="F1" s="238"/>
      <c r="G1" s="212"/>
      <c r="H1" s="254"/>
      <c r="I1" s="254"/>
      <c r="J1" s="254"/>
      <c r="K1" s="254"/>
      <c r="L1" s="254"/>
      <c r="M1" s="254"/>
      <c r="N1" s="254"/>
      <c r="O1" s="254"/>
      <c r="P1" s="254"/>
      <c r="Q1" s="254"/>
      <c r="R1" s="254"/>
      <c r="S1" s="254"/>
      <c r="T1" s="258"/>
    </row>
    <row r="2" spans="1:35" ht="28.5" customHeight="1">
      <c r="A2" s="50"/>
      <c r="B2" s="51"/>
      <c r="C2" s="56"/>
      <c r="D2" s="57"/>
      <c r="E2" s="57"/>
      <c r="F2" s="57"/>
      <c r="G2" s="239" t="s">
        <v>49</v>
      </c>
      <c r="H2" s="270"/>
      <c r="I2" s="270"/>
      <c r="J2" s="270"/>
      <c r="K2" s="270"/>
      <c r="L2" s="274"/>
      <c r="M2" s="235" t="s">
        <v>50</v>
      </c>
      <c r="N2" s="272"/>
      <c r="O2" s="272"/>
      <c r="P2" s="272"/>
      <c r="Q2" s="272"/>
      <c r="R2" s="272"/>
      <c r="S2" s="273"/>
      <c r="T2" s="68"/>
    </row>
    <row r="3" spans="1:35" s="2" customFormat="1" ht="80.099999999999994" customHeight="1" thickBot="1">
      <c r="A3" s="99" t="s">
        <v>18</v>
      </c>
      <c r="B3" s="99" t="s">
        <v>24</v>
      </c>
      <c r="C3" s="99" t="s">
        <v>26</v>
      </c>
      <c r="D3" s="99" t="s">
        <v>30</v>
      </c>
      <c r="E3" s="99" t="s">
        <v>28</v>
      </c>
      <c r="F3" s="103" t="s">
        <v>97</v>
      </c>
      <c r="G3" s="125" t="s">
        <v>55</v>
      </c>
      <c r="H3" s="100" t="s">
        <v>54</v>
      </c>
      <c r="I3" s="100" t="s">
        <v>34</v>
      </c>
      <c r="J3" s="100" t="s">
        <v>56</v>
      </c>
      <c r="K3" s="100" t="s">
        <v>57</v>
      </c>
      <c r="L3" s="122" t="s">
        <v>58</v>
      </c>
      <c r="M3" s="126" t="s">
        <v>55</v>
      </c>
      <c r="N3" s="109" t="s">
        <v>54</v>
      </c>
      <c r="O3" s="109" t="s">
        <v>34</v>
      </c>
      <c r="P3" s="109" t="s">
        <v>56</v>
      </c>
      <c r="Q3" s="109" t="s">
        <v>57</v>
      </c>
      <c r="R3" s="110" t="s">
        <v>59</v>
      </c>
      <c r="S3" s="127" t="s">
        <v>60</v>
      </c>
      <c r="T3" s="102" t="s">
        <v>44</v>
      </c>
      <c r="U3" s="3"/>
      <c r="V3" s="3"/>
      <c r="W3" s="3"/>
      <c r="X3" s="3"/>
      <c r="Y3" s="3"/>
      <c r="Z3" s="3"/>
      <c r="AA3" s="3"/>
      <c r="AB3" s="3"/>
      <c r="AC3" s="3"/>
      <c r="AD3" s="3"/>
      <c r="AE3" s="3"/>
      <c r="AF3" s="3"/>
      <c r="AG3" s="3"/>
      <c r="AH3" s="3"/>
      <c r="AI3" s="3"/>
    </row>
    <row r="4" spans="1:35" s="10" customFormat="1" ht="54.6" customHeight="1" thickBot="1">
      <c r="A4" s="4" t="s">
        <v>247</v>
      </c>
      <c r="B4" s="131" t="s">
        <v>248</v>
      </c>
      <c r="C4" s="131" t="s">
        <v>249</v>
      </c>
      <c r="D4" s="132" t="s">
        <v>250</v>
      </c>
      <c r="E4" s="30" t="s">
        <v>161</v>
      </c>
      <c r="F4" s="32" t="s">
        <v>71</v>
      </c>
      <c r="G4" s="80">
        <v>3</v>
      </c>
      <c r="H4" s="7">
        <v>2</v>
      </c>
      <c r="I4" s="7">
        <v>2</v>
      </c>
      <c r="J4" s="7">
        <v>2</v>
      </c>
      <c r="K4" s="7">
        <v>2</v>
      </c>
      <c r="L4" s="9">
        <f t="shared" ref="L4" si="0">IF(OR(G4&lt;&gt;"",H4&lt;&gt;"",I4&lt;&gt;"",K4&lt;&gt;"",J4&lt;&gt;""),MAX(G4:K4),"")</f>
        <v>3</v>
      </c>
      <c r="M4" s="70">
        <f t="shared" ref="M4" si="1">VLOOKUP(G4,Valor_Actiu_NivellENS,2,FALSE)</f>
        <v>2</v>
      </c>
      <c r="N4" s="71">
        <f t="shared" ref="N4" si="2">VLOOKUP(H4,Valor_Actiu_NivellENS,2,FALSE)</f>
        <v>2</v>
      </c>
      <c r="O4" s="71">
        <f t="shared" ref="O4" si="3">VLOOKUP(I4,Valor_Actiu_NivellENS,2,FALSE)</f>
        <v>2</v>
      </c>
      <c r="P4" s="71">
        <f t="shared" ref="P4" si="4">VLOOKUP(J4,Valor_Actiu_NivellENS,2,FALSE)</f>
        <v>2</v>
      </c>
      <c r="Q4" s="71">
        <f t="shared" ref="Q4" si="5">VLOOKUP(K4,Valor_Actiu_NivellENS,2,FALSE)</f>
        <v>2</v>
      </c>
      <c r="R4" s="72">
        <f t="shared" ref="R4" si="6">IF(OR(M4&lt;&gt;"",N4&lt;&gt;"",O4&lt;&gt;"",Q4&lt;&gt;"",P4&lt;&gt;""),MAX(M4:Q4),"")</f>
        <v>2</v>
      </c>
      <c r="S4" s="73" t="str">
        <f t="shared" ref="S4" si="7">VLOOKUP(R4,NivellENS_Categoria,2,FALSE)</f>
        <v>MEDIA</v>
      </c>
      <c r="T4" s="5"/>
    </row>
    <row r="5" spans="1:35" s="10" customFormat="1" ht="55.15" customHeight="1" thickBot="1">
      <c r="A5" s="4" t="s">
        <v>251</v>
      </c>
      <c r="B5" s="5" t="s">
        <v>252</v>
      </c>
      <c r="C5" s="131" t="s">
        <v>249</v>
      </c>
      <c r="D5" s="10" t="s">
        <v>250</v>
      </c>
      <c r="E5" s="30" t="s">
        <v>253</v>
      </c>
      <c r="F5" s="32" t="s">
        <v>71</v>
      </c>
      <c r="G5" s="80">
        <v>3</v>
      </c>
      <c r="H5" s="7">
        <v>2</v>
      </c>
      <c r="I5" s="7">
        <v>2</v>
      </c>
      <c r="J5" s="7">
        <v>2</v>
      </c>
      <c r="K5" s="7">
        <v>2</v>
      </c>
      <c r="L5" s="9">
        <f t="shared" ref="L5" si="8">IF(OR(G5&lt;&gt;"",H5&lt;&gt;"",I5&lt;&gt;"",K5&lt;&gt;"",J5&lt;&gt;""),MAX(G5:K5),"")</f>
        <v>3</v>
      </c>
      <c r="M5" s="70">
        <f t="shared" ref="M5" si="9">VLOOKUP(G5,Valor_Actiu_NivellENS,2,FALSE)</f>
        <v>2</v>
      </c>
      <c r="N5" s="71">
        <f t="shared" ref="N5" si="10">VLOOKUP(H5,Valor_Actiu_NivellENS,2,FALSE)</f>
        <v>2</v>
      </c>
      <c r="O5" s="71">
        <f t="shared" ref="O5" si="11">VLOOKUP(I5,Valor_Actiu_NivellENS,2,FALSE)</f>
        <v>2</v>
      </c>
      <c r="P5" s="71">
        <f t="shared" ref="P5" si="12">VLOOKUP(J5,Valor_Actiu_NivellENS,2,FALSE)</f>
        <v>2</v>
      </c>
      <c r="Q5" s="71">
        <f t="shared" ref="Q5" si="13">VLOOKUP(K5,Valor_Actiu_NivellENS,2,FALSE)</f>
        <v>2</v>
      </c>
      <c r="R5" s="72">
        <f t="shared" ref="R5" si="14">IF(OR(M5&lt;&gt;"",N5&lt;&gt;"",O5&lt;&gt;"",Q5&lt;&gt;"",P5&lt;&gt;""),MAX(M5:Q5),"")</f>
        <v>2</v>
      </c>
      <c r="S5" s="73" t="str">
        <f t="shared" ref="S5" si="15">VLOOKUP(R5,NivellENS_Categoria,2,FALSE)</f>
        <v>MEDIA</v>
      </c>
      <c r="T5" s="5"/>
    </row>
  </sheetData>
  <mergeCells count="5">
    <mergeCell ref="A1:B1"/>
    <mergeCell ref="G1:T1"/>
    <mergeCell ref="C1:F1"/>
    <mergeCell ref="G2:L2"/>
    <mergeCell ref="M2:S2"/>
  </mergeCells>
  <phoneticPr fontId="21" type="noConversion"/>
  <conditionalFormatting sqref="L4:L5">
    <cfRule type="colorScale" priority="6">
      <colorScale>
        <cfvo type="num" val="0"/>
        <cfvo type="num" val="3"/>
        <color rgb="FFFFEF9C"/>
        <color theme="5"/>
      </colorScale>
    </cfRule>
  </conditionalFormatting>
  <conditionalFormatting sqref="S4:S5">
    <cfRule type="cellIs" dxfId="14" priority="1" operator="equal">
      <formula>"ALTA"</formula>
    </cfRule>
    <cfRule type="cellIs" dxfId="13" priority="2" operator="equal">
      <formula>"BAJA"</formula>
    </cfRule>
    <cfRule type="cellIs" dxfId="12" priority="3" operator="equal">
      <formula>"MEDIA"</formula>
    </cfRule>
  </conditionalFormatting>
  <dataValidations count="1">
    <dataValidation type="list" allowBlank="1" showErrorMessage="1" sqref="M4:Q5 G4:K5" xr:uid="{00000000-0002-0000-0800-000000000000}">
      <formula1>Impacte</formula1>
    </dataValidation>
  </dataValidations>
  <pageMargins left="0.7" right="0.7" top="0.75" bottom="0.75" header="0" footer="0"/>
  <pageSetup scale="48"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I5"/>
  <sheetViews>
    <sheetView zoomScale="70" zoomScaleNormal="70" workbookViewId="0">
      <selection activeCell="T14" sqref="T14"/>
    </sheetView>
  </sheetViews>
  <sheetFormatPr defaultColWidth="14.28515625" defaultRowHeight="15" customHeight="1"/>
  <cols>
    <col min="1" max="1" width="10" customWidth="1"/>
    <col min="2" max="2" width="27" customWidth="1"/>
    <col min="3" max="3" width="14.28515625" bestFit="1" customWidth="1"/>
    <col min="4" max="4" width="44.7109375" bestFit="1" customWidth="1"/>
    <col min="5" max="5" width="32.7109375" bestFit="1" customWidth="1"/>
    <col min="6" max="6" width="23" customWidth="1"/>
    <col min="7" max="11" width="8.140625" customWidth="1"/>
    <col min="12" max="12" width="13" customWidth="1"/>
    <col min="13" max="17" width="7.7109375" style="63" customWidth="1"/>
    <col min="18" max="18" width="11.28515625" style="63" customWidth="1"/>
    <col min="19" max="19" width="13.85546875" style="63" customWidth="1"/>
    <col min="20" max="20" width="42.28515625" customWidth="1"/>
    <col min="21" max="35" width="9.140625" customWidth="1"/>
  </cols>
  <sheetData>
    <row r="1" spans="1:35" ht="73.900000000000006" customHeight="1">
      <c r="A1" s="240"/>
      <c r="B1" s="253"/>
      <c r="C1" s="237" t="s">
        <v>254</v>
      </c>
      <c r="D1" s="238"/>
      <c r="E1" s="238"/>
      <c r="F1" s="242"/>
      <c r="G1" s="241"/>
      <c r="H1" s="254"/>
      <c r="I1" s="254"/>
      <c r="J1" s="254"/>
      <c r="K1" s="254"/>
      <c r="L1" s="254"/>
      <c r="M1" s="254"/>
      <c r="N1" s="254"/>
      <c r="O1" s="254"/>
      <c r="P1" s="254"/>
      <c r="Q1" s="254"/>
      <c r="R1" s="254"/>
      <c r="S1" s="254"/>
      <c r="T1" s="258"/>
      <c r="U1" s="11"/>
      <c r="V1" s="11"/>
      <c r="W1" s="11"/>
      <c r="X1" s="11"/>
      <c r="Y1" s="11"/>
      <c r="Z1" s="11"/>
      <c r="AA1" s="11"/>
      <c r="AB1" s="11"/>
      <c r="AC1" s="11"/>
      <c r="AD1" s="11"/>
      <c r="AE1" s="11"/>
      <c r="AF1" s="11"/>
      <c r="AG1" s="11"/>
      <c r="AH1" s="11"/>
      <c r="AI1" s="11"/>
    </row>
    <row r="2" spans="1:35" ht="33.4" customHeight="1">
      <c r="A2" s="61"/>
      <c r="B2" s="51"/>
      <c r="C2" s="56"/>
      <c r="D2" s="57"/>
      <c r="E2" s="57"/>
      <c r="F2" s="57"/>
      <c r="G2" s="239" t="s">
        <v>49</v>
      </c>
      <c r="H2" s="270"/>
      <c r="I2" s="270"/>
      <c r="J2" s="270"/>
      <c r="K2" s="270"/>
      <c r="L2" s="274"/>
      <c r="M2" s="235" t="s">
        <v>50</v>
      </c>
      <c r="N2" s="272"/>
      <c r="O2" s="272"/>
      <c r="P2" s="272"/>
      <c r="Q2" s="272"/>
      <c r="R2" s="272"/>
      <c r="S2" s="273"/>
      <c r="T2" s="68"/>
      <c r="U2" s="11"/>
      <c r="V2" s="11"/>
      <c r="W2" s="11"/>
      <c r="X2" s="11"/>
      <c r="Y2" s="11"/>
      <c r="Z2" s="11"/>
      <c r="AA2" s="11"/>
      <c r="AB2" s="11"/>
      <c r="AC2" s="11"/>
      <c r="AD2" s="11"/>
      <c r="AE2" s="11"/>
      <c r="AF2" s="11"/>
      <c r="AG2" s="11"/>
      <c r="AH2" s="11"/>
      <c r="AI2" s="11"/>
    </row>
    <row r="3" spans="1:35" ht="101.25" customHeight="1" thickBot="1">
      <c r="A3" s="99" t="s">
        <v>18</v>
      </c>
      <c r="B3" s="99" t="s">
        <v>24</v>
      </c>
      <c r="C3" s="99" t="s">
        <v>26</v>
      </c>
      <c r="D3" s="99" t="s">
        <v>30</v>
      </c>
      <c r="E3" s="99" t="s">
        <v>28</v>
      </c>
      <c r="F3" s="103" t="s">
        <v>97</v>
      </c>
      <c r="G3" s="125" t="s">
        <v>55</v>
      </c>
      <c r="H3" s="100" t="s">
        <v>54</v>
      </c>
      <c r="I3" s="100" t="s">
        <v>34</v>
      </c>
      <c r="J3" s="100" t="s">
        <v>56</v>
      </c>
      <c r="K3" s="100" t="s">
        <v>57</v>
      </c>
      <c r="L3" s="176" t="s">
        <v>58</v>
      </c>
      <c r="M3" s="128" t="s">
        <v>55</v>
      </c>
      <c r="N3" s="129" t="s">
        <v>54</v>
      </c>
      <c r="O3" s="129" t="s">
        <v>34</v>
      </c>
      <c r="P3" s="129" t="s">
        <v>56</v>
      </c>
      <c r="Q3" s="129" t="s">
        <v>57</v>
      </c>
      <c r="R3" s="110" t="s">
        <v>59</v>
      </c>
      <c r="S3" s="127" t="s">
        <v>60</v>
      </c>
      <c r="T3" s="120" t="s">
        <v>44</v>
      </c>
      <c r="U3" s="3"/>
      <c r="V3" s="3"/>
      <c r="W3" s="3"/>
      <c r="X3" s="3"/>
      <c r="Y3" s="3"/>
      <c r="Z3" s="3"/>
      <c r="AA3" s="3"/>
      <c r="AB3" s="3"/>
      <c r="AC3" s="3"/>
      <c r="AD3" s="3"/>
      <c r="AE3" s="3"/>
      <c r="AF3" s="3"/>
      <c r="AG3" s="3"/>
      <c r="AH3" s="3"/>
      <c r="AI3" s="3"/>
    </row>
    <row r="4" spans="1:35" s="115" customFormat="1" ht="59.25" customHeight="1">
      <c r="A4" s="82" t="s">
        <v>255</v>
      </c>
      <c r="B4" s="183"/>
      <c r="C4" s="84"/>
      <c r="D4" s="84"/>
      <c r="E4" s="83"/>
      <c r="F4" s="182"/>
      <c r="G4" s="181"/>
      <c r="H4" s="85"/>
      <c r="I4" s="85"/>
      <c r="J4" s="85"/>
      <c r="K4" s="85"/>
      <c r="L4" s="113" t="str">
        <f t="shared" ref="L4:L5" si="0">IF(OR(G4&lt;&gt;"",H4&lt;&gt;"",I4&lt;&gt;"",K4&lt;&gt;"",J4&lt;&gt;""),MAX(G4:K4),"")</f>
        <v/>
      </c>
      <c r="M4" s="86" t="str">
        <f t="shared" ref="M4:Q5" si="1">IF(G4="","",VLOOKUP(G4,Valor_Actiu_NivellENS,2,FALSE))</f>
        <v/>
      </c>
      <c r="N4" s="86" t="str">
        <f t="shared" si="1"/>
        <v/>
      </c>
      <c r="O4" s="86" t="str">
        <f t="shared" si="1"/>
        <v/>
      </c>
      <c r="P4" s="86" t="str">
        <f t="shared" si="1"/>
        <v/>
      </c>
      <c r="Q4" s="86" t="str">
        <f t="shared" si="1"/>
        <v/>
      </c>
      <c r="R4" s="72" t="str">
        <f t="shared" ref="R4:R5" si="2">IF(OR(M4&lt;&gt;"",N4&lt;&gt;"",O4&lt;&gt;"",Q4&lt;&gt;"",P4&lt;&gt;""),MAX(M4:Q4),"")</f>
        <v/>
      </c>
      <c r="S4" s="74" t="e">
        <f t="shared" ref="S4:S5" si="3">VLOOKUP(R4,NivellENS_Categoria,2,FALSE)</f>
        <v>#N/A</v>
      </c>
      <c r="T4" s="83"/>
    </row>
    <row r="5" spans="1:35" s="115" customFormat="1" ht="59.25" customHeight="1">
      <c r="A5" s="82" t="s">
        <v>256</v>
      </c>
      <c r="B5" s="84"/>
      <c r="C5" s="84"/>
      <c r="D5" s="84"/>
      <c r="E5" s="84"/>
      <c r="F5" s="182"/>
      <c r="G5" s="181"/>
      <c r="H5" s="85"/>
      <c r="I5" s="85"/>
      <c r="J5" s="85"/>
      <c r="K5" s="85"/>
      <c r="L5" s="113" t="str">
        <f t="shared" si="0"/>
        <v/>
      </c>
      <c r="M5" s="86" t="str">
        <f t="shared" si="1"/>
        <v/>
      </c>
      <c r="N5" s="86" t="str">
        <f t="shared" si="1"/>
        <v/>
      </c>
      <c r="O5" s="86" t="str">
        <f t="shared" si="1"/>
        <v/>
      </c>
      <c r="P5" s="86" t="str">
        <f t="shared" si="1"/>
        <v/>
      </c>
      <c r="Q5" s="86" t="str">
        <f t="shared" si="1"/>
        <v/>
      </c>
      <c r="R5" s="72" t="str">
        <f t="shared" si="2"/>
        <v/>
      </c>
      <c r="S5" s="74" t="e">
        <f t="shared" si="3"/>
        <v>#N/A</v>
      </c>
      <c r="T5" s="83"/>
    </row>
  </sheetData>
  <mergeCells count="5">
    <mergeCell ref="A1:B1"/>
    <mergeCell ref="G1:T1"/>
    <mergeCell ref="C1:F1"/>
    <mergeCell ref="M2:S2"/>
    <mergeCell ref="G2:L2"/>
  </mergeCells>
  <phoneticPr fontId="20" type="noConversion"/>
  <conditionalFormatting sqref="L4:L5">
    <cfRule type="colorScale" priority="4">
      <colorScale>
        <cfvo type="num" val="0"/>
        <cfvo type="num" val="3"/>
        <color rgb="FFFFEF9C"/>
        <color theme="5"/>
      </colorScale>
    </cfRule>
  </conditionalFormatting>
  <conditionalFormatting sqref="S4:S5">
    <cfRule type="cellIs" dxfId="11" priority="1" operator="equal">
      <formula>"ALTA"</formula>
    </cfRule>
    <cfRule type="cellIs" dxfId="10" priority="2" operator="equal">
      <formula>"BAJA"</formula>
    </cfRule>
    <cfRule type="cellIs" dxfId="9" priority="3" operator="equal">
      <formula>"MEDIA"</formula>
    </cfRule>
  </conditionalFormatting>
  <dataValidations count="1">
    <dataValidation type="list" allowBlank="1" showErrorMessage="1" sqref="M4:Q5 G4:K5" xr:uid="{00000000-0002-0000-0900-000000000000}">
      <formula1>Impacte</formula1>
    </dataValidation>
  </dataValidations>
  <pageMargins left="0.7" right="0.7" top="0.75" bottom="0.75" header="0" footer="0"/>
  <pageSetup scale="50"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I5"/>
  <sheetViews>
    <sheetView zoomScale="70" zoomScaleNormal="70" workbookViewId="0">
      <selection activeCell="B4" sqref="B4"/>
    </sheetView>
  </sheetViews>
  <sheetFormatPr defaultColWidth="14.28515625" defaultRowHeight="15" customHeight="1"/>
  <cols>
    <col min="1" max="1" width="8.7109375" customWidth="1"/>
    <col min="2" max="2" width="27.28515625" customWidth="1"/>
    <col min="3" max="3" width="15.28515625" customWidth="1"/>
    <col min="4" max="4" width="54.28515625" customWidth="1"/>
    <col min="5" max="5" width="49" customWidth="1"/>
    <col min="6" max="6" width="24.140625" customWidth="1"/>
    <col min="7" max="11" width="7.28515625" customWidth="1"/>
    <col min="12" max="12" width="9.7109375" customWidth="1"/>
    <col min="13" max="17" width="7.7109375" style="63" customWidth="1"/>
    <col min="18" max="18" width="11.28515625" style="63" customWidth="1"/>
    <col min="19" max="19" width="15" style="63" customWidth="1"/>
    <col min="20" max="20" width="42.28515625" customWidth="1"/>
    <col min="21" max="35" width="9.140625" customWidth="1"/>
  </cols>
  <sheetData>
    <row r="1" spans="1:35" ht="64.150000000000006" customHeight="1">
      <c r="A1" s="243"/>
      <c r="B1" s="253"/>
      <c r="C1" s="237" t="s">
        <v>257</v>
      </c>
      <c r="D1" s="238"/>
      <c r="E1" s="238"/>
      <c r="F1" s="242"/>
      <c r="G1" s="244"/>
      <c r="H1" s="254"/>
      <c r="I1" s="254"/>
      <c r="J1" s="254"/>
      <c r="K1" s="254"/>
      <c r="L1" s="254"/>
      <c r="M1" s="254"/>
      <c r="N1" s="254"/>
      <c r="O1" s="254"/>
      <c r="P1" s="254"/>
      <c r="Q1" s="254"/>
      <c r="R1" s="254"/>
      <c r="S1" s="254"/>
      <c r="T1" s="258"/>
      <c r="U1" s="1"/>
      <c r="V1" s="1"/>
      <c r="W1" s="1"/>
      <c r="X1" s="1"/>
      <c r="Y1" s="1"/>
      <c r="Z1" s="1"/>
      <c r="AA1" s="1"/>
      <c r="AB1" s="1"/>
      <c r="AC1" s="1"/>
      <c r="AD1" s="1"/>
      <c r="AE1" s="1"/>
      <c r="AF1" s="1"/>
      <c r="AG1" s="1"/>
      <c r="AH1" s="1"/>
      <c r="AI1" s="1"/>
    </row>
    <row r="2" spans="1:35" ht="28.9">
      <c r="A2" s="245"/>
      <c r="B2" s="246"/>
      <c r="C2" s="56"/>
      <c r="D2" s="57"/>
      <c r="E2" s="57"/>
      <c r="F2" s="57"/>
      <c r="G2" s="239" t="s">
        <v>49</v>
      </c>
      <c r="H2" s="270"/>
      <c r="I2" s="270"/>
      <c r="J2" s="270"/>
      <c r="K2" s="270"/>
      <c r="L2" s="274"/>
      <c r="M2" s="235" t="s">
        <v>50</v>
      </c>
      <c r="N2" s="272"/>
      <c r="O2" s="272"/>
      <c r="P2" s="272"/>
      <c r="Q2" s="272"/>
      <c r="R2" s="272"/>
      <c r="S2" s="273"/>
      <c r="T2" s="68"/>
      <c r="U2" s="1"/>
      <c r="V2" s="1"/>
      <c r="W2" s="1"/>
      <c r="X2" s="1"/>
      <c r="Y2" s="1"/>
      <c r="Z2" s="1"/>
      <c r="AA2" s="1"/>
      <c r="AB2" s="1"/>
      <c r="AC2" s="1"/>
      <c r="AD2" s="1"/>
      <c r="AE2" s="1"/>
      <c r="AF2" s="1"/>
      <c r="AG2" s="1"/>
      <c r="AH2" s="1"/>
      <c r="AI2" s="1"/>
    </row>
    <row r="3" spans="1:35" s="2" customFormat="1" ht="93.2" customHeight="1" thickBot="1">
      <c r="A3" s="99" t="s">
        <v>18</v>
      </c>
      <c r="B3" s="99" t="s">
        <v>24</v>
      </c>
      <c r="C3" s="99" t="s">
        <v>26</v>
      </c>
      <c r="D3" s="99" t="s">
        <v>30</v>
      </c>
      <c r="E3" s="99" t="s">
        <v>28</v>
      </c>
      <c r="F3" s="103" t="s">
        <v>97</v>
      </c>
      <c r="G3" s="125" t="s">
        <v>55</v>
      </c>
      <c r="H3" s="100" t="s">
        <v>54</v>
      </c>
      <c r="I3" s="100" t="s">
        <v>34</v>
      </c>
      <c r="J3" s="100" t="s">
        <v>56</v>
      </c>
      <c r="K3" s="100" t="s">
        <v>57</v>
      </c>
      <c r="L3" s="122" t="s">
        <v>58</v>
      </c>
      <c r="M3" s="128" t="s">
        <v>55</v>
      </c>
      <c r="N3" s="129" t="s">
        <v>54</v>
      </c>
      <c r="O3" s="129" t="s">
        <v>34</v>
      </c>
      <c r="P3" s="129" t="s">
        <v>56</v>
      </c>
      <c r="Q3" s="129" t="s">
        <v>57</v>
      </c>
      <c r="R3" s="110" t="s">
        <v>59</v>
      </c>
      <c r="S3" s="127" t="s">
        <v>60</v>
      </c>
      <c r="T3" s="102" t="s">
        <v>44</v>
      </c>
      <c r="U3" s="13"/>
      <c r="V3" s="13"/>
      <c r="W3" s="13"/>
      <c r="X3" s="13"/>
      <c r="Y3" s="13"/>
      <c r="Z3" s="13"/>
      <c r="AA3" s="13"/>
      <c r="AB3" s="13"/>
      <c r="AC3" s="13"/>
      <c r="AD3" s="13"/>
      <c r="AE3" s="13"/>
      <c r="AF3" s="13"/>
      <c r="AG3" s="13"/>
      <c r="AH3" s="13"/>
      <c r="AI3" s="13"/>
    </row>
    <row r="4" spans="1:35" s="115" customFormat="1" ht="71.45" customHeight="1">
      <c r="A4" s="42" t="s">
        <v>258</v>
      </c>
      <c r="B4" s="191" t="s">
        <v>259</v>
      </c>
      <c r="C4" s="192"/>
      <c r="D4" s="192" t="s">
        <v>260</v>
      </c>
      <c r="E4" s="30" t="s">
        <v>261</v>
      </c>
      <c r="F4" s="43" t="s">
        <v>4</v>
      </c>
      <c r="G4" s="187">
        <v>1</v>
      </c>
      <c r="H4" s="35">
        <v>1</v>
      </c>
      <c r="I4" s="35">
        <v>2</v>
      </c>
      <c r="J4" s="35">
        <v>1</v>
      </c>
      <c r="K4" s="35">
        <v>1</v>
      </c>
      <c r="L4" s="47">
        <f t="shared" ref="L4:L5" si="0">IF(OR(G4&lt;&gt;"",H4&lt;&gt;"",I4&lt;&gt;"",K4&lt;&gt;"",J4&lt;&gt;""),MAX(G4:K4),"")</f>
        <v>2</v>
      </c>
      <c r="M4" s="88">
        <f t="shared" ref="M4:Q5" si="1">IF(G4="","",VLOOKUP(G4,Valor_Actiu_NivellENS,2,FALSE))</f>
        <v>1</v>
      </c>
      <c r="N4" s="88">
        <f t="shared" si="1"/>
        <v>1</v>
      </c>
      <c r="O4" s="88">
        <f t="shared" si="1"/>
        <v>2</v>
      </c>
      <c r="P4" s="88">
        <f t="shared" si="1"/>
        <v>1</v>
      </c>
      <c r="Q4" s="88">
        <f t="shared" si="1"/>
        <v>1</v>
      </c>
      <c r="R4" s="77">
        <f t="shared" ref="R4:R5" si="2">IF(OR(M4&lt;&gt;"",N4&lt;&gt;"",O4&lt;&gt;"",Q4&lt;&gt;"",P4&lt;&gt;""),MAX(M4:Q4),"")</f>
        <v>2</v>
      </c>
      <c r="S4" s="89" t="str">
        <f t="shared" ref="S4:S5" si="3">VLOOKUP(R4,NivellENS_Categoria,2,FALSE)</f>
        <v>MEDIA</v>
      </c>
      <c r="T4" s="84"/>
      <c r="U4" s="87"/>
      <c r="V4" s="87"/>
      <c r="W4" s="87"/>
      <c r="X4" s="87"/>
      <c r="Y4" s="87"/>
      <c r="Z4" s="87"/>
      <c r="AA4" s="87"/>
      <c r="AB4" s="87"/>
      <c r="AC4" s="87"/>
      <c r="AD4" s="87"/>
      <c r="AE4" s="87"/>
      <c r="AF4" s="87"/>
      <c r="AG4" s="87"/>
      <c r="AH4" s="87"/>
      <c r="AI4" s="87"/>
    </row>
    <row r="5" spans="1:35" s="115" customFormat="1" ht="68.45" customHeight="1">
      <c r="A5" s="193"/>
      <c r="B5" s="194"/>
      <c r="C5" s="194"/>
      <c r="D5" s="195"/>
      <c r="E5" s="195"/>
      <c r="F5" s="196"/>
      <c r="G5" s="187"/>
      <c r="H5" s="35"/>
      <c r="I5" s="35"/>
      <c r="J5" s="35"/>
      <c r="K5" s="35"/>
      <c r="L5" s="47" t="str">
        <f t="shared" si="0"/>
        <v/>
      </c>
      <c r="M5" s="88" t="str">
        <f t="shared" si="1"/>
        <v/>
      </c>
      <c r="N5" s="88" t="str">
        <f t="shared" si="1"/>
        <v/>
      </c>
      <c r="O5" s="88" t="str">
        <f t="shared" si="1"/>
        <v/>
      </c>
      <c r="P5" s="88" t="str">
        <f t="shared" si="1"/>
        <v/>
      </c>
      <c r="Q5" s="88" t="str">
        <f t="shared" si="1"/>
        <v/>
      </c>
      <c r="R5" s="77" t="str">
        <f t="shared" si="2"/>
        <v/>
      </c>
      <c r="S5" s="89" t="e">
        <f t="shared" si="3"/>
        <v>#N/A</v>
      </c>
      <c r="T5" s="84"/>
      <c r="U5" s="87"/>
      <c r="V5" s="87"/>
      <c r="W5" s="87"/>
      <c r="X5" s="87"/>
      <c r="Y5" s="87"/>
      <c r="Z5" s="87"/>
      <c r="AA5" s="87"/>
      <c r="AB5" s="87"/>
      <c r="AC5" s="87"/>
      <c r="AD5" s="87"/>
      <c r="AE5" s="87"/>
      <c r="AF5" s="87"/>
      <c r="AG5" s="87"/>
      <c r="AH5" s="87"/>
      <c r="AI5" s="87"/>
    </row>
  </sheetData>
  <mergeCells count="6">
    <mergeCell ref="A1:B1"/>
    <mergeCell ref="G1:T1"/>
    <mergeCell ref="C1:F1"/>
    <mergeCell ref="M2:S2"/>
    <mergeCell ref="G2:L2"/>
    <mergeCell ref="A2:B2"/>
  </mergeCells>
  <phoneticPr fontId="21" type="noConversion"/>
  <conditionalFormatting sqref="L4:L5">
    <cfRule type="colorScale" priority="4">
      <colorScale>
        <cfvo type="num" val="0"/>
        <cfvo type="num" val="3"/>
        <color rgb="FFFFEF9C"/>
        <color theme="5"/>
      </colorScale>
    </cfRule>
  </conditionalFormatting>
  <conditionalFormatting sqref="S4:S5">
    <cfRule type="cellIs" dxfId="8" priority="1" operator="equal">
      <formula>"ALTA"</formula>
    </cfRule>
    <cfRule type="cellIs" dxfId="7" priority="2" operator="equal">
      <formula>"BAJA"</formula>
    </cfRule>
    <cfRule type="cellIs" dxfId="6" priority="3" operator="equal">
      <formula>"MEDIA"</formula>
    </cfRule>
  </conditionalFormatting>
  <dataValidations count="1">
    <dataValidation type="list" allowBlank="1" showErrorMessage="1" sqref="G4:K5 M4:Q5" xr:uid="{00000000-0002-0000-0D00-000000000000}">
      <formula1>Impacte</formula1>
    </dataValidation>
  </dataValidations>
  <pageMargins left="0.7" right="0.7" top="0.75" bottom="0.75" header="0" footer="0"/>
  <pageSetup scale="45"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I10"/>
  <sheetViews>
    <sheetView zoomScale="70" zoomScaleNormal="70" workbookViewId="0">
      <selection activeCell="C5" sqref="C5"/>
    </sheetView>
  </sheetViews>
  <sheetFormatPr defaultColWidth="14.28515625" defaultRowHeight="15" customHeight="1"/>
  <cols>
    <col min="1" max="1" width="10.28515625" customWidth="1"/>
    <col min="2" max="2" width="40.7109375" bestFit="1" customWidth="1"/>
    <col min="3" max="3" width="34.28515625" customWidth="1"/>
    <col min="4" max="4" width="46" customWidth="1"/>
    <col min="5" max="5" width="58" customWidth="1"/>
    <col min="6" max="6" width="35.5703125" customWidth="1"/>
    <col min="7" max="7" width="8" customWidth="1"/>
    <col min="8" max="10" width="7.85546875" customWidth="1"/>
    <col min="11" max="11" width="9.140625" customWidth="1"/>
    <col min="12" max="12" width="13.28515625" customWidth="1"/>
    <col min="13" max="17" width="7.7109375" style="63" customWidth="1"/>
    <col min="18" max="18" width="11.28515625" style="63" customWidth="1"/>
    <col min="19" max="19" width="14.140625" style="63" customWidth="1"/>
    <col min="20" max="20" width="50.140625" customWidth="1"/>
    <col min="21" max="35" width="9.140625" customWidth="1"/>
  </cols>
  <sheetData>
    <row r="1" spans="1:35" ht="59.1" customHeight="1">
      <c r="A1" s="233"/>
      <c r="B1" s="253"/>
      <c r="C1" s="237" t="s">
        <v>262</v>
      </c>
      <c r="D1" s="238"/>
      <c r="E1" s="238"/>
      <c r="F1" s="242"/>
      <c r="G1" s="244"/>
      <c r="H1" s="254"/>
      <c r="I1" s="254"/>
      <c r="J1" s="254"/>
      <c r="K1" s="254"/>
      <c r="L1" s="254"/>
      <c r="M1" s="254"/>
      <c r="N1" s="254"/>
      <c r="O1" s="254"/>
      <c r="P1" s="254"/>
      <c r="Q1" s="254"/>
      <c r="R1" s="254"/>
      <c r="S1" s="254"/>
      <c r="T1" s="258"/>
    </row>
    <row r="2" spans="1:35" ht="47.65" customHeight="1">
      <c r="A2" s="54"/>
      <c r="B2" s="51"/>
      <c r="C2" s="56"/>
      <c r="D2" s="57"/>
      <c r="E2" s="57"/>
      <c r="F2" s="62"/>
      <c r="G2" s="239" t="s">
        <v>49</v>
      </c>
      <c r="H2" s="270"/>
      <c r="I2" s="270"/>
      <c r="J2" s="270"/>
      <c r="K2" s="270"/>
      <c r="L2" s="274"/>
      <c r="M2" s="235" t="s">
        <v>50</v>
      </c>
      <c r="N2" s="272"/>
      <c r="O2" s="272"/>
      <c r="P2" s="272"/>
      <c r="Q2" s="272"/>
      <c r="R2" s="272"/>
      <c r="S2" s="273"/>
      <c r="T2" s="68"/>
    </row>
    <row r="3" spans="1:35" s="2" customFormat="1" ht="95.85" customHeight="1" thickBot="1">
      <c r="A3" s="99" t="s">
        <v>18</v>
      </c>
      <c r="B3" s="99" t="s">
        <v>24</v>
      </c>
      <c r="C3" s="99" t="s">
        <v>26</v>
      </c>
      <c r="D3" s="99" t="s">
        <v>30</v>
      </c>
      <c r="E3" s="99" t="s">
        <v>28</v>
      </c>
      <c r="F3" s="103" t="s">
        <v>97</v>
      </c>
      <c r="G3" s="121" t="s">
        <v>55</v>
      </c>
      <c r="H3" s="100" t="s">
        <v>54</v>
      </c>
      <c r="I3" s="100" t="s">
        <v>34</v>
      </c>
      <c r="J3" s="100" t="s">
        <v>56</v>
      </c>
      <c r="K3" s="100" t="s">
        <v>57</v>
      </c>
      <c r="L3" s="122" t="s">
        <v>58</v>
      </c>
      <c r="M3" s="128" t="s">
        <v>55</v>
      </c>
      <c r="N3" s="129" t="s">
        <v>54</v>
      </c>
      <c r="O3" s="129" t="s">
        <v>34</v>
      </c>
      <c r="P3" s="129" t="s">
        <v>56</v>
      </c>
      <c r="Q3" s="129" t="s">
        <v>57</v>
      </c>
      <c r="R3" s="110" t="s">
        <v>59</v>
      </c>
      <c r="S3" s="127" t="s">
        <v>60</v>
      </c>
      <c r="T3" s="102" t="s">
        <v>44</v>
      </c>
      <c r="U3" s="3"/>
      <c r="V3" s="3"/>
      <c r="W3" s="3"/>
      <c r="X3" s="3"/>
      <c r="Y3" s="3"/>
      <c r="Z3" s="3"/>
      <c r="AA3" s="3"/>
      <c r="AB3" s="3"/>
      <c r="AC3" s="3"/>
      <c r="AD3" s="3"/>
      <c r="AE3" s="3"/>
      <c r="AF3" s="3"/>
      <c r="AG3" s="3"/>
      <c r="AH3" s="3"/>
      <c r="AI3" s="3"/>
    </row>
    <row r="4" spans="1:35" s="115" customFormat="1" ht="67.900000000000006" customHeight="1">
      <c r="A4" s="42" t="s">
        <v>263</v>
      </c>
      <c r="B4" s="184" t="s">
        <v>264</v>
      </c>
      <c r="C4" s="185" t="s">
        <v>265</v>
      </c>
      <c r="D4" s="185" t="s">
        <v>266</v>
      </c>
      <c r="E4" s="30" t="s">
        <v>267</v>
      </c>
      <c r="F4" s="43" t="s">
        <v>71</v>
      </c>
      <c r="G4" s="34">
        <v>3</v>
      </c>
      <c r="H4" s="35">
        <v>2</v>
      </c>
      <c r="I4" s="35">
        <v>2</v>
      </c>
      <c r="J4" s="35">
        <v>2</v>
      </c>
      <c r="K4" s="35">
        <v>1</v>
      </c>
      <c r="L4" s="47">
        <f>IF(OR(G4&lt;&gt;"",H4&lt;&gt;"",I4&lt;&gt;"",K4&lt;&gt;"",J4&lt;&gt;""),MAX(G4:K4),"")</f>
        <v>3</v>
      </c>
      <c r="M4" s="88">
        <f t="shared" ref="M4:Q6" si="0">IF(G4="","",VLOOKUP(G4,Valor_Actiu_NivellENS,2,FALSE))</f>
        <v>2</v>
      </c>
      <c r="N4" s="88">
        <f t="shared" si="0"/>
        <v>2</v>
      </c>
      <c r="O4" s="88">
        <f t="shared" si="0"/>
        <v>2</v>
      </c>
      <c r="P4" s="88">
        <f t="shared" si="0"/>
        <v>2</v>
      </c>
      <c r="Q4" s="88">
        <f t="shared" si="0"/>
        <v>1</v>
      </c>
      <c r="R4" s="72">
        <f t="shared" ref="R4:R7" si="1">IF(OR(M4&lt;&gt;"",N4&lt;&gt;"",O4&lt;&gt;"",Q4&lt;&gt;"",P4&lt;&gt;""),MAX(M4:Q4),"")</f>
        <v>2</v>
      </c>
      <c r="S4" s="74" t="str">
        <f t="shared" ref="S4:S6" si="2">VLOOKUP(R4,NivellENS_Categoria,2,FALSE)</f>
        <v>MEDIA</v>
      </c>
      <c r="T4" s="83"/>
      <c r="U4" s="87"/>
      <c r="V4" s="87"/>
      <c r="W4" s="87"/>
      <c r="X4" s="87"/>
      <c r="Y4" s="87"/>
      <c r="Z4" s="87"/>
      <c r="AA4" s="87"/>
      <c r="AB4" s="87"/>
      <c r="AC4" s="87"/>
      <c r="AD4" s="87"/>
      <c r="AE4" s="87"/>
      <c r="AF4" s="87"/>
      <c r="AG4" s="87"/>
      <c r="AH4" s="87"/>
      <c r="AI4" s="87"/>
    </row>
    <row r="5" spans="1:35" s="115" customFormat="1" ht="67.900000000000006" customHeight="1">
      <c r="A5" s="42" t="s">
        <v>268</v>
      </c>
      <c r="B5" s="30" t="s">
        <v>269</v>
      </c>
      <c r="C5" s="169" t="s">
        <v>270</v>
      </c>
      <c r="D5" s="169" t="s">
        <v>271</v>
      </c>
      <c r="E5" s="30" t="s">
        <v>161</v>
      </c>
      <c r="F5" s="43" t="s">
        <v>71</v>
      </c>
      <c r="G5" s="34">
        <v>3</v>
      </c>
      <c r="H5" s="35">
        <v>3</v>
      </c>
      <c r="I5" s="35">
        <v>2</v>
      </c>
      <c r="J5" s="35">
        <v>3</v>
      </c>
      <c r="K5" s="35">
        <v>3</v>
      </c>
      <c r="L5" s="47">
        <f t="shared" ref="L5:L8" si="3">IF(OR(G5&lt;&gt;"",H5&lt;&gt;"",I5&lt;&gt;"",K5&lt;&gt;"",J5&lt;&gt;""),MAX(G5:K5),"")</f>
        <v>3</v>
      </c>
      <c r="M5" s="88">
        <f t="shared" si="0"/>
        <v>2</v>
      </c>
      <c r="N5" s="88">
        <f t="shared" si="0"/>
        <v>2</v>
      </c>
      <c r="O5" s="88">
        <f t="shared" si="0"/>
        <v>2</v>
      </c>
      <c r="P5" s="88">
        <f t="shared" si="0"/>
        <v>2</v>
      </c>
      <c r="Q5" s="88">
        <f t="shared" si="0"/>
        <v>2</v>
      </c>
      <c r="R5" s="72">
        <f t="shared" si="1"/>
        <v>2</v>
      </c>
      <c r="S5" s="74" t="str">
        <f t="shared" si="2"/>
        <v>MEDIA</v>
      </c>
      <c r="T5" s="83"/>
      <c r="U5" s="87"/>
      <c r="V5" s="87"/>
      <c r="W5" s="87"/>
      <c r="X5" s="87"/>
      <c r="Y5" s="87"/>
      <c r="Z5" s="87"/>
      <c r="AA5" s="87"/>
      <c r="AB5" s="87"/>
      <c r="AC5" s="87"/>
      <c r="AD5" s="87"/>
      <c r="AE5" s="87"/>
      <c r="AF5" s="87"/>
      <c r="AG5" s="87"/>
      <c r="AH5" s="87"/>
      <c r="AI5" s="87"/>
    </row>
    <row r="6" spans="1:35" s="115" customFormat="1" ht="67.900000000000006" customHeight="1">
      <c r="A6" s="42" t="s">
        <v>272</v>
      </c>
      <c r="B6" s="30" t="s">
        <v>273</v>
      </c>
      <c r="C6" s="169"/>
      <c r="D6" s="30" t="s">
        <v>274</v>
      </c>
      <c r="E6" s="30" t="s">
        <v>275</v>
      </c>
      <c r="F6" s="43" t="s">
        <v>71</v>
      </c>
      <c r="G6" s="34">
        <v>2</v>
      </c>
      <c r="H6" s="35">
        <v>2</v>
      </c>
      <c r="I6" s="35">
        <v>2</v>
      </c>
      <c r="J6" s="35">
        <v>2</v>
      </c>
      <c r="K6" s="35">
        <v>1</v>
      </c>
      <c r="L6" s="47">
        <f t="shared" si="3"/>
        <v>2</v>
      </c>
      <c r="M6" s="88">
        <f t="shared" si="0"/>
        <v>2</v>
      </c>
      <c r="N6" s="88">
        <f t="shared" si="0"/>
        <v>2</v>
      </c>
      <c r="O6" s="88">
        <f t="shared" si="0"/>
        <v>2</v>
      </c>
      <c r="P6" s="88">
        <f t="shared" si="0"/>
        <v>2</v>
      </c>
      <c r="Q6" s="88">
        <f t="shared" si="0"/>
        <v>1</v>
      </c>
      <c r="R6" s="72">
        <f t="shared" si="1"/>
        <v>2</v>
      </c>
      <c r="S6" s="74" t="str">
        <f t="shared" si="2"/>
        <v>MEDIA</v>
      </c>
      <c r="T6" s="83"/>
      <c r="U6" s="87"/>
      <c r="V6" s="87"/>
      <c r="W6" s="87"/>
      <c r="X6" s="87"/>
      <c r="Y6" s="87"/>
      <c r="Z6" s="87"/>
      <c r="AA6" s="87"/>
      <c r="AB6" s="87"/>
      <c r="AC6" s="87"/>
      <c r="AD6" s="87"/>
      <c r="AE6" s="87"/>
      <c r="AF6" s="87"/>
      <c r="AG6" s="87"/>
      <c r="AH6" s="87"/>
      <c r="AI6" s="87"/>
    </row>
    <row r="7" spans="1:35" s="45" customFormat="1" ht="67.900000000000006" customHeight="1">
      <c r="A7" s="42" t="s">
        <v>276</v>
      </c>
      <c r="B7" s="14" t="s">
        <v>277</v>
      </c>
      <c r="C7" s="169" t="s">
        <v>265</v>
      </c>
      <c r="D7" s="169" t="s">
        <v>271</v>
      </c>
      <c r="E7" s="30" t="s">
        <v>161</v>
      </c>
      <c r="F7" s="43" t="s">
        <v>71</v>
      </c>
      <c r="G7" s="34">
        <v>3</v>
      </c>
      <c r="H7" s="35">
        <v>3</v>
      </c>
      <c r="I7" s="35">
        <v>2</v>
      </c>
      <c r="J7" s="35">
        <v>3</v>
      </c>
      <c r="K7" s="35">
        <v>2</v>
      </c>
      <c r="L7" s="47">
        <f t="shared" si="3"/>
        <v>3</v>
      </c>
      <c r="M7" s="88">
        <f t="shared" ref="M7:M8" si="4">IF(G7="","",VLOOKUP(G7,Valor_Actiu_NivellENS,2,FALSE))</f>
        <v>2</v>
      </c>
      <c r="N7" s="88">
        <f t="shared" ref="N7:N8" si="5">IF(H7="","",VLOOKUP(H7,Valor_Actiu_NivellENS,2,FALSE))</f>
        <v>2</v>
      </c>
      <c r="O7" s="88">
        <f t="shared" ref="O7:O8" si="6">IF(I7="","",VLOOKUP(I7,Valor_Actiu_NivellENS,2,FALSE))</f>
        <v>2</v>
      </c>
      <c r="P7" s="88">
        <f t="shared" ref="P7:P8" si="7">IF(J7="","",VLOOKUP(J7,Valor_Actiu_NivellENS,2,FALSE))</f>
        <v>2</v>
      </c>
      <c r="Q7" s="88">
        <f t="shared" ref="Q7:Q8" si="8">IF(K7="","",VLOOKUP(K7,Valor_Actiu_NivellENS,2,FALSE))</f>
        <v>2</v>
      </c>
      <c r="R7" s="72">
        <f t="shared" si="1"/>
        <v>2</v>
      </c>
      <c r="S7" s="89" t="str">
        <f t="shared" ref="S7:S8" si="9">VLOOKUP(R7,NivellENS_Categoria,2,FALSE)</f>
        <v>MEDIA</v>
      </c>
      <c r="T7" s="14"/>
      <c r="U7" s="44"/>
      <c r="V7" s="44"/>
      <c r="W7" s="44"/>
      <c r="X7" s="44"/>
      <c r="Y7" s="44"/>
      <c r="Z7" s="44"/>
      <c r="AA7" s="44"/>
      <c r="AB7" s="44"/>
      <c r="AC7" s="44"/>
      <c r="AD7" s="44"/>
      <c r="AE7" s="44"/>
      <c r="AF7" s="44"/>
      <c r="AG7" s="44"/>
      <c r="AH7" s="44"/>
      <c r="AI7" s="44"/>
    </row>
    <row r="8" spans="1:35" s="115" customFormat="1" ht="67.900000000000006" customHeight="1">
      <c r="A8" s="42" t="s">
        <v>278</v>
      </c>
      <c r="B8" s="14"/>
      <c r="C8" s="14"/>
      <c r="D8" s="30"/>
      <c r="E8" s="30"/>
      <c r="F8" s="175"/>
      <c r="G8" s="34"/>
      <c r="H8" s="35"/>
      <c r="I8" s="35"/>
      <c r="J8" s="35"/>
      <c r="K8" s="35"/>
      <c r="L8" s="47" t="str">
        <f t="shared" si="3"/>
        <v/>
      </c>
      <c r="M8" s="88" t="str">
        <f t="shared" si="4"/>
        <v/>
      </c>
      <c r="N8" s="88" t="str">
        <f t="shared" si="5"/>
        <v/>
      </c>
      <c r="O8" s="88" t="str">
        <f t="shared" si="6"/>
        <v/>
      </c>
      <c r="P8" s="88" t="str">
        <f t="shared" si="7"/>
        <v/>
      </c>
      <c r="Q8" s="88" t="str">
        <f t="shared" si="8"/>
        <v/>
      </c>
      <c r="R8" s="72" t="str">
        <f t="shared" ref="R8" si="10">IF(OR(M8&lt;&gt;"",N8&lt;&gt;"",O8&lt;&gt;"",Q8&lt;&gt;"",P8&lt;&gt;""),MAX(M8:Q8),"")</f>
        <v/>
      </c>
      <c r="S8" s="74" t="e">
        <f t="shared" si="9"/>
        <v>#N/A</v>
      </c>
      <c r="T8" s="83"/>
      <c r="U8" s="87"/>
      <c r="V8" s="87"/>
      <c r="W8" s="87"/>
      <c r="X8" s="87"/>
      <c r="Y8" s="87"/>
      <c r="Z8" s="87"/>
      <c r="AA8" s="87"/>
      <c r="AB8" s="87"/>
      <c r="AC8" s="87"/>
      <c r="AD8" s="87"/>
      <c r="AE8" s="87"/>
      <c r="AF8" s="87"/>
      <c r="AG8" s="87"/>
      <c r="AH8" s="87"/>
      <c r="AI8" s="87"/>
    </row>
    <row r="9" spans="1:35" s="114" customFormat="1" ht="15" customHeight="1">
      <c r="B9" s="117"/>
      <c r="M9" s="118"/>
      <c r="N9" s="118"/>
      <c r="O9" s="118"/>
      <c r="P9" s="118"/>
      <c r="Q9" s="118"/>
      <c r="R9" s="118"/>
      <c r="S9" s="118"/>
    </row>
    <row r="10" spans="1:35" ht="15" customHeight="1">
      <c r="B10" s="117"/>
    </row>
  </sheetData>
  <mergeCells count="5">
    <mergeCell ref="A1:B1"/>
    <mergeCell ref="G1:T1"/>
    <mergeCell ref="C1:F1"/>
    <mergeCell ref="M2:S2"/>
    <mergeCell ref="G2:L2"/>
  </mergeCells>
  <phoneticPr fontId="25" type="noConversion"/>
  <conditionalFormatting sqref="L4:L8">
    <cfRule type="colorScale" priority="4">
      <colorScale>
        <cfvo type="num" val="0"/>
        <cfvo type="num" val="3"/>
        <color rgb="FFFFEF9C"/>
        <color theme="5"/>
      </colorScale>
    </cfRule>
  </conditionalFormatting>
  <conditionalFormatting sqref="S4:S8">
    <cfRule type="cellIs" dxfId="5" priority="1" operator="equal">
      <formula>"ALTA"</formula>
    </cfRule>
    <cfRule type="cellIs" dxfId="4" priority="2" operator="equal">
      <formula>"BAJA"</formula>
    </cfRule>
    <cfRule type="cellIs" dxfId="3" priority="3" operator="equal">
      <formula>"MEDIA"</formula>
    </cfRule>
  </conditionalFormatting>
  <dataValidations count="1">
    <dataValidation type="list" allowBlank="1" showErrorMessage="1" sqref="M4:Q8 G4:K8" xr:uid="{00000000-0002-0000-0B00-000000000000}">
      <formula1>Impacte</formula1>
    </dataValidation>
  </dataValidations>
  <pageMargins left="0.7" right="0.7" top="0.75" bottom="0.75" header="0" footer="0"/>
  <pageSetup scale="49"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I6"/>
  <sheetViews>
    <sheetView zoomScale="70" zoomScaleNormal="70" workbookViewId="0">
      <selection activeCell="L4" sqref="L4"/>
    </sheetView>
  </sheetViews>
  <sheetFormatPr defaultColWidth="14.28515625" defaultRowHeight="15" customHeight="1"/>
  <cols>
    <col min="1" max="1" width="10.28515625" customWidth="1"/>
    <col min="2" max="2" width="31.28515625" customWidth="1"/>
    <col min="3" max="3" width="26.85546875" customWidth="1"/>
    <col min="4" max="4" width="60.7109375" customWidth="1"/>
    <col min="5" max="5" width="36" customWidth="1"/>
    <col min="6" max="6" width="18.85546875" customWidth="1"/>
    <col min="7" max="11" width="7.28515625" customWidth="1"/>
    <col min="12" max="12" width="12" customWidth="1"/>
    <col min="13" max="17" width="7.7109375" style="63" customWidth="1"/>
    <col min="18" max="18" width="11.28515625" style="63" customWidth="1"/>
    <col min="19" max="19" width="13" style="63" customWidth="1"/>
    <col min="20" max="20" width="42.28515625" customWidth="1"/>
    <col min="21" max="35" width="9.140625" customWidth="1"/>
  </cols>
  <sheetData>
    <row r="1" spans="1:35" ht="57.2" customHeight="1">
      <c r="A1" s="233"/>
      <c r="B1" s="253"/>
      <c r="C1" s="247" t="s">
        <v>279</v>
      </c>
      <c r="D1" s="248"/>
      <c r="E1" s="248"/>
      <c r="F1" s="249"/>
      <c r="G1" s="244"/>
      <c r="H1" s="254"/>
      <c r="I1" s="254"/>
      <c r="J1" s="254"/>
      <c r="K1" s="254"/>
      <c r="L1" s="254"/>
      <c r="M1" s="254"/>
      <c r="N1" s="254"/>
      <c r="O1" s="254"/>
      <c r="P1" s="254"/>
      <c r="Q1" s="254"/>
      <c r="R1" s="254"/>
      <c r="S1" s="254"/>
      <c r="T1" s="258"/>
    </row>
    <row r="2" spans="1:35" ht="40.9" customHeight="1">
      <c r="A2" s="54"/>
      <c r="B2" s="51"/>
      <c r="C2" s="59"/>
      <c r="D2" s="60"/>
      <c r="E2" s="60"/>
      <c r="F2" s="60"/>
      <c r="G2" s="239" t="s">
        <v>49</v>
      </c>
      <c r="H2" s="270"/>
      <c r="I2" s="270"/>
      <c r="J2" s="270"/>
      <c r="K2" s="270"/>
      <c r="L2" s="274"/>
      <c r="M2" s="235" t="s">
        <v>50</v>
      </c>
      <c r="N2" s="272"/>
      <c r="O2" s="272"/>
      <c r="P2" s="272"/>
      <c r="Q2" s="272"/>
      <c r="R2" s="272"/>
      <c r="S2" s="273"/>
      <c r="T2" s="68"/>
    </row>
    <row r="3" spans="1:35" s="2" customFormat="1" ht="97.15" customHeight="1">
      <c r="A3" s="99" t="s">
        <v>18</v>
      </c>
      <c r="B3" s="99" t="s">
        <v>24</v>
      </c>
      <c r="C3" s="99" t="s">
        <v>26</v>
      </c>
      <c r="D3" s="99" t="s">
        <v>30</v>
      </c>
      <c r="E3" s="99" t="s">
        <v>28</v>
      </c>
      <c r="F3" s="103" t="s">
        <v>97</v>
      </c>
      <c r="G3" s="125" t="s">
        <v>55</v>
      </c>
      <c r="H3" s="100" t="s">
        <v>54</v>
      </c>
      <c r="I3" s="100" t="s">
        <v>34</v>
      </c>
      <c r="J3" s="100" t="s">
        <v>56</v>
      </c>
      <c r="K3" s="100" t="s">
        <v>57</v>
      </c>
      <c r="L3" s="122" t="s">
        <v>58</v>
      </c>
      <c r="M3" s="128" t="s">
        <v>55</v>
      </c>
      <c r="N3" s="129" t="s">
        <v>54</v>
      </c>
      <c r="O3" s="129" t="s">
        <v>34</v>
      </c>
      <c r="P3" s="129" t="s">
        <v>56</v>
      </c>
      <c r="Q3" s="129" t="s">
        <v>57</v>
      </c>
      <c r="R3" s="110" t="s">
        <v>59</v>
      </c>
      <c r="S3" s="127" t="s">
        <v>60</v>
      </c>
      <c r="T3" s="102" t="s">
        <v>44</v>
      </c>
      <c r="U3" s="12"/>
      <c r="V3" s="12"/>
      <c r="W3" s="12"/>
      <c r="X3" s="12"/>
      <c r="Y3" s="12"/>
      <c r="Z3" s="12"/>
      <c r="AA3" s="12"/>
      <c r="AB3" s="12"/>
      <c r="AC3" s="12"/>
      <c r="AD3" s="12"/>
      <c r="AE3" s="12"/>
      <c r="AF3" s="12"/>
      <c r="AG3" s="12"/>
      <c r="AH3" s="12"/>
      <c r="AI3" s="12"/>
    </row>
    <row r="4" spans="1:35" s="45" customFormat="1" ht="70.150000000000006" customHeight="1">
      <c r="A4" s="42" t="s">
        <v>280</v>
      </c>
      <c r="B4" s="2"/>
      <c r="C4" s="5"/>
      <c r="D4" s="30"/>
      <c r="E4" s="30"/>
      <c r="F4" s="43"/>
      <c r="G4" s="187"/>
      <c r="H4" s="35"/>
      <c r="I4" s="35"/>
      <c r="J4" s="35"/>
      <c r="K4" s="35"/>
      <c r="L4" s="47" t="str">
        <f>IF(OR(G4&lt;&gt;"",H4&lt;&gt;"",I4&lt;&gt;"",K4&lt;&gt;"",J4&lt;&gt;""),MAX(G4:K4),"")</f>
        <v/>
      </c>
      <c r="M4" s="88" t="str">
        <f t="shared" ref="M4:Q4" si="0">IF(G4="","",VLOOKUP(G4,Valor_Actiu_NivellENS,2,FALSE))</f>
        <v/>
      </c>
      <c r="N4" s="88" t="str">
        <f t="shared" si="0"/>
        <v/>
      </c>
      <c r="O4" s="88" t="str">
        <f t="shared" si="0"/>
        <v/>
      </c>
      <c r="P4" s="88" t="str">
        <f t="shared" si="0"/>
        <v/>
      </c>
      <c r="Q4" s="88" t="str">
        <f t="shared" si="0"/>
        <v/>
      </c>
      <c r="R4" s="72" t="str">
        <f t="shared" ref="R4" si="1">IF(OR(M4&lt;&gt;"",N4&lt;&gt;"",O4&lt;&gt;"",Q4&lt;&gt;"",P4&lt;&gt;""),MAX(M4:Q4),"")</f>
        <v/>
      </c>
      <c r="S4" s="74" t="e">
        <f t="shared" ref="S4" si="2">VLOOKUP(R4,NivellENS_Categoria,2,FALSE)</f>
        <v>#N/A</v>
      </c>
      <c r="T4" s="14"/>
      <c r="U4" s="44"/>
      <c r="V4" s="44"/>
      <c r="W4" s="44"/>
      <c r="X4" s="44"/>
      <c r="Y4" s="44"/>
      <c r="Z4" s="44"/>
      <c r="AA4" s="44"/>
      <c r="AB4" s="44"/>
      <c r="AC4" s="44"/>
      <c r="AD4" s="44"/>
      <c r="AE4" s="44"/>
      <c r="AF4" s="44"/>
      <c r="AG4" s="44"/>
      <c r="AH4" s="44"/>
      <c r="AI4" s="44"/>
    </row>
    <row r="5" spans="1:35" s="2" customFormat="1" ht="26.65" customHeight="1">
      <c r="A5" s="4"/>
      <c r="B5" s="5"/>
      <c r="C5" s="5"/>
      <c r="D5" s="6"/>
      <c r="E5" s="6"/>
      <c r="F5" s="186"/>
      <c r="G5" s="80"/>
      <c r="H5" s="7"/>
      <c r="I5" s="7"/>
      <c r="J5" s="7"/>
      <c r="K5" s="7"/>
      <c r="L5" s="9" t="str">
        <f t="shared" ref="L5:L6" si="3">IF(OR(G5&lt;&gt;"",H5&lt;&gt;"",I5&lt;&gt;"",K5&lt;&gt;"",J5&lt;&gt;""),MAX(G5:K5),"")</f>
        <v/>
      </c>
      <c r="M5" s="81" t="str">
        <f t="shared" ref="M5:Q6" si="4">IF(G5="","",VLOOKUP(G5,Valor_Actiu_NivellENS,2,FALSE))</f>
        <v/>
      </c>
      <c r="N5" s="81" t="str">
        <f t="shared" si="4"/>
        <v/>
      </c>
      <c r="O5" s="81" t="str">
        <f t="shared" si="4"/>
        <v/>
      </c>
      <c r="P5" s="81" t="str">
        <f t="shared" si="4"/>
        <v/>
      </c>
      <c r="Q5" s="81" t="str">
        <f t="shared" si="4"/>
        <v/>
      </c>
      <c r="R5" s="72"/>
      <c r="S5" s="73"/>
      <c r="T5" s="5"/>
      <c r="U5" s="10"/>
      <c r="V5" s="10"/>
      <c r="W5" s="10"/>
      <c r="X5" s="10"/>
      <c r="Y5" s="10"/>
      <c r="Z5" s="10"/>
      <c r="AA5" s="10"/>
      <c r="AB5" s="10"/>
      <c r="AC5" s="10"/>
      <c r="AD5" s="10"/>
      <c r="AE5" s="10"/>
      <c r="AF5" s="10"/>
      <c r="AG5" s="10"/>
      <c r="AH5" s="10"/>
      <c r="AI5" s="10"/>
    </row>
    <row r="6" spans="1:35" s="2" customFormat="1" ht="26.65" customHeight="1">
      <c r="A6" s="5"/>
      <c r="B6" s="5"/>
      <c r="C6" s="5"/>
      <c r="D6" s="6"/>
      <c r="E6" s="6"/>
      <c r="F6" s="186"/>
      <c r="G6" s="80"/>
      <c r="H6" s="7"/>
      <c r="I6" s="7"/>
      <c r="J6" s="7"/>
      <c r="K6" s="7"/>
      <c r="L6" s="9" t="str">
        <f t="shared" si="3"/>
        <v/>
      </c>
      <c r="M6" s="81" t="str">
        <f t="shared" si="4"/>
        <v/>
      </c>
      <c r="N6" s="81" t="str">
        <f t="shared" si="4"/>
        <v/>
      </c>
      <c r="O6" s="81" t="str">
        <f t="shared" si="4"/>
        <v/>
      </c>
      <c r="P6" s="81" t="str">
        <f t="shared" si="4"/>
        <v/>
      </c>
      <c r="Q6" s="81" t="str">
        <f t="shared" si="4"/>
        <v/>
      </c>
      <c r="R6" s="72"/>
      <c r="S6" s="73"/>
      <c r="T6" s="5"/>
      <c r="U6" s="10"/>
      <c r="V6" s="10"/>
      <c r="W6" s="10"/>
      <c r="X6" s="10"/>
      <c r="Y6" s="10"/>
      <c r="Z6" s="10"/>
      <c r="AA6" s="10"/>
      <c r="AB6" s="10"/>
      <c r="AC6" s="10"/>
      <c r="AD6" s="10"/>
      <c r="AE6" s="10"/>
      <c r="AF6" s="10"/>
      <c r="AG6" s="10"/>
      <c r="AH6" s="10"/>
      <c r="AI6" s="10"/>
    </row>
  </sheetData>
  <mergeCells count="5">
    <mergeCell ref="A1:B1"/>
    <mergeCell ref="G1:T1"/>
    <mergeCell ref="C1:F1"/>
    <mergeCell ref="G2:L2"/>
    <mergeCell ref="M2:S2"/>
  </mergeCells>
  <conditionalFormatting sqref="L4">
    <cfRule type="colorScale" priority="4">
      <colorScale>
        <cfvo type="num" val="0"/>
        <cfvo type="num" val="3"/>
        <color rgb="FFFFEF9C"/>
        <color theme="5"/>
      </colorScale>
    </cfRule>
  </conditionalFormatting>
  <conditionalFormatting sqref="L5:L6">
    <cfRule type="colorScale" priority="8">
      <colorScale>
        <cfvo type="num" val="0"/>
        <cfvo type="num" val="3"/>
        <color rgb="FFFFEF9C"/>
        <color theme="5"/>
      </colorScale>
    </cfRule>
  </conditionalFormatting>
  <conditionalFormatting sqref="S4:S6">
    <cfRule type="cellIs" dxfId="2" priority="1" operator="equal">
      <formula>"ALTA"</formula>
    </cfRule>
    <cfRule type="cellIs" dxfId="1" priority="2" operator="equal">
      <formula>"BAJA"</formula>
    </cfRule>
    <cfRule type="cellIs" dxfId="0" priority="3" operator="equal">
      <formula>"MEDIA"</formula>
    </cfRule>
  </conditionalFormatting>
  <dataValidations count="1">
    <dataValidation type="list" allowBlank="1" showErrorMessage="1" sqref="G4:K6 M4:Q6" xr:uid="{00000000-0002-0000-0A00-000000000000}">
      <formula1>Impacte</formula1>
    </dataValidation>
  </dataValidations>
  <pageMargins left="0.7" right="0.7" top="0.75" bottom="0.75" header="0" footer="0"/>
  <pageSetup scale="45"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7"/>
  <sheetViews>
    <sheetView zoomScale="70" zoomScaleNormal="70" workbookViewId="0">
      <selection activeCell="I15" sqref="I15"/>
    </sheetView>
  </sheetViews>
  <sheetFormatPr defaultColWidth="14.28515625" defaultRowHeight="15" customHeight="1"/>
  <cols>
    <col min="1" max="1" width="10.28515625" customWidth="1"/>
    <col min="2" max="3" width="30.85546875" customWidth="1"/>
    <col min="4" max="4" width="44.140625" customWidth="1"/>
    <col min="5" max="5" width="52.85546875" customWidth="1"/>
    <col min="6" max="6" width="24.140625" customWidth="1"/>
    <col min="7" max="7" width="13.140625" customWidth="1"/>
    <col min="8" max="9" width="9.140625" customWidth="1"/>
    <col min="10" max="10" width="22" customWidth="1"/>
    <col min="11" max="11" width="42.28515625" customWidth="1"/>
    <col min="12" max="26" width="9.140625" customWidth="1"/>
  </cols>
  <sheetData>
    <row r="1" spans="1:26" ht="64.150000000000006" customHeight="1">
      <c r="A1" s="233"/>
      <c r="B1" s="253"/>
      <c r="C1" s="237" t="s">
        <v>281</v>
      </c>
      <c r="D1" s="238"/>
      <c r="E1" s="238"/>
      <c r="F1" s="242"/>
      <c r="G1" s="244"/>
      <c r="H1" s="254"/>
      <c r="I1" s="254"/>
      <c r="J1" s="254"/>
      <c r="K1" s="258"/>
    </row>
    <row r="2" spans="1:26" s="2" customFormat="1" ht="106.5" customHeight="1">
      <c r="A2" s="103" t="s">
        <v>18</v>
      </c>
      <c r="B2" s="99" t="s">
        <v>24</v>
      </c>
      <c r="C2" s="99" t="s">
        <v>26</v>
      </c>
      <c r="D2" s="99" t="s">
        <v>30</v>
      </c>
      <c r="E2" s="99" t="s">
        <v>28</v>
      </c>
      <c r="F2" s="99" t="s">
        <v>97</v>
      </c>
      <c r="G2" s="100" t="s">
        <v>55</v>
      </c>
      <c r="H2" s="100" t="s">
        <v>54</v>
      </c>
      <c r="I2" s="100" t="s">
        <v>34</v>
      </c>
      <c r="J2" s="101" t="s">
        <v>58</v>
      </c>
      <c r="K2" s="102" t="s">
        <v>44</v>
      </c>
      <c r="L2" s="3"/>
      <c r="M2" s="3"/>
      <c r="N2" s="3"/>
      <c r="O2" s="3"/>
      <c r="P2" s="3"/>
      <c r="Q2" s="3"/>
      <c r="R2" s="3"/>
      <c r="S2" s="3"/>
      <c r="T2" s="3"/>
      <c r="U2" s="3"/>
      <c r="V2" s="3"/>
      <c r="W2" s="3"/>
      <c r="X2" s="3"/>
      <c r="Y2" s="3"/>
      <c r="Z2" s="3"/>
    </row>
    <row r="3" spans="1:26" s="40" customFormat="1" ht="57.75" customHeight="1">
      <c r="A3" s="188" t="s">
        <v>282</v>
      </c>
      <c r="B3" s="30"/>
      <c r="C3" s="169"/>
      <c r="D3" s="30"/>
      <c r="E3" s="30"/>
      <c r="F3" s="35"/>
      <c r="G3" s="35"/>
      <c r="H3" s="190"/>
      <c r="I3" s="190"/>
      <c r="J3" s="47" t="str">
        <f>IF(OR(E3&lt;&gt;"",F3&lt;&gt;"",G3&lt;&gt;"",I3&lt;&gt;"",H3&lt;&gt;""),MAX(E3:I3),"")</f>
        <v/>
      </c>
      <c r="K3" s="14"/>
      <c r="L3" s="39"/>
      <c r="M3" s="39"/>
      <c r="N3" s="39"/>
      <c r="O3" s="39"/>
      <c r="P3" s="39"/>
      <c r="Q3" s="39"/>
      <c r="R3" s="39"/>
      <c r="S3" s="39"/>
      <c r="T3" s="39"/>
      <c r="U3" s="39"/>
      <c r="V3" s="39"/>
      <c r="W3" s="39"/>
      <c r="X3" s="39"/>
      <c r="Y3" s="39"/>
      <c r="Z3" s="39"/>
    </row>
    <row r="4" spans="1:26" s="40" customFormat="1" ht="60" customHeight="1">
      <c r="A4" s="188"/>
      <c r="B4" s="30"/>
      <c r="C4" s="169"/>
      <c r="D4" s="30"/>
      <c r="E4" s="30"/>
      <c r="F4" s="35"/>
      <c r="G4" s="35"/>
      <c r="H4" s="190"/>
      <c r="I4" s="190"/>
      <c r="J4" s="47"/>
      <c r="K4" s="14"/>
      <c r="L4" s="39"/>
      <c r="M4" s="39"/>
      <c r="N4" s="39"/>
      <c r="O4" s="39"/>
      <c r="P4" s="39"/>
      <c r="Q4" s="39"/>
      <c r="R4" s="39"/>
      <c r="S4" s="39"/>
      <c r="T4" s="39"/>
      <c r="U4" s="39"/>
      <c r="V4" s="39"/>
      <c r="W4" s="39"/>
      <c r="X4" s="39"/>
      <c r="Y4" s="39"/>
      <c r="Z4" s="39"/>
    </row>
    <row r="5" spans="1:26" s="40" customFormat="1" ht="27" customHeight="1">
      <c r="A5" s="188"/>
      <c r="B5" s="30"/>
      <c r="C5" s="169"/>
      <c r="D5" s="30"/>
      <c r="E5" s="30"/>
      <c r="F5" s="35"/>
      <c r="G5" s="35"/>
      <c r="H5" s="190"/>
      <c r="I5" s="190"/>
      <c r="J5" s="47"/>
      <c r="K5" s="14"/>
      <c r="L5" s="39"/>
      <c r="M5" s="39"/>
      <c r="N5" s="39"/>
      <c r="O5" s="39"/>
      <c r="P5" s="39"/>
      <c r="Q5" s="39"/>
      <c r="R5" s="39"/>
      <c r="S5" s="39"/>
      <c r="T5" s="39"/>
      <c r="U5" s="39"/>
      <c r="V5" s="39"/>
      <c r="W5" s="39"/>
      <c r="X5" s="39"/>
      <c r="Y5" s="39"/>
      <c r="Z5" s="39"/>
    </row>
    <row r="6" spans="1:26" s="40" customFormat="1" ht="58.9" customHeight="1">
      <c r="A6" s="188"/>
      <c r="B6" s="30"/>
      <c r="C6" s="169"/>
      <c r="D6" s="30"/>
      <c r="E6" s="30"/>
      <c r="F6" s="35"/>
      <c r="G6" s="35"/>
      <c r="H6" s="190"/>
      <c r="I6" s="190"/>
      <c r="J6" s="47"/>
      <c r="K6" s="14"/>
      <c r="L6" s="39"/>
      <c r="M6" s="39"/>
      <c r="N6" s="39"/>
      <c r="O6" s="39"/>
      <c r="P6" s="39"/>
      <c r="Q6" s="39"/>
      <c r="R6" s="39"/>
      <c r="S6" s="39"/>
      <c r="T6" s="39"/>
      <c r="U6" s="39"/>
      <c r="V6" s="39"/>
      <c r="W6" s="39"/>
      <c r="X6" s="39"/>
      <c r="Y6" s="39"/>
      <c r="Z6" s="39"/>
    </row>
    <row r="7" spans="1:26" s="2" customFormat="1" ht="24.75" customHeight="1">
      <c r="A7" s="188"/>
      <c r="B7" s="14"/>
      <c r="C7" s="169"/>
      <c r="D7" s="169"/>
      <c r="E7" s="30"/>
      <c r="F7" s="30"/>
      <c r="G7" s="35"/>
      <c r="H7" s="190"/>
      <c r="I7" s="190"/>
      <c r="J7" s="47"/>
      <c r="K7" s="14"/>
      <c r="L7" s="10"/>
      <c r="M7" s="10"/>
      <c r="N7" s="10"/>
      <c r="O7" s="10"/>
      <c r="P7" s="10"/>
      <c r="Q7" s="10"/>
      <c r="R7" s="10"/>
      <c r="S7" s="10"/>
      <c r="T7" s="10"/>
      <c r="U7" s="10"/>
      <c r="V7" s="10"/>
      <c r="W7" s="10"/>
      <c r="X7" s="10"/>
      <c r="Y7" s="10"/>
      <c r="Z7" s="10"/>
    </row>
  </sheetData>
  <mergeCells count="3">
    <mergeCell ref="A1:B1"/>
    <mergeCell ref="G1:K1"/>
    <mergeCell ref="C1:F1"/>
  </mergeCells>
  <conditionalFormatting sqref="J3">
    <cfRule type="colorScale" priority="1">
      <colorScale>
        <cfvo type="num" val="0"/>
        <cfvo type="num" val="3"/>
        <color rgb="FFFFEF9C"/>
        <color theme="5"/>
      </colorScale>
    </cfRule>
  </conditionalFormatting>
  <conditionalFormatting sqref="J4:J7">
    <cfRule type="colorScale" priority="2">
      <colorScale>
        <cfvo type="num" val="0"/>
        <cfvo type="num" val="3"/>
        <color rgb="FFFFEF9C"/>
        <color theme="5"/>
      </colorScale>
    </cfRule>
  </conditionalFormatting>
  <dataValidations count="1">
    <dataValidation type="list" allowBlank="1" showErrorMessage="1" sqref="G3:I7" xr:uid="{00000000-0002-0000-0C00-000000000000}">
      <formula1>Impacte</formula1>
    </dataValidation>
  </dataValidations>
  <pageMargins left="0.7" right="0.7" top="0.75" bottom="0.75" header="0" footer="0"/>
  <pageSetup scale="45"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DC90B-AC79-4532-B5DC-2CF8D844A75C}">
  <sheetPr>
    <pageSetUpPr fitToPage="1"/>
  </sheetPr>
  <dimension ref="A1:AA6"/>
  <sheetViews>
    <sheetView zoomScale="70" zoomScaleNormal="70" workbookViewId="0">
      <selection activeCell="F9" sqref="F9"/>
    </sheetView>
  </sheetViews>
  <sheetFormatPr defaultColWidth="14.28515625" defaultRowHeight="15" customHeight="1"/>
  <cols>
    <col min="1" max="1" width="10.28515625" customWidth="1"/>
    <col min="2" max="2" width="40.28515625" customWidth="1"/>
    <col min="3" max="3" width="17.85546875" customWidth="1"/>
    <col min="4" max="4" width="30.85546875" customWidth="1"/>
    <col min="5" max="5" width="44.140625" customWidth="1"/>
    <col min="6" max="6" width="52.85546875" customWidth="1"/>
    <col min="7" max="7" width="24.140625" customWidth="1"/>
    <col min="8" max="8" width="13.140625" customWidth="1"/>
    <col min="9" max="10" width="9.140625" customWidth="1"/>
    <col min="11" max="11" width="15.85546875" customWidth="1"/>
    <col min="12" max="12" width="42.28515625" customWidth="1"/>
    <col min="13" max="27" width="9.140625" customWidth="1"/>
  </cols>
  <sheetData>
    <row r="1" spans="1:27" ht="63" customHeight="1">
      <c r="A1" s="233"/>
      <c r="B1" s="253"/>
      <c r="C1" s="90"/>
      <c r="D1" s="237" t="s">
        <v>283</v>
      </c>
      <c r="E1" s="238"/>
      <c r="F1" s="238"/>
      <c r="G1" s="242"/>
      <c r="H1" s="244"/>
      <c r="I1" s="254"/>
      <c r="J1" s="254"/>
      <c r="K1" s="254"/>
      <c r="L1" s="258"/>
    </row>
    <row r="2" spans="1:27" s="2" customFormat="1" ht="106.5" customHeight="1">
      <c r="A2" s="99" t="s">
        <v>18</v>
      </c>
      <c r="B2" s="99" t="s">
        <v>24</v>
      </c>
      <c r="C2" s="99" t="s">
        <v>284</v>
      </c>
      <c r="D2" s="99" t="s">
        <v>26</v>
      </c>
      <c r="E2" s="99" t="s">
        <v>30</v>
      </c>
      <c r="F2" s="99" t="s">
        <v>28</v>
      </c>
      <c r="G2" s="103" t="s">
        <v>97</v>
      </c>
      <c r="H2" s="121" t="s">
        <v>55</v>
      </c>
      <c r="I2" s="100" t="s">
        <v>54</v>
      </c>
      <c r="J2" s="100" t="s">
        <v>34</v>
      </c>
      <c r="K2" s="101" t="s">
        <v>58</v>
      </c>
      <c r="L2" s="102" t="s">
        <v>44</v>
      </c>
      <c r="M2" s="3"/>
      <c r="N2" s="3"/>
      <c r="O2" s="3"/>
      <c r="P2" s="3"/>
      <c r="Q2" s="3"/>
      <c r="R2" s="3"/>
      <c r="S2" s="3"/>
      <c r="T2" s="3"/>
      <c r="U2" s="3"/>
      <c r="V2" s="3"/>
      <c r="W2" s="3"/>
      <c r="X2" s="3"/>
      <c r="Y2" s="3"/>
      <c r="Z2" s="3"/>
      <c r="AA2" s="3"/>
    </row>
    <row r="3" spans="1:27" s="40" customFormat="1" ht="55.15" customHeight="1">
      <c r="A3" s="36" t="s">
        <v>285</v>
      </c>
      <c r="B3" s="30" t="s">
        <v>286</v>
      </c>
      <c r="C3" s="14" t="s">
        <v>106</v>
      </c>
      <c r="D3" s="5" t="s">
        <v>106</v>
      </c>
      <c r="E3" s="6" t="s">
        <v>287</v>
      </c>
      <c r="F3" s="6" t="s">
        <v>288</v>
      </c>
      <c r="G3" s="32" t="s">
        <v>4</v>
      </c>
      <c r="H3" s="139">
        <v>2</v>
      </c>
      <c r="I3" s="189"/>
      <c r="J3" s="38">
        <v>2</v>
      </c>
      <c r="K3" s="9">
        <f>IF(OR(F3&lt;&gt;"",G3&lt;&gt;"",H3&lt;&gt;"",J3&lt;&gt;"",I3&lt;&gt;""),MAX(F3:J3),"")</f>
        <v>2</v>
      </c>
      <c r="L3" s="37"/>
      <c r="M3" s="39"/>
      <c r="N3" s="39"/>
      <c r="O3" s="39"/>
      <c r="P3" s="39"/>
      <c r="Q3" s="39"/>
      <c r="R3" s="39"/>
      <c r="S3" s="39"/>
      <c r="T3" s="39"/>
      <c r="U3" s="39"/>
      <c r="V3" s="39"/>
      <c r="W3" s="39"/>
      <c r="X3" s="39"/>
      <c r="Y3" s="39"/>
      <c r="Z3" s="39"/>
      <c r="AA3" s="39"/>
    </row>
    <row r="4" spans="1:27" s="40" customFormat="1" ht="60" customHeight="1">
      <c r="A4" s="36" t="s">
        <v>289</v>
      </c>
      <c r="B4" s="30" t="s">
        <v>290</v>
      </c>
      <c r="C4" s="14" t="s">
        <v>106</v>
      </c>
      <c r="D4" s="5" t="s">
        <v>106</v>
      </c>
      <c r="E4" s="6" t="s">
        <v>291</v>
      </c>
      <c r="F4" s="6" t="s">
        <v>288</v>
      </c>
      <c r="G4" s="32" t="s">
        <v>4</v>
      </c>
      <c r="H4" s="139">
        <v>2</v>
      </c>
      <c r="I4" s="189"/>
      <c r="J4" s="38">
        <v>2</v>
      </c>
      <c r="K4" s="9">
        <f>IF(OR(F4&lt;&gt;"",G4&lt;&gt;"",H4&lt;&gt;"",J4&lt;&gt;"",I4&lt;&gt;""),MAX(F4:J4),"")</f>
        <v>2</v>
      </c>
      <c r="L4" s="37"/>
      <c r="M4" s="39"/>
      <c r="N4" s="39"/>
      <c r="O4" s="39"/>
      <c r="P4" s="39"/>
      <c r="Q4" s="39"/>
      <c r="R4" s="39"/>
      <c r="S4" s="39"/>
      <c r="T4" s="39"/>
      <c r="U4" s="39"/>
      <c r="V4" s="39"/>
      <c r="W4" s="39"/>
      <c r="X4" s="39"/>
      <c r="Y4" s="39"/>
      <c r="Z4" s="39"/>
      <c r="AA4" s="39"/>
    </row>
    <row r="5" spans="1:27" s="40" customFormat="1" ht="88.5" customHeight="1">
      <c r="A5" s="36" t="s">
        <v>292</v>
      </c>
      <c r="B5" s="30" t="s">
        <v>293</v>
      </c>
      <c r="C5" s="14" t="s">
        <v>106</v>
      </c>
      <c r="D5" s="5" t="s">
        <v>106</v>
      </c>
      <c r="E5" s="6" t="s">
        <v>294</v>
      </c>
      <c r="F5" s="6" t="s">
        <v>288</v>
      </c>
      <c r="G5" s="32" t="s">
        <v>4</v>
      </c>
      <c r="H5" s="139">
        <v>2</v>
      </c>
      <c r="I5" s="189"/>
      <c r="J5" s="38">
        <v>2</v>
      </c>
      <c r="K5" s="9">
        <f>IF(OR(F5&lt;&gt;"",G5&lt;&gt;"",H5&lt;&gt;"",J5&lt;&gt;"",I5&lt;&gt;""),MAX(F5:J5),"")</f>
        <v>2</v>
      </c>
      <c r="L5" s="37"/>
      <c r="M5" s="39"/>
      <c r="N5" s="39"/>
      <c r="O5" s="39"/>
      <c r="P5" s="39"/>
      <c r="Q5" s="39"/>
      <c r="R5" s="39"/>
      <c r="S5" s="39"/>
      <c r="T5" s="39"/>
      <c r="U5" s="39"/>
      <c r="V5" s="39"/>
      <c r="W5" s="39"/>
      <c r="X5" s="39"/>
      <c r="Y5" s="39"/>
      <c r="Z5" s="39"/>
      <c r="AA5" s="39"/>
    </row>
    <row r="6" spans="1:27" s="40" customFormat="1" ht="88.5" customHeight="1">
      <c r="A6" s="36" t="s">
        <v>292</v>
      </c>
      <c r="B6" s="30" t="s">
        <v>295</v>
      </c>
      <c r="C6" s="14" t="s">
        <v>106</v>
      </c>
      <c r="D6" s="5" t="s">
        <v>106</v>
      </c>
      <c r="E6" s="6" t="s">
        <v>296</v>
      </c>
      <c r="F6" s="6" t="s">
        <v>288</v>
      </c>
      <c r="G6" s="32" t="s">
        <v>4</v>
      </c>
      <c r="H6" s="139">
        <v>2</v>
      </c>
      <c r="I6" s="189"/>
      <c r="J6" s="38">
        <v>2</v>
      </c>
      <c r="K6" s="9">
        <f>IF(OR(F6&lt;&gt;"",G6&lt;&gt;"",H6&lt;&gt;"",J6&lt;&gt;"",I6&lt;&gt;""),MAX(F6:J6),"")</f>
        <v>2</v>
      </c>
      <c r="L6" s="37"/>
      <c r="M6" s="39"/>
      <c r="N6" s="39"/>
      <c r="O6" s="39"/>
      <c r="P6" s="39"/>
      <c r="Q6" s="39"/>
      <c r="R6" s="39"/>
      <c r="S6" s="39"/>
      <c r="T6" s="39"/>
      <c r="U6" s="39"/>
      <c r="V6" s="39"/>
      <c r="W6" s="39"/>
      <c r="X6" s="39"/>
      <c r="Y6" s="39"/>
      <c r="Z6" s="39"/>
      <c r="AA6" s="39"/>
    </row>
  </sheetData>
  <mergeCells count="3">
    <mergeCell ref="A1:B1"/>
    <mergeCell ref="D1:G1"/>
    <mergeCell ref="H1:L1"/>
  </mergeCells>
  <conditionalFormatting sqref="K3:K6">
    <cfRule type="colorScale" priority="1">
      <colorScale>
        <cfvo type="num" val="0"/>
        <cfvo type="num" val="3"/>
        <color rgb="FFFFEF9C"/>
        <color theme="5"/>
      </colorScale>
    </cfRule>
  </conditionalFormatting>
  <dataValidations count="1">
    <dataValidation type="list" allowBlank="1" showErrorMessage="1" sqref="H3:J6" xr:uid="{BB5F6069-7487-48E8-B52F-6818AD9DDBD7}">
      <formula1>Impacte</formula1>
    </dataValidation>
  </dataValidations>
  <pageMargins left="0.7" right="0.7" top="0.75" bottom="0.75" header="0" footer="0"/>
  <pageSetup scale="45"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000"/>
  <sheetViews>
    <sheetView topLeftCell="A5" workbookViewId="0">
      <selection activeCell="A20" sqref="A20:B23"/>
    </sheetView>
  </sheetViews>
  <sheetFormatPr defaultColWidth="14.28515625" defaultRowHeight="15" customHeight="1"/>
  <cols>
    <col min="1" max="1" width="25.140625" customWidth="1"/>
    <col min="2" max="2" width="10.7109375" customWidth="1"/>
    <col min="3" max="3" width="9.140625" customWidth="1"/>
    <col min="4" max="4" width="18.7109375" customWidth="1"/>
    <col min="5" max="5" width="30.85546875" customWidth="1"/>
    <col min="6" max="6" width="9.140625" customWidth="1"/>
    <col min="7" max="7" width="15.7109375" customWidth="1"/>
    <col min="8" max="8" width="36.85546875" customWidth="1"/>
    <col min="9" max="26" width="9.140625" customWidth="1"/>
  </cols>
  <sheetData>
    <row r="1" spans="1:9" ht="89.65" customHeight="1">
      <c r="A1" s="275"/>
      <c r="B1" s="276"/>
      <c r="C1" s="15"/>
      <c r="D1" s="250" t="s">
        <v>297</v>
      </c>
      <c r="E1" s="276"/>
      <c r="F1" s="276"/>
      <c r="G1" s="276"/>
      <c r="H1" s="276"/>
      <c r="I1" s="276"/>
    </row>
    <row r="2" spans="1:9" ht="17.649999999999999" customHeight="1">
      <c r="A2" s="16" t="s">
        <v>298</v>
      </c>
      <c r="D2" s="16" t="s">
        <v>299</v>
      </c>
    </row>
    <row r="3" spans="1:9" ht="14.45">
      <c r="A3" t="s">
        <v>63</v>
      </c>
      <c r="D3">
        <v>3</v>
      </c>
    </row>
    <row r="4" spans="1:9" ht="14.45">
      <c r="A4" t="s">
        <v>83</v>
      </c>
      <c r="D4">
        <v>2</v>
      </c>
    </row>
    <row r="5" spans="1:9" ht="14.45">
      <c r="D5">
        <v>1</v>
      </c>
    </row>
    <row r="6" spans="1:9" ht="14.45">
      <c r="D6">
        <v>0</v>
      </c>
    </row>
    <row r="7" spans="1:9" ht="14.45">
      <c r="A7" s="16" t="s">
        <v>300</v>
      </c>
    </row>
    <row r="8" spans="1:9" ht="14.45">
      <c r="A8" s="21" t="s">
        <v>107</v>
      </c>
      <c r="B8">
        <v>0</v>
      </c>
    </row>
    <row r="9" spans="1:9" ht="14.45">
      <c r="A9" s="21" t="s">
        <v>137</v>
      </c>
      <c r="B9">
        <v>1</v>
      </c>
    </row>
    <row r="10" spans="1:9" ht="14.45">
      <c r="A10" s="21" t="s">
        <v>112</v>
      </c>
      <c r="B10">
        <v>2</v>
      </c>
    </row>
    <row r="11" spans="1:9" ht="14.45">
      <c r="A11" s="21" t="s">
        <v>301</v>
      </c>
      <c r="B11">
        <v>3</v>
      </c>
    </row>
    <row r="13" spans="1:9" ht="14.45">
      <c r="A13" s="16" t="s">
        <v>302</v>
      </c>
    </row>
    <row r="14" spans="1:9" ht="14.45">
      <c r="A14" t="s">
        <v>103</v>
      </c>
    </row>
    <row r="15" spans="1:9" ht="14.45">
      <c r="A15" t="s">
        <v>110</v>
      </c>
    </row>
    <row r="16" spans="1:9" ht="14.45">
      <c r="A16" t="s">
        <v>303</v>
      </c>
    </row>
    <row r="19" spans="1:2" ht="14.45">
      <c r="A19" s="16" t="s">
        <v>36</v>
      </c>
    </row>
    <row r="20" spans="1:2" ht="14.45">
      <c r="A20" s="21" t="s">
        <v>304</v>
      </c>
      <c r="B20">
        <v>3</v>
      </c>
    </row>
    <row r="21" spans="1:2" ht="15.75" customHeight="1">
      <c r="A21" s="21" t="s">
        <v>305</v>
      </c>
      <c r="B21">
        <v>2</v>
      </c>
    </row>
    <row r="22" spans="1:2" ht="15.75" customHeight="1">
      <c r="A22" s="21" t="s">
        <v>306</v>
      </c>
      <c r="B22">
        <v>1</v>
      </c>
    </row>
    <row r="23" spans="1:2" ht="15.75" customHeight="1">
      <c r="A23" s="21" t="s">
        <v>307</v>
      </c>
      <c r="B23">
        <v>0</v>
      </c>
    </row>
    <row r="24" spans="1:2" ht="15.75" customHeight="1"/>
    <row r="25" spans="1:2" ht="15.75" customHeight="1"/>
    <row r="26" spans="1:2" ht="15.75" customHeight="1">
      <c r="A26" s="16" t="s">
        <v>38</v>
      </c>
    </row>
    <row r="27" spans="1:2" ht="15.75" customHeight="1">
      <c r="A27" t="s">
        <v>308</v>
      </c>
      <c r="B27">
        <v>3</v>
      </c>
    </row>
    <row r="28" spans="1:2" ht="15.75" customHeight="1">
      <c r="A28" s="21" t="s">
        <v>304</v>
      </c>
      <c r="B28">
        <v>2</v>
      </c>
    </row>
    <row r="29" spans="1:2" ht="15.75" customHeight="1">
      <c r="A29" s="21" t="s">
        <v>305</v>
      </c>
      <c r="B29">
        <v>1</v>
      </c>
    </row>
    <row r="30" spans="1:2" ht="15.75" customHeight="1">
      <c r="A30" s="21" t="s">
        <v>309</v>
      </c>
      <c r="B30">
        <v>0</v>
      </c>
    </row>
    <row r="31" spans="1:2" ht="15.75" customHeight="1"/>
    <row r="32" spans="1:2" ht="15.75" customHeight="1"/>
    <row r="33" spans="1:3" ht="15.75" customHeight="1">
      <c r="A33" s="16" t="s">
        <v>299</v>
      </c>
      <c r="B33" s="16" t="s">
        <v>310</v>
      </c>
      <c r="C33" s="67" t="s">
        <v>311</v>
      </c>
    </row>
    <row r="34" spans="1:3" ht="15.75" customHeight="1">
      <c r="A34" s="66">
        <v>3</v>
      </c>
      <c r="B34" s="66">
        <v>2</v>
      </c>
      <c r="C34" s="65" t="s">
        <v>312</v>
      </c>
    </row>
    <row r="35" spans="1:3" ht="15.75" customHeight="1">
      <c r="A35" s="66">
        <v>2</v>
      </c>
      <c r="B35" s="66">
        <v>2</v>
      </c>
      <c r="C35" s="65" t="s">
        <v>312</v>
      </c>
    </row>
    <row r="36" spans="1:3" ht="15.75" customHeight="1">
      <c r="A36" s="66">
        <v>1</v>
      </c>
      <c r="B36" s="66">
        <v>1</v>
      </c>
      <c r="C36" s="65" t="s">
        <v>313</v>
      </c>
    </row>
    <row r="37" spans="1:3" ht="15.75" customHeight="1">
      <c r="A37" s="66">
        <v>0</v>
      </c>
      <c r="B37" s="66">
        <v>1</v>
      </c>
      <c r="C37" s="65" t="s">
        <v>313</v>
      </c>
    </row>
    <row r="38" spans="1:3" ht="15.75" customHeight="1"/>
    <row r="39" spans="1:3" ht="15.75" customHeight="1"/>
    <row r="40" spans="1:3" ht="15.75" customHeight="1"/>
    <row r="41" spans="1:3" ht="15.75" customHeight="1"/>
    <row r="42" spans="1:3" ht="15.75" customHeight="1"/>
    <row r="43" spans="1:3" ht="15.75" customHeight="1"/>
    <row r="44" spans="1:3" ht="15.75" customHeight="1"/>
    <row r="45" spans="1:3" ht="15.75" customHeight="1"/>
    <row r="46" spans="1:3" ht="15.75" customHeight="1"/>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D1:I1"/>
  </mergeCells>
  <pageMargins left="0.7" right="0.7" top="0.75" bottom="0.75" header="0" footer="0"/>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747B8C1A74757498A2029EF7A2CB39D" ma:contentTypeVersion="3" ma:contentTypeDescription="Crear nuevo documento." ma:contentTypeScope="" ma:versionID="dbc5ad3d66351554dbb55bd89210c6ae">
  <xsd:schema xmlns:xsd="http://www.w3.org/2001/XMLSchema" xmlns:xs="http://www.w3.org/2001/XMLSchema" xmlns:p="http://schemas.microsoft.com/office/2006/metadata/properties" xmlns:ns2="8a433bc3-02fd-410b-9ca8-de1c3ba283d8" targetNamespace="http://schemas.microsoft.com/office/2006/metadata/properties" ma:root="true" ma:fieldsID="7428c35c072bd175f40e9370629e688d"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3E3AE79-4D62-41D6-9793-C998410ED851}"/>
</file>

<file path=customXml/itemProps2.xml><?xml version="1.0" encoding="utf-8"?>
<ds:datastoreItem xmlns:ds="http://schemas.openxmlformats.org/officeDocument/2006/customXml" ds:itemID="{5F70FD36-5121-4DA8-A594-846AFFC4E633}"/>
</file>

<file path=customXml/itemProps3.xml><?xml version="1.0" encoding="utf-8"?>
<ds:datastoreItem xmlns:ds="http://schemas.openxmlformats.org/officeDocument/2006/customXml" ds:itemID="{EBDD2B9A-D6D6-4288-B375-9192646DAA6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Jordi Roca</cp:lastModifiedBy>
  <cp:revision/>
  <dcterms:created xsi:type="dcterms:W3CDTF">2022-06-13T20:45:29Z</dcterms:created>
  <dcterms:modified xsi:type="dcterms:W3CDTF">2025-12-11T09:38:59Z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ies>
</file>