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filterPrivacy="1" showInkAnnotation="0" codeName="AquestLlibreDeTreball" defaultThemeVersion="124226"/>
  <xr:revisionPtr revIDLastSave="578" documentId="8_{E1B0A65C-0D8E-4E1E-A541-06A0F3BE9C87}" xr6:coauthVersionLast="47" xr6:coauthVersionMax="47" xr10:uidLastSave="{B8A24F09-1639-422B-8A4C-82CAFA3F944A}"/>
  <bookViews>
    <workbookView xWindow="-120" yWindow="-16320" windowWidth="29040" windowHeight="16440" activeTab="3" xr2:uid="{00000000-000D-0000-FFFF-FFFF00000000}"/>
  </bookViews>
  <sheets>
    <sheet name="Cabecera" sheetId="9" r:id="rId1"/>
    <sheet name="Categorización" sheetId="4" r:id="rId2"/>
    <sheet name="Articulado" sheetId="12" r:id="rId3"/>
    <sheet name="Aplicabilidad" sheetId="10" r:id="rId4"/>
    <sheet name="Criterios IM-IC" sheetId="13" r:id="rId5"/>
    <sheet name="Tablas" sheetId="11" r:id="rId6"/>
  </sheets>
  <definedNames>
    <definedName name="_ftn1" localSheetId="1">Categorización!$B$65</definedName>
    <definedName name="_ftnref1" localSheetId="1">Categorización!$C$34</definedName>
    <definedName name="_xlnm.Print_Area" localSheetId="3">Aplicabilidad!$A$1:$R$99</definedName>
    <definedName name="_xlnm.Print_Area" localSheetId="2">Articulado!$A$1:$G$52</definedName>
    <definedName name="_xlnm.Print_Area" localSheetId="4">'Criterios IM-IC'!$A$1:$N$22</definedName>
    <definedName name="IM">Tablas!$A$2:$B$7</definedName>
    <definedName name="Nivel_cumplimiento">Tablas!$A$12:$B$14</definedName>
    <definedName name="Nivel_madurez">Tablas!$A$2:$A$7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1" i="10" l="1"/>
  <c r="L51" i="10"/>
  <c r="J51" i="10"/>
  <c r="L98" i="10"/>
  <c r="J98" i="10"/>
  <c r="J76" i="10"/>
  <c r="J77" i="10" l="1"/>
  <c r="J74" i="10"/>
  <c r="J83" i="10"/>
  <c r="H9" i="4" l="1"/>
  <c r="I9" i="4" s="1"/>
  <c r="H8" i="4"/>
  <c r="I8" i="4" s="1"/>
  <c r="H7" i="4"/>
  <c r="I7" i="4" s="1"/>
  <c r="C10" i="4"/>
  <c r="I15" i="4"/>
  <c r="H16" i="4"/>
  <c r="I16" i="4" s="1"/>
  <c r="J16" i="10" l="1"/>
  <c r="L16" i="10"/>
  <c r="Q16" i="10"/>
  <c r="R16" i="10" s="1"/>
  <c r="Q98" i="10"/>
  <c r="Q97" i="10"/>
  <c r="Q96" i="10"/>
  <c r="Q95" i="10"/>
  <c r="Q86" i="10"/>
  <c r="Q85" i="10"/>
  <c r="Q83" i="10"/>
  <c r="R83" i="10" s="1"/>
  <c r="Q82" i="10"/>
  <c r="R82" i="10" s="1"/>
  <c r="Q81" i="10"/>
  <c r="R81" i="10" s="1"/>
  <c r="Q80" i="10"/>
  <c r="R80" i="10" s="1"/>
  <c r="Q79" i="10"/>
  <c r="R79" i="10" s="1"/>
  <c r="Q77" i="10" l="1"/>
  <c r="Q76" i="10"/>
  <c r="Q75" i="10"/>
  <c r="Q74" i="10"/>
  <c r="Q72" i="10"/>
  <c r="Q71" i="10"/>
  <c r="Q70" i="10"/>
  <c r="Q69" i="10"/>
  <c r="Q67" i="10"/>
  <c r="Q66" i="10"/>
  <c r="Q65" i="10"/>
  <c r="Q64" i="10"/>
  <c r="Q53" i="10"/>
  <c r="Q52" i="10"/>
  <c r="Q49" i="10"/>
  <c r="Q48" i="10"/>
  <c r="Q47" i="10"/>
  <c r="Q46" i="10"/>
  <c r="Q44" i="10"/>
  <c r="Q42" i="10"/>
  <c r="Q41" i="10"/>
  <c r="R41" i="10" s="1"/>
  <c r="Q40" i="10"/>
  <c r="Q39" i="10"/>
  <c r="Q19" i="10"/>
  <c r="Q18" i="10"/>
  <c r="Q17" i="10"/>
  <c r="Q15" i="10"/>
  <c r="Q12" i="10"/>
  <c r="Q11" i="10"/>
  <c r="Q10" i="10"/>
  <c r="Q9" i="10"/>
  <c r="L83" i="10"/>
  <c r="R98" i="10" l="1"/>
  <c r="R97" i="10"/>
  <c r="L97" i="10"/>
  <c r="J97" i="10"/>
  <c r="R96" i="10"/>
  <c r="L96" i="10"/>
  <c r="J96" i="10"/>
  <c r="R95" i="10"/>
  <c r="L95" i="10"/>
  <c r="J95" i="10"/>
  <c r="Q93" i="10"/>
  <c r="R93" i="10" s="1"/>
  <c r="L93" i="10"/>
  <c r="J93" i="10"/>
  <c r="Q92" i="10"/>
  <c r="R92" i="10" s="1"/>
  <c r="L92" i="10"/>
  <c r="J92" i="10"/>
  <c r="Q91" i="10"/>
  <c r="R91" i="10" s="1"/>
  <c r="L91" i="10"/>
  <c r="J91" i="10"/>
  <c r="Q90" i="10"/>
  <c r="R90" i="10" s="1"/>
  <c r="Q89" i="10"/>
  <c r="R89" i="10" s="1"/>
  <c r="L89" i="10"/>
  <c r="J89" i="10"/>
  <c r="Q88" i="10"/>
  <c r="R88" i="10" s="1"/>
  <c r="L88" i="10"/>
  <c r="J88" i="10"/>
  <c r="R86" i="10"/>
  <c r="L86" i="10"/>
  <c r="J86" i="10"/>
  <c r="R85" i="10"/>
  <c r="L85" i="10"/>
  <c r="J85" i="10"/>
  <c r="R77" i="10"/>
  <c r="R76" i="10"/>
  <c r="R75" i="10"/>
  <c r="R74" i="10"/>
  <c r="R72" i="10"/>
  <c r="R71" i="10"/>
  <c r="L71" i="10"/>
  <c r="J71" i="10"/>
  <c r="R70" i="10"/>
  <c r="L70" i="10"/>
  <c r="J70" i="10"/>
  <c r="R69" i="10"/>
  <c r="L69" i="10"/>
  <c r="J69" i="10"/>
  <c r="R67" i="10"/>
  <c r="L67" i="10"/>
  <c r="J67" i="10"/>
  <c r="R66" i="10"/>
  <c r="L66" i="10"/>
  <c r="J66" i="10"/>
  <c r="R65" i="10"/>
  <c r="L65" i="10"/>
  <c r="J65" i="10"/>
  <c r="R64" i="10"/>
  <c r="L64" i="10"/>
  <c r="J64" i="10"/>
  <c r="Q62" i="10"/>
  <c r="R62" i="10" s="1"/>
  <c r="Q61" i="10"/>
  <c r="R61" i="10" s="1"/>
  <c r="Q60" i="10"/>
  <c r="R60" i="10" s="1"/>
  <c r="Q59" i="10"/>
  <c r="R59" i="10" s="1"/>
  <c r="Q58" i="10"/>
  <c r="R58" i="10" s="1"/>
  <c r="Q57" i="10"/>
  <c r="R57" i="10" s="1"/>
  <c r="Q56" i="10"/>
  <c r="R56" i="10" s="1"/>
  <c r="R53" i="10"/>
  <c r="L53" i="10"/>
  <c r="J53" i="10"/>
  <c r="R52" i="10"/>
  <c r="L52" i="10"/>
  <c r="J52" i="10"/>
  <c r="R51" i="10"/>
  <c r="R49" i="10"/>
  <c r="L49" i="10"/>
  <c r="J49" i="10"/>
  <c r="R48" i="10"/>
  <c r="L48" i="10"/>
  <c r="J48" i="10"/>
  <c r="R47" i="10"/>
  <c r="L47" i="10"/>
  <c r="J47" i="10"/>
  <c r="R46" i="10"/>
  <c r="L46" i="10"/>
  <c r="J46" i="10"/>
  <c r="R44" i="10"/>
  <c r="L44" i="10"/>
  <c r="J44" i="10"/>
  <c r="R42" i="10"/>
  <c r="L42" i="10"/>
  <c r="J42" i="10"/>
  <c r="L41" i="10"/>
  <c r="J41" i="10"/>
  <c r="R40" i="10"/>
  <c r="L40" i="10"/>
  <c r="J40" i="10"/>
  <c r="R39" i="10"/>
  <c r="L39" i="10"/>
  <c r="J39" i="10"/>
  <c r="Q37" i="10"/>
  <c r="R37" i="10" s="1"/>
  <c r="L37" i="10"/>
  <c r="J37" i="10"/>
  <c r="Q36" i="10"/>
  <c r="R36" i="10" s="1"/>
  <c r="L36" i="10"/>
  <c r="J36" i="10"/>
  <c r="Q35" i="10"/>
  <c r="R35" i="10" s="1"/>
  <c r="L35" i="10"/>
  <c r="J35" i="10"/>
  <c r="Q34" i="10"/>
  <c r="R34" i="10" s="1"/>
  <c r="L34" i="10"/>
  <c r="J34" i="10"/>
  <c r="Q33" i="10"/>
  <c r="R33" i="10" s="1"/>
  <c r="L33" i="10"/>
  <c r="J33" i="10"/>
  <c r="Q32" i="10"/>
  <c r="R32" i="10" s="1"/>
  <c r="L32" i="10"/>
  <c r="J32" i="10"/>
  <c r="Q31" i="10"/>
  <c r="R31" i="10" s="1"/>
  <c r="L31" i="10"/>
  <c r="J31" i="10"/>
  <c r="Q30" i="10"/>
  <c r="R30" i="10" s="1"/>
  <c r="L30" i="10"/>
  <c r="J30" i="10"/>
  <c r="Q29" i="10"/>
  <c r="R29" i="10" s="1"/>
  <c r="L29" i="10"/>
  <c r="J29" i="10"/>
  <c r="Q28" i="10"/>
  <c r="R28" i="10" s="1"/>
  <c r="L28" i="10"/>
  <c r="J28" i="10"/>
  <c r="Q26" i="10"/>
  <c r="R26" i="10" s="1"/>
  <c r="Q25" i="10"/>
  <c r="R25" i="10" s="1"/>
  <c r="Q24" i="10"/>
  <c r="R24" i="10" s="1"/>
  <c r="Q23" i="10"/>
  <c r="R23" i="10" s="1"/>
  <c r="Q22" i="10"/>
  <c r="R22" i="10" s="1"/>
  <c r="Q21" i="10"/>
  <c r="R21" i="10" s="1"/>
  <c r="R19" i="10"/>
  <c r="L19" i="10"/>
  <c r="J19" i="10"/>
  <c r="R18" i="10"/>
  <c r="L18" i="10"/>
  <c r="J18" i="10"/>
  <c r="R17" i="10"/>
  <c r="L17" i="10"/>
  <c r="J17" i="10"/>
  <c r="R15" i="10"/>
  <c r="L15" i="10"/>
  <c r="J15" i="10"/>
  <c r="R12" i="10"/>
  <c r="L12" i="10"/>
  <c r="J12" i="10"/>
  <c r="R11" i="10"/>
  <c r="L11" i="10"/>
  <c r="J11" i="10"/>
  <c r="R10" i="10"/>
  <c r="L10" i="10"/>
  <c r="J10" i="10"/>
  <c r="L9" i="10"/>
  <c r="J9" i="10"/>
  <c r="V4" i="10"/>
  <c r="U4" i="10"/>
  <c r="T4" i="10"/>
  <c r="S4" i="10"/>
  <c r="L21" i="10" s="1"/>
  <c r="H14" i="4"/>
  <c r="H6" i="4"/>
  <c r="H10" i="4" s="1"/>
  <c r="L23" i="10" l="1"/>
  <c r="J90" i="10"/>
  <c r="L90" i="10"/>
  <c r="Q4" i="10"/>
  <c r="J26" i="10"/>
  <c r="L26" i="10"/>
  <c r="R9" i="10"/>
  <c r="R4" i="10" s="1"/>
  <c r="J24" i="10"/>
  <c r="J22" i="10"/>
  <c r="L22" i="10"/>
  <c r="L24" i="10"/>
  <c r="J21" i="10"/>
  <c r="J23" i="10"/>
  <c r="I11" i="4"/>
  <c r="H22" i="4" s="1"/>
  <c r="I14" i="4"/>
  <c r="I6" i="4"/>
  <c r="H17" i="4"/>
  <c r="I18" i="4" s="1"/>
  <c r="H23" i="4" s="1"/>
  <c r="G17" i="4"/>
  <c r="G18" i="4" s="1"/>
  <c r="G23" i="4" s="1"/>
  <c r="F17" i="4"/>
  <c r="F18" i="4" s="1"/>
  <c r="F23" i="4" s="1"/>
  <c r="E17" i="4"/>
  <c r="E18" i="4" s="1"/>
  <c r="E23" i="4" s="1"/>
  <c r="D17" i="4"/>
  <c r="D18" i="4" s="1"/>
  <c r="D23" i="4" s="1"/>
  <c r="C11" i="4"/>
  <c r="C22" i="4" s="1"/>
</calcChain>
</file>

<file path=xl/sharedStrings.xml><?xml version="1.0" encoding="utf-8"?>
<sst xmlns="http://schemas.openxmlformats.org/spreadsheetml/2006/main" count="986" uniqueCount="511">
  <si>
    <t>Código:</t>
  </si>
  <si>
    <t>D04 Categorización y Declaración de Aplicabilidad ENS</t>
  </si>
  <si>
    <t>Fecha</t>
  </si>
  <si>
    <t>Aprobado por:</t>
  </si>
  <si>
    <t>Jordi roca</t>
  </si>
  <si>
    <t>Revisión:</t>
  </si>
  <si>
    <t>1.0</t>
  </si>
  <si>
    <t>Clasificación</t>
  </si>
  <si>
    <t>USO INTERNO</t>
  </si>
  <si>
    <t>Contenido</t>
  </si>
  <si>
    <t>Se incluyen hojas con:
- Categorización del sistema
- Aplicabilidad de medidas del Anexo II
- Aplicabilidad del articulado
- Medidas de seguridad, con medidas compensatorias y evaluación de madurez</t>
  </si>
  <si>
    <t>HISTORIAL DE CAMBIOS</t>
  </si>
  <si>
    <t>Revisión</t>
  </si>
  <si>
    <t>Motivo</t>
  </si>
  <si>
    <t>Revisión inicial</t>
  </si>
  <si>
    <t>CATEGORIZACIÓN DEL SISTEMA</t>
  </si>
  <si>
    <t>ACTIVOS DE SERVICIOS</t>
  </si>
  <si>
    <t>Disponibilidad
[D]</t>
  </si>
  <si>
    <t>Integridad
[I]</t>
  </si>
  <si>
    <t>Confidencialidad
[C]</t>
  </si>
  <si>
    <t>Autenticidad
[A]</t>
  </si>
  <si>
    <t>Trazabilidad
[T]</t>
  </si>
  <si>
    <t>CATEGORIA</t>
  </si>
  <si>
    <t>Consultoria estratégica para el serctor público</t>
  </si>
  <si>
    <t>Desarrollo de soluciones IA</t>
  </si>
  <si>
    <t>Explotación de plataformas tecnológicas de soluciones IA</t>
  </si>
  <si>
    <t>Soporte y mantenimiento de soluciones IA</t>
  </si>
  <si>
    <t>NIVEL MAXIMO DE LOS SERVICIOS</t>
  </si>
  <si>
    <t>ACTIVOS DE INFORMACIÓN</t>
  </si>
  <si>
    <t>Datos de consultoria</t>
  </si>
  <si>
    <t>Datos de desarrollo</t>
  </si>
  <si>
    <t>Datos de gestión TIC</t>
  </si>
  <si>
    <t>NIVEL MAXIMO DE LA INFORMACIÓN</t>
  </si>
  <si>
    <t>VALORES MÁXIMOS DEL SISTEMA</t>
  </si>
  <si>
    <t>CATEGORIA DEL SISTEMA</t>
  </si>
  <si>
    <t>M</t>
  </si>
  <si>
    <t>Tabla de Valores</t>
  </si>
  <si>
    <t>B</t>
  </si>
  <si>
    <t>A</t>
  </si>
  <si>
    <t>CRITERIOS DE VALORACIÓN</t>
  </si>
  <si>
    <r>
      <t>De acuerdo con lo establecido en el capítulo "</t>
    </r>
    <r>
      <rPr>
        <i/>
        <sz val="11"/>
        <color theme="1"/>
        <rFont val="Calibri"/>
        <family val="2"/>
        <scheme val="minor"/>
      </rPr>
      <t>4.Categorización de los sistemas de información</t>
    </r>
    <r>
      <rPr>
        <sz val="11"/>
        <color theme="1"/>
        <rFont val="Calibri"/>
        <family val="2"/>
        <scheme val="minor"/>
      </rPr>
      <t xml:space="preserve">" de la </t>
    </r>
    <r>
      <rPr>
        <i/>
        <sz val="11"/>
        <color theme="1"/>
        <rFont val="Calibri"/>
        <family val="2"/>
        <scheme val="minor"/>
      </rPr>
      <t>Política de Seguridad de la Información-ENS,</t>
    </r>
    <r>
      <rPr>
        <sz val="11"/>
        <color theme="1"/>
        <rFont val="Calibri"/>
        <family val="2"/>
        <scheme val="minor"/>
      </rPr>
      <t xml:space="preserve"> así como la </t>
    </r>
    <r>
      <rPr>
        <i/>
        <sz val="11"/>
        <color theme="1"/>
        <rFont val="Calibri"/>
        <family val="2"/>
        <scheme val="minor"/>
      </rPr>
      <t xml:space="preserve">CCN-STIC 803 Guia de Seguridad de las TIC - Valoración de los Sistemas.
</t>
    </r>
    <r>
      <rPr>
        <sz val="11"/>
        <color theme="1"/>
        <rFont val="Calibri"/>
        <family val="2"/>
        <scheme val="minor"/>
      </rPr>
      <t xml:space="preserve">Se dispone de valoración detallada  de los activos esenciales en  los documentos </t>
    </r>
    <r>
      <rPr>
        <i/>
        <sz val="11"/>
        <color theme="1"/>
        <rFont val="Calibri"/>
        <family val="2"/>
        <scheme val="minor"/>
      </rPr>
      <t>Valoración de Servicios Propio</t>
    </r>
    <r>
      <rPr>
        <sz val="11"/>
        <color theme="1"/>
        <rFont val="Calibri"/>
        <family val="2"/>
        <scheme val="minor"/>
      </rPr>
      <t xml:space="preserve">s y </t>
    </r>
    <r>
      <rPr>
        <i/>
        <sz val="11"/>
        <color theme="1"/>
        <rFont val="Calibri"/>
        <family val="2"/>
        <scheme val="minor"/>
      </rPr>
      <t>Valoración de Dato</t>
    </r>
    <r>
      <rPr>
        <sz val="11"/>
        <color theme="1"/>
        <rFont val="Calibri"/>
        <family val="2"/>
        <scheme val="minor"/>
      </rPr>
      <t>s.</t>
    </r>
  </si>
  <si>
    <r>
      <t xml:space="preserve">Se ha considerado que el </t>
    </r>
    <r>
      <rPr>
        <b/>
        <sz val="11"/>
        <color theme="1"/>
        <rFont val="Calibri"/>
        <family val="2"/>
        <scheme val="minor"/>
      </rPr>
      <t xml:space="preserve">nivel de seguridad requerido MEDIO </t>
    </r>
    <r>
      <rPr>
        <sz val="11"/>
        <color theme="1"/>
        <rFont val="Calibri"/>
        <family val="2"/>
        <scheme val="minor"/>
      </rPr>
      <t xml:space="preserve">y, en consecuencia, </t>
    </r>
    <r>
      <rPr>
        <b/>
        <sz val="11"/>
        <color theme="1"/>
        <rFont val="Calibri"/>
        <family val="2"/>
        <scheme val="minor"/>
      </rPr>
      <t>la categoria MEDIA del sistema,</t>
    </r>
    <r>
      <rPr>
        <sz val="11"/>
        <color theme="1"/>
        <rFont val="Calibri"/>
        <family val="2"/>
        <scheme val="minor"/>
      </rPr>
      <t xml:space="preserve"> vienen dados porque en general un fallo de seguridad implicaria daños importantes para el negocio pero subsanables teniendo en cuenta los criterios comunes aplicables a todas las dimensiones, los criterios para tipos de información con datos personales y los criterios para la disponibilidad de los servicios:</t>
    </r>
  </si>
  <si>
    <t>Dimensión[1]</t>
  </si>
  <si>
    <t>Nivel</t>
  </si>
  <si>
    <t>Valoración</t>
  </si>
  <si>
    <t>Disposició legal o administrativa</t>
  </si>
  <si>
    <t>CIDAT</t>
  </si>
  <si>
    <t>Según requisitos del cliente</t>
  </si>
  <si>
    <t>Genéricamente para cumplir con los requisitos del Artículo 2.2 del ENS que establece también se aplica a los sistemas de información de las entidades del sector privado prestan servicios o provean soluciones a las entidades del sector público para el ejercicio por éstas de sus competencias y potestades administrativas</t>
  </si>
  <si>
    <t>Capacidad de la organización para lograr sus objetivos</t>
  </si>
  <si>
    <t>Medio</t>
  </si>
  <si>
    <t>Existe una pérdida de la capacidad que es subsanable a medio plazo.</t>
  </si>
  <si>
    <t>Impacto sobre los activos de la organización</t>
  </si>
  <si>
    <t>Existe un daño importante, aunque subsanable.</t>
  </si>
  <si>
    <t>Pérdidas económicas</t>
  </si>
  <si>
    <t>CI</t>
  </si>
  <si>
    <t>Un incidente en la puede suponer pérdidas económicas importantes para el negocio (superiores al 4% e inferiores al 10% del presupuesto anual de la organización)</t>
  </si>
  <si>
    <t>Estas pérdidas económicas podrían ser el resultado de las sanciones o penalizaciones que se pueden producir, de la pérdida de ingresos producto de la pérdida de contrato, o los gastos legales para responder a posibles reclamaciones.</t>
  </si>
  <si>
    <t>Incumplimiento de una norma legal o administrativa</t>
  </si>
  <si>
    <t>I</t>
  </si>
  <si>
    <t>Bajo</t>
  </si>
  <si>
    <t>Puede ocasionar un incumplimiento formal de alguna ley o regulación que afecte a las entidades clientes, pero sería fácilmente subsanable.</t>
  </si>
  <si>
    <t>C</t>
  </si>
  <si>
    <t xml:space="preserve">Puede ocasionar un incumplimiento material de una norma jurídica, o incumplimiento formal no subsanable. </t>
  </si>
  <si>
    <t>Un incidente que afecte a la confidencialidad podría suponer sanciones graves en aplicación de la LOPDGDD.</t>
  </si>
  <si>
    <t>D</t>
  </si>
  <si>
    <t>Incumplimiento formal leve de una norma jurídica, de carácter subsanable</t>
  </si>
  <si>
    <t>Un retraso en la entrega de información requerida de trazabilidad, dentro de un margen entre 1 y 5 días no sería grave.</t>
  </si>
  <si>
    <t>Un problema de autenticidad de la información podría poner en cuestión los resultados del proceso, aunque posteriormente existe una revisión por parte de los técnicos.</t>
  </si>
  <si>
    <t>Incumplimiento de una norma regulatoria</t>
  </si>
  <si>
    <t>.</t>
  </si>
  <si>
    <t>N/A</t>
  </si>
  <si>
    <t>No se identifica que pueda implicar el incumplimiento de normativa de un regulador.</t>
  </si>
  <si>
    <t>Incumplimiento de una norma contractual</t>
  </si>
  <si>
    <t>Incumplimiento formal o material de una obligación contractual que se haya asumido en los contratos con los clientes.</t>
  </si>
  <si>
    <t>Incumplimiento formal leve de una obligación contractual</t>
  </si>
  <si>
    <t>Se estima que el margen de indisponibilidad de la información entre 1 y 5 días no causaría un incumplimiento contractual grave.</t>
  </si>
  <si>
    <t>Incumplimiento de una norma interna</t>
  </si>
  <si>
    <t>Incumplimiento formal o material de una norma interna.</t>
  </si>
  <si>
    <t>Por ejemplo, se deberá valorar si a causa de un incidente de seguridad se incumple alguna norma establecida por la propia organización.</t>
  </si>
  <si>
    <t>Perjuicio Directo al ciudadano</t>
  </si>
  <si>
    <t>Perjuicio a algún ciudadano, aunque enmendable.
Un incidente que afecte a la integridad de la información no supone un daño importante, puesto que la información resultante siempre debe acabar siendo revisada por los técnicos.</t>
  </si>
  <si>
    <t>Un incidente en la prestación del servicio no implica un riesgo vital para los pacientes, aunque un incidente en la integridad de la información de trazabilidad podría causar un perjuicio en futuros tratamientos.</t>
  </si>
  <si>
    <t xml:space="preserve">Daño importante, aunque subsanable. </t>
  </si>
  <si>
    <t>La divulgación de información de los expedientes y solicitudes de los ciudadanos puede vulnerar sus derechos de privacidad aunque por el tipo de información no se considera que el daño sea muy grave.</t>
  </si>
  <si>
    <t xml:space="preserve">Algún perjuicio. </t>
  </si>
  <si>
    <t>La no disponibilidad de la información, ya sea por tramitar un expediente o solicitud, podría ocasionar algún perjuicio a los ciudadanos, pero que no sería grave en el margen de 1 a 5 días.</t>
  </si>
  <si>
    <t>Reputación</t>
  </si>
  <si>
    <t>Todas</t>
  </si>
  <si>
    <t>Un incidente puede implicar un daño reputacional significativo con los ciudadanos o con otras entidades clientes.</t>
  </si>
  <si>
    <t>Protestas</t>
  </si>
  <si>
    <t>No se prevé que un incidente pueda desembocar en protestas o, en su caso, protestas individuales sin alteración del orden público.</t>
  </si>
  <si>
    <t>Delitos</t>
  </si>
  <si>
    <t>Muy difícilmente facilitaría la comisión de delitos, pero podría dificultar su investigación si no se dispone de la información necesaria o esta no es correcta.</t>
  </si>
  <si>
    <t>Datos personales</t>
  </si>
  <si>
    <t>Si bien se tratan datos de categoría especial los riesgos son moderados ya que no se tratan datos de categoría especial.</t>
  </si>
  <si>
    <t>Disponibilidad de los servicios</t>
  </si>
  <si>
    <t>Se estima un RTO de entre 1 y 5 días.</t>
  </si>
  <si>
    <t>[1] C: Confidencialidad; I: Integridad; D: Disponibilidad; A: Autenticidad; T: Trazabilidad</t>
  </si>
  <si>
    <t>DECLARACIÓN DE APLICABILIDAD DEL ARTICULADO</t>
  </si>
  <si>
    <t>ARTICULADO APLICABLE</t>
  </si>
  <si>
    <t>ARTÍCULO</t>
  </si>
  <si>
    <t>APLICABILIDAD</t>
  </si>
  <si>
    <t>IMPLEMENTACIÓN</t>
  </si>
  <si>
    <t>CAPÍTULO II - PRINCIPIOS BÁSICOS</t>
  </si>
  <si>
    <t>Principios básicos del Esquema Nacional de Seguridad</t>
  </si>
  <si>
    <t>Aplica</t>
  </si>
  <si>
    <t>D01 Política de Seguridad de la Información - (5)</t>
  </si>
  <si>
    <t>La seguridad como un proceso integral</t>
  </si>
  <si>
    <t>D01 Política de Seguridad de la Información - (5.1)</t>
  </si>
  <si>
    <t>Gestión de la seguridad basada en los riesgos</t>
  </si>
  <si>
    <t>D01 Política de Seguridad de la Información - (5.2)</t>
  </si>
  <si>
    <t>Prevención, detección, respuesta y conservación</t>
  </si>
  <si>
    <t>D01 Política de Seguridad de la Información - (5.3, 5.6, 5.7, 5.8)</t>
  </si>
  <si>
    <t>Existencia de líneas de defensa</t>
  </si>
  <si>
    <t>D01 Política de Seguridad de la Información - (5.4)</t>
  </si>
  <si>
    <t>Vigilancia continua y reevaluación periódica</t>
  </si>
  <si>
    <t>D01 Política de Seguridad de la Información - (5.5, 5.9)</t>
  </si>
  <si>
    <t>Diferenciación de responsabilidades</t>
  </si>
  <si>
    <t>D01 Política de Seguridad de la Información - (5.10)</t>
  </si>
  <si>
    <t>CAPÍTULO III - POLÍTICA DE SEGURIDAD Y REQUISITOS MÍNIMOS DE SEGURIDAD</t>
  </si>
  <si>
    <t>Política de seguridad y requisitos mínimos de seguridad</t>
  </si>
  <si>
    <t>D01 Política de Seguridad de la Información</t>
  </si>
  <si>
    <t>Organización e implantación del proceso de seguridad</t>
  </si>
  <si>
    <t>D01 Política de Seguridad de la Información - (7, 8.1)</t>
  </si>
  <si>
    <t>Análisis y gestión de los riesgos</t>
  </si>
  <si>
    <t>D01 Política de Seguridad de la Información - (8.2)</t>
  </si>
  <si>
    <t>Gestión de personal</t>
  </si>
  <si>
    <t>D01 Política de Seguridad de la Información - (8.3)</t>
  </si>
  <si>
    <t>Profesionalidad</t>
  </si>
  <si>
    <t>D01 Política de Seguridad de la Información - (8.4)</t>
  </si>
  <si>
    <t>Autorización y control de los accesos</t>
  </si>
  <si>
    <t>D01 Política de Seguridad de la Información - (8.6)</t>
  </si>
  <si>
    <t>Protección de las instalaciones</t>
  </si>
  <si>
    <t>D01 Política de Seguridad de la Información - (8.7)</t>
  </si>
  <si>
    <t>Adquisición de productos de seguridad y contratación de servicios de seguridad</t>
  </si>
  <si>
    <t>D01 Política de Seguridad de la Información - (8.8)</t>
  </si>
  <si>
    <t>Mínimo privilegio</t>
  </si>
  <si>
    <t>D01 Política de Seguridad de la Información - (8.9)</t>
  </si>
  <si>
    <t>Integridad y actualización del sistema</t>
  </si>
  <si>
    <t>D01 Política de Seguridad de la Información - (8.10)</t>
  </si>
  <si>
    <t>Protección de información almacenada y en tránsito</t>
  </si>
  <si>
    <t>D01 Política de Seguridad de la Información - (8.11)</t>
  </si>
  <si>
    <t>Prevención ante otros sistemas de información interconectados</t>
  </si>
  <si>
    <t>D01 Política de Seguridad de la Información - (8.12)</t>
  </si>
  <si>
    <t>Registro de actividad y detección de código dañino</t>
  </si>
  <si>
    <t>D01 Política de Seguridad de la Información - (8.13)</t>
  </si>
  <si>
    <t>Incidentes de seguridad</t>
  </si>
  <si>
    <t>D01 Política de Seguridad de la Información - (8.14)</t>
  </si>
  <si>
    <t>Continuidad de la actividad</t>
  </si>
  <si>
    <t>D01 Política de Seguridad de la Información - (8.15)</t>
  </si>
  <si>
    <t>Mejora continua del proceso de seguridad</t>
  </si>
  <si>
    <t>D01 Política de Seguridad de la Información - (8.16)</t>
  </si>
  <si>
    <t>Cumplimiento de los requisitos mínimos</t>
  </si>
  <si>
    <t>D01 Política de Seguridad de la Información - (9)</t>
  </si>
  <si>
    <t>Infraestructuras y servicios comunes</t>
  </si>
  <si>
    <t>n.a.</t>
  </si>
  <si>
    <t>Aplica únicamente cuando hay utilización de infraestructuras y servicios comunes de las administraciones públicas, que no es el caso.</t>
  </si>
  <si>
    <t>Perfiles de cumplimiento específicos y acreditación de entidades de implementación de configuraciones seguras</t>
  </si>
  <si>
    <t>Actualmente no se ha definido ningún perfil de cumplimiento específico que aplique al sector de la actividad de LINDE dentro del alcance.</t>
  </si>
  <si>
    <t>CAPÍTULO IV - SEGURIDAD DE SISTEMAS: AUDITORIA, INFORMES E INCIDENTES DE SEGURIDAD</t>
  </si>
  <si>
    <t>Auditoría de la seguridad</t>
  </si>
  <si>
    <t>Informe del estado de la seguridad</t>
  </si>
  <si>
    <t>Capacidad de respuesta a incidentes de seguridad</t>
  </si>
  <si>
    <t>Prestación de servicios de respuesta a incidentes de seguridad a las entidades del sector público</t>
  </si>
  <si>
    <t>Establece obligacions del CCN-CERT</t>
  </si>
  <si>
    <t>CAPÍTULO V- NORMAS DE CONFORMIDAD</t>
  </si>
  <si>
    <t>Administración digital</t>
  </si>
  <si>
    <t>No se prestan servicios de la administración digital</t>
  </si>
  <si>
    <t>Ciclo de vida de servicios y sistemas</t>
  </si>
  <si>
    <t>Mecanismos de control</t>
  </si>
  <si>
    <t>Procedimientos de determinación de la conformidad con el Esquema Nacional de Seguridad</t>
  </si>
  <si>
    <t>CAPÍTULO VI - ACTUALIZACIÓN DEL ESQUEMA NACIONAL DE SEGURIDAD</t>
  </si>
  <si>
    <t>Actualización permanente.</t>
  </si>
  <si>
    <t>Aplica al legislador</t>
  </si>
  <si>
    <t>CAPÍTULO X - CATEGORIZACIÓN DE LOS SISTEMAS DE INFORMACIÓN</t>
  </si>
  <si>
    <t>Categorías de seguridad</t>
  </si>
  <si>
    <t>Facultades</t>
  </si>
  <si>
    <t>DECLARACIÓN DE APLICABILIDAD ENS</t>
  </si>
  <si>
    <t>Leyenda</t>
  </si>
  <si>
    <t>MEDIDAS DE SEGURIDAD SELECCIONADAS</t>
  </si>
  <si>
    <t>T</t>
  </si>
  <si>
    <t>categoría</t>
  </si>
  <si>
    <t>IM</t>
  </si>
  <si>
    <t>IC</t>
  </si>
  <si>
    <t>AT</t>
  </si>
  <si>
    <t>ICAT</t>
  </si>
  <si>
    <t>IA</t>
  </si>
  <si>
    <r>
      <t>(*) Medidas aplicadas y medidas compensatorias detalladas en el</t>
    </r>
    <r>
      <rPr>
        <i/>
        <sz val="11"/>
        <color theme="1"/>
        <rFont val="Calibri"/>
        <family val="2"/>
        <scheme val="minor"/>
      </rPr>
      <t xml:space="preserve"> Medidas de Cumplimiento ENS</t>
    </r>
  </si>
  <si>
    <t>ORDEN</t>
  </si>
  <si>
    <t>MEDIDAS</t>
  </si>
  <si>
    <t>DIMENSIONES</t>
  </si>
  <si>
    <t>NIVEL APLICABILIDAD</t>
  </si>
  <si>
    <t>MEDIDAS APLICADAS (*)</t>
  </si>
  <si>
    <t>MEDIDA COMPENSATORIA (*)</t>
  </si>
  <si>
    <t>MADUREZ</t>
  </si>
  <si>
    <t>org</t>
  </si>
  <si>
    <t>Marco organizativo</t>
  </si>
  <si>
    <t>[org.1]</t>
  </si>
  <si>
    <t>Política de seguridad</t>
  </si>
  <si>
    <t>aplica</t>
  </si>
  <si>
    <r>
      <rPr>
        <i/>
        <sz val="11"/>
        <color theme="1"/>
        <rFont val="Calibri"/>
        <family val="2"/>
        <scheme val="minor"/>
      </rPr>
      <t>D01 Política de Seguridad de la Información</t>
    </r>
    <r>
      <rPr>
        <sz val="11"/>
        <color theme="1"/>
        <rFont val="Calibri"/>
        <family val="2"/>
        <scheme val="minor"/>
      </rPr>
      <t xml:space="preserve">
Contempla:
- Marco legal y regulatorio
- Roles y funciones de seguridad 
- Estructura del comitéd de seguridad de la información
- Documentación organizada en el Sistema de Gestión</t>
    </r>
  </si>
  <si>
    <t>L4</t>
  </si>
  <si>
    <t>[org.2]</t>
  </si>
  <si>
    <t>Normativa de seguridad</t>
  </si>
  <si>
    <r>
      <t xml:space="preserve">I01 Normativa de Seguridad de la Información
</t>
    </r>
    <r>
      <rPr>
        <sz val="11"/>
        <color theme="1"/>
        <rFont val="Calibri"/>
        <family val="2"/>
        <scheme val="minor"/>
      </rPr>
      <t>Contempla:
- El uso correcto de equipos, servicios e instalaciones
-  La responsabilidad del personal con respecto al cumplimiento o violación de la normativa</t>
    </r>
  </si>
  <si>
    <t>[org.3]</t>
  </si>
  <si>
    <t>Procedimientos de seguridad</t>
  </si>
  <si>
    <t>Diferentes procedimientos disponibles
Responsibilidades genrales a partir de la definición general de roles y responsabilidades, y responsabilidades específica definidas en algunos procedimientos que así lo requieren</t>
  </si>
  <si>
    <t>L3</t>
  </si>
  <si>
    <t>[org.4]</t>
  </si>
  <si>
    <t>Proceso de autorización</t>
  </si>
  <si>
    <r>
      <rPr>
        <i/>
        <sz val="11"/>
        <color theme="1"/>
        <rFont val="Calibri"/>
        <family val="2"/>
        <scheme val="minor"/>
      </rPr>
      <t>D01 Política de Seguridad de la Información</t>
    </r>
    <r>
      <rPr>
        <sz val="11"/>
        <color theme="1"/>
        <rFont val="Calibri"/>
        <family val="2"/>
        <scheme val="minor"/>
      </rPr>
      <t xml:space="preserve">
Apartado Gestión de Autorizaciones</t>
    </r>
  </si>
  <si>
    <t>op</t>
  </si>
  <si>
    <t>Marco operacional</t>
  </si>
  <si>
    <t>op.pl</t>
  </si>
  <si>
    <t>Planificación</t>
  </si>
  <si>
    <t>[op.pl.1]</t>
  </si>
  <si>
    <t>Análisis de riesgos</t>
  </si>
  <si>
    <t>aplica + R1</t>
  </si>
  <si>
    <t>aplica + R2</t>
  </si>
  <si>
    <r>
      <t xml:space="preserve">Metodologia definida en: </t>
    </r>
    <r>
      <rPr>
        <i/>
        <sz val="11"/>
        <color theme="1"/>
        <rFont val="Calibri"/>
        <family val="2"/>
        <scheme val="minor"/>
      </rPr>
      <t>P01 Gestión de Riesgos de Seguridad de la Información</t>
    </r>
    <r>
      <rPr>
        <sz val="11"/>
        <color theme="1"/>
        <rFont val="Calibri"/>
        <family val="2"/>
        <scheme val="minor"/>
      </rPr>
      <t xml:space="preserve">
Activos definidos y valorados en </t>
    </r>
    <r>
      <rPr>
        <i/>
        <sz val="11"/>
        <color theme="1"/>
        <rFont val="Calibri"/>
        <family val="2"/>
        <scheme val="minor"/>
      </rPr>
      <t>D05 Activos de Seguridad de la Información</t>
    </r>
    <r>
      <rPr>
        <sz val="11"/>
        <color theme="1"/>
        <rFont val="Calibri"/>
        <family val="2"/>
        <scheme val="minor"/>
      </rPr>
      <t xml:space="preserve">
Gestión de Riesgos según </t>
    </r>
    <r>
      <rPr>
        <i/>
        <sz val="11"/>
        <color theme="1"/>
        <rFont val="Calibri"/>
        <family val="2"/>
        <scheme val="minor"/>
      </rPr>
      <t>D06 Riesgos de Seguridad de la Información</t>
    </r>
  </si>
  <si>
    <t>[op.pl.2]</t>
  </si>
  <si>
    <t>Arquitectura de Seguridad</t>
  </si>
  <si>
    <t>aplica + R1 + R2 + R3</t>
  </si>
  <si>
    <r>
      <t xml:space="preserve">En cuanto a las instalaciones físicas no aplica ya que no se dispone ni de oficinas ni CPD propio. Se trabaja siempre en remoto sobre servicios en la nube.
Para cada una de las soluciones se documenta la arquitectura propia en el entregable.
Bases del Sistema de Gestiòn definida en </t>
    </r>
    <r>
      <rPr>
        <i/>
        <sz val="11"/>
        <color theme="1"/>
        <rFont val="Calibri"/>
        <family val="2"/>
        <scheme val="minor"/>
      </rPr>
      <t>D01 Política de Seguridad de la Información</t>
    </r>
    <r>
      <rPr>
        <sz val="11"/>
        <color theme="1"/>
        <rFont val="Calibri"/>
        <family val="2"/>
        <scheme val="minor"/>
      </rPr>
      <t xml:space="preserve"> Apartado </t>
    </r>
    <r>
      <rPr>
        <i/>
        <sz val="11"/>
        <color theme="1"/>
        <rFont val="Calibri"/>
        <family val="2"/>
        <scheme val="minor"/>
      </rPr>
      <t>Sistema de Gestión de la Seguridad de la Información</t>
    </r>
  </si>
  <si>
    <t>[op.pl.3]</t>
  </si>
  <si>
    <t>Adquisición de nuevos componentes</t>
  </si>
  <si>
    <r>
      <rPr>
        <i/>
        <sz val="11"/>
        <color theme="1"/>
        <rFont val="Calibri"/>
        <family val="2"/>
        <scheme val="minor"/>
      </rPr>
      <t>P02 Adquisición de componentes y servicios TIC</t>
    </r>
    <r>
      <rPr>
        <sz val="11"/>
        <color theme="1"/>
        <rFont val="Calibri"/>
        <family val="2"/>
        <scheme val="minor"/>
      </rPr>
      <t xml:space="preserve">
Aplica a la contratación de los servicios en la nube de  Microsoft Azure.</t>
    </r>
  </si>
  <si>
    <t>[op.pl.4]</t>
  </si>
  <si>
    <t>Dimensionamiento/gestión de la capacidad</t>
  </si>
  <si>
    <r>
      <t xml:space="preserve">Se utilizan servicios PaaS y SaaS sin limitación de capacidad en modalidad de pago por uso.
La gestión de la capacidad se centra en:
- Control de costes, mediante las herramientas propias de las plataformas
</t>
    </r>
    <r>
      <rPr>
        <sz val="11"/>
        <rFont val="Calibri"/>
        <family val="2"/>
        <scheme val="minor"/>
      </rPr>
      <t>- Estudio previo de capacidad para implementar los proyectos</t>
    </r>
  </si>
  <si>
    <t>[op.pl.5]</t>
  </si>
  <si>
    <t>Componentes certificados</t>
  </si>
  <si>
    <t>Servicios de Microsoft Azure en la certificaciòn ENS de categoria ALTA</t>
  </si>
  <si>
    <t>op.acc</t>
  </si>
  <si>
    <t>Control de Acceso</t>
  </si>
  <si>
    <t>[op.acc.1]</t>
  </si>
  <si>
    <t>Identificación</t>
  </si>
  <si>
    <t>aplica+R1</t>
  </si>
  <si>
    <r>
      <t xml:space="preserve">Políticas de control de acceso en </t>
    </r>
    <r>
      <rPr>
        <i/>
        <sz val="11"/>
        <color theme="1"/>
        <rFont val="Calibri"/>
        <family val="2"/>
        <scheme val="minor"/>
      </rPr>
      <t>D03 Directrices de Seguridad de la Información</t>
    </r>
    <r>
      <rPr>
        <sz val="11"/>
        <color theme="1"/>
        <rFont val="Calibri"/>
        <family val="2"/>
        <scheme val="minor"/>
      </rPr>
      <t xml:space="preserve">
Determinan:
- Identificador singular para cada usuario identificado nominalmente
- Usuario segregado para tareas de administración
Gestion de usuarios según </t>
    </r>
    <r>
      <rPr>
        <i/>
        <sz val="11"/>
        <color theme="1"/>
        <rFont val="Calibri"/>
        <family val="2"/>
        <scheme val="minor"/>
      </rPr>
      <t>P04 Gestión de Usuarios</t>
    </r>
  </si>
  <si>
    <t>[op.acc.2]</t>
  </si>
  <si>
    <t>Requisitos de acceso</t>
  </si>
  <si>
    <r>
      <t xml:space="preserve">Todos los recursos del sistema están protegidos con algún mecanismo que impide su utilización no autorizada.
Las personas responsables de los diferentes recursos del sistema de información estan documentadas en el  </t>
    </r>
    <r>
      <rPr>
        <i/>
        <sz val="11"/>
        <color theme="1"/>
        <rFont val="Calibri"/>
        <family val="2"/>
        <scheme val="minor"/>
      </rPr>
      <t>D05 Activos de Seguridad de la Información</t>
    </r>
    <r>
      <rPr>
        <sz val="11"/>
        <color theme="1"/>
        <rFont val="Calibri"/>
        <family val="2"/>
        <scheme val="minor"/>
      </rPr>
      <t>.
Determinan y autorizan los accesos a los diferentes sistemas</t>
    </r>
  </si>
  <si>
    <t>[op.acc.3]</t>
  </si>
  <si>
    <t>Segregación de funciones y tareas</t>
  </si>
  <si>
    <t>Dada la magnitud de la empresa las funciones de desarrollo y operacion no pueden estar segregadas, trabajando en un modelo DevOps.
En caso de conflicto de intereses se puede elevar al Comité de Seguridad de la Información</t>
  </si>
  <si>
    <t>[op.acc.4]</t>
  </si>
  <si>
    <t>Proceso de gestión de derechos de acceso</t>
  </si>
  <si>
    <r>
      <rPr>
        <i/>
        <sz val="11"/>
        <color theme="1"/>
        <rFont val="Calibri"/>
        <family val="2"/>
        <scheme val="minor"/>
      </rPr>
      <t>D03 Directrices de Seguridad de la Información</t>
    </r>
    <r>
      <rPr>
        <sz val="11"/>
        <color theme="1"/>
        <rFont val="Calibri"/>
        <family val="2"/>
        <scheme val="minor"/>
      </rPr>
      <t xml:space="preserve">, apartado </t>
    </r>
    <r>
      <rPr>
        <i/>
        <sz val="11"/>
        <color theme="1"/>
        <rFont val="Calibri"/>
        <family val="2"/>
        <scheme val="minor"/>
      </rPr>
      <t>Control de Acceso a la información</t>
    </r>
    <r>
      <rPr>
        <sz val="11"/>
        <color theme="1"/>
        <rFont val="Calibri"/>
        <family val="2"/>
        <scheme val="minor"/>
      </rPr>
      <t xml:space="preserve">.
Contempla: 
- Principìo de mínimo privilegio
- No se da acceso excepto bajo autorizaciòn expresa
- Principio de "need to know"
Proceso de asignación de derechos de acceso según </t>
    </r>
    <r>
      <rPr>
        <i/>
        <sz val="11"/>
        <color theme="1"/>
        <rFont val="Calibri"/>
        <family val="2"/>
        <scheme val="minor"/>
      </rPr>
      <t>P04 Gestión de Usuarios</t>
    </r>
    <r>
      <rPr>
        <sz val="11"/>
        <color theme="1"/>
        <rFont val="Calibri"/>
        <family val="2"/>
        <scheme val="minor"/>
      </rPr>
      <t xml:space="preserve">
El acceso remoto a los servicios en la nube es parte intrínseca de la forma de trabajar de OptimTech, por lo que no se requiere ninguna autorización adicional para ello. Se considera implícita con la autorización de acceso a los sistemas en la nube.</t>
    </r>
  </si>
  <si>
    <t>[op.acc.5]</t>
  </si>
  <si>
    <t>Mecanismo de autenticación (usuarios externos)</t>
  </si>
  <si>
    <t>aplica + [R1 o R2 o R3 o R4]</t>
  </si>
  <si>
    <t>aplica + [R2 o R3 o R4] + R5</t>
  </si>
  <si>
    <t>No Aplica</t>
  </si>
  <si>
    <t>Aplicaria a los usuarios externos de las aplicaciones que actuan bajo la responsabilidad y control del cliente.
Los aspectos organizativos dependen del clente.
La funcionalidades de autenticación en la aplicación se implementan bajo petición del cliente.</t>
  </si>
  <si>
    <t>[op.acc.6]</t>
  </si>
  <si>
    <t>Mecanismo de autenticación (usuarios de la organización)</t>
  </si>
  <si>
    <t>aplica + [R1 o R2 o R3 o R4] + R8 + R9</t>
  </si>
  <si>
    <t>aplica + [R1 o R2 o R3 o R4] + R5 + R8 + R9</t>
  </si>
  <si>
    <t>aplica+[R1 o R2 o R3 o R4] + R5  + R8 + R9</t>
  </si>
  <si>
    <r>
      <t>D03 Directrices de Seguridad de la Información</t>
    </r>
    <r>
      <rPr>
        <sz val="11"/>
        <color rgb="FF000000"/>
        <rFont val="Calibri"/>
        <family val="2"/>
      </rPr>
      <t>, apartado</t>
    </r>
    <r>
      <rPr>
        <i/>
        <sz val="11"/>
        <color rgb="FF000000"/>
        <rFont val="Calibri"/>
        <family val="2"/>
      </rPr>
      <t xml:space="preserve"> Control de Acceso a la información
P04 Gestión de Usuarios
</t>
    </r>
    <r>
      <rPr>
        <sz val="11"/>
        <color rgb="FF000000"/>
        <rFont val="Calibri"/>
        <family val="2"/>
      </rPr>
      <t>Se establece que:
- Se activan las credenciales únicamente cuando éstas están bajo el control exclusivo y efectivo del usuario, o se fuerza un cambio de credenciales al primer acceso de este.
- Antes de proporcionar las credenciales a los usuarios, estos confirman que han conocido y aceptado la normativa de seguridad.
- Implica que el usuario que ha recibido las credenciales conoce y acepta las obligaciones que implica su tenencia
- Se retiran y deshabilitan las credenciales cuando la entidad que se autentica termina su relación con el sistema.
- Servicios en la nube (Microsoft Azure) con MFA, y sin renovación periódica de contraseñas.
- Registros de intentos de acceso exitosos y fallidos propios de los servicios en la nube</t>
    </r>
  </si>
  <si>
    <t>op.exp</t>
  </si>
  <si>
    <t>Explotación</t>
  </si>
  <si>
    <t>[op.exp.1]</t>
  </si>
  <si>
    <t>Inventario de activos</t>
  </si>
  <si>
    <r>
      <rPr>
        <i/>
        <sz val="11"/>
        <color theme="1"/>
        <rFont val="Calibri"/>
        <family val="2"/>
        <scheme val="minor"/>
      </rPr>
      <t>D05 Activos de Seguridad de la Información.</t>
    </r>
    <r>
      <rPr>
        <sz val="11"/>
        <color theme="1"/>
        <rFont val="Calibri"/>
        <family val="2"/>
        <scheme val="minor"/>
      </rPr>
      <t xml:space="preserve">
Adicionalmente, inventario gestionado desde las propias plataformas Microsoft Azure.</t>
    </r>
  </si>
  <si>
    <t>[op.exp.2]</t>
  </si>
  <si>
    <t>Configuración de seguridad</t>
  </si>
  <si>
    <t>[op.exp.3]</t>
  </si>
  <si>
    <t>Gestión de la configuración de seguridad</t>
  </si>
  <si>
    <t>[op.exp.4]</t>
  </si>
  <si>
    <t>Mantenimiento y actualizaciones de seguridad</t>
  </si>
  <si>
    <t>aplica + R1 + R2</t>
  </si>
  <si>
    <t>Aplica en cuanto a las actualizaciones de los servicios PaaS llevadas a cabo automáticamente como parte de los servicios de Microsoft Azure</t>
  </si>
  <si>
    <t>[op.exp.5]</t>
  </si>
  <si>
    <t>Gestión de cambios</t>
  </si>
  <si>
    <r>
      <rPr>
        <i/>
        <sz val="11"/>
        <rFont val="Calibri"/>
        <family val="2"/>
        <scheme val="minor"/>
      </rPr>
      <t>P03 Gestión de Cambios</t>
    </r>
    <r>
      <rPr>
        <sz val="11"/>
        <rFont val="Calibri"/>
        <family val="2"/>
        <scheme val="minor"/>
      </rPr>
      <t xml:space="preserve"> para cambios en la configuración de la infraestructura
Se documentan los cambios en herramienta de ticketing</t>
    </r>
  </si>
  <si>
    <t>[op.exp.6]</t>
  </si>
  <si>
    <t>Protección frente a código dañino</t>
  </si>
  <si>
    <t>aplica + R1 + R2 + R3 + R4</t>
  </si>
  <si>
    <r>
      <rPr>
        <i/>
        <sz val="11"/>
        <color theme="1"/>
        <rFont val="Calibri"/>
        <family val="2"/>
        <scheme val="minor"/>
      </rPr>
      <t>D03 Directrices de Seguridad de la Información</t>
    </r>
    <r>
      <rPr>
        <sz val="11"/>
        <color theme="1"/>
        <rFont val="Calibri"/>
        <family val="2"/>
        <scheme val="minor"/>
      </rPr>
      <t xml:space="preserve">, apartado Gestión de la configuración
</t>
    </r>
    <r>
      <rPr>
        <sz val="11"/>
        <rFont val="Calibri"/>
        <family val="2"/>
        <scheme val="minor"/>
      </rPr>
      <t xml:space="preserve">apartado </t>
    </r>
    <r>
      <rPr>
        <i/>
        <sz val="11"/>
        <rFont val="Calibri"/>
        <family val="2"/>
        <scheme val="minor"/>
      </rPr>
      <t xml:space="preserve">Protección frente a malware y ciberataques
</t>
    </r>
    <r>
      <rPr>
        <sz val="11"/>
        <rFont val="Calibri"/>
        <family val="2"/>
        <scheme val="minor"/>
      </rPr>
      <t>Uso de Microsoft Defender 365</t>
    </r>
    <r>
      <rPr>
        <i/>
        <sz val="11"/>
        <rFont val="Calibri"/>
        <family val="2"/>
        <scheme val="minor"/>
      </rPr>
      <t xml:space="preserve">
</t>
    </r>
    <r>
      <rPr>
        <sz val="11"/>
        <rFont val="Calibri"/>
        <family val="2"/>
        <scheme val="minor"/>
      </rPr>
      <t>Los empleados que utilizan equipos personales en modalidad BYOD, se les requiere homologar y supervisar el equipo vara verificar que se dispone de un sistema antimalware apropiado y exigir a su propietario el mantenimiento adecuado.</t>
    </r>
  </si>
  <si>
    <t>[op.exp.7]</t>
  </si>
  <si>
    <t>Gestión de incidentes</t>
  </si>
  <si>
    <r>
      <rPr>
        <i/>
        <sz val="11"/>
        <rFont val="Calibri"/>
        <family val="2"/>
        <scheme val="minor"/>
      </rPr>
      <t xml:space="preserve">P05 Gestiòn de Incidentes de Seguridad de la Informacion
</t>
    </r>
    <r>
      <rPr>
        <sz val="11"/>
        <rFont val="Calibri"/>
        <family val="2"/>
        <scheme val="minor"/>
      </rPr>
      <t>Contempla:
- Notificación de eventos
- Categorizaciòn y priorización de eventos e indicentes
- Respuesta a los incidentes
- Aprendizaje de los incidentes
- Notificación de incidentes al CCN-CERT
Se documentan los eventos e incidentes en la herramienta de ticketing</t>
    </r>
  </si>
  <si>
    <t>[op.exp.8]</t>
  </si>
  <si>
    <t>Registro de la actividad</t>
  </si>
  <si>
    <t>aplica + R1 + R2 + R3 + R4 + R5</t>
  </si>
  <si>
    <r>
      <t xml:space="preserve">Registros propios de Microsoft Azure y Google Cloud </t>
    </r>
    <r>
      <rPr>
        <sz val="11"/>
        <color theme="9" tint="-0.249977111117893"/>
        <rFont val="Calibri"/>
        <family val="2"/>
        <scheme val="minor"/>
      </rPr>
      <t xml:space="preserve">
</t>
    </r>
    <r>
      <rPr>
        <sz val="11"/>
        <rFont val="Calibri"/>
        <family val="2"/>
        <scheme val="minor"/>
      </rPr>
      <t>Las aplicaciones incluyen sus propios registros de actividad</t>
    </r>
  </si>
  <si>
    <t>[op.exp.9]</t>
  </si>
  <si>
    <t>Registro de la gestión de incidentes</t>
  </si>
  <si>
    <t>P05 Gestiòn de Incidentes de Seguridad de la Informacion
Se documentan los eventos e incidentes en la herramienta de ticketing</t>
  </si>
  <si>
    <t>[op.exp.10]</t>
  </si>
  <si>
    <t>Protección de claves criptográficas</t>
  </si>
  <si>
    <t>op.ext</t>
  </si>
  <si>
    <t>Recursos externos</t>
  </si>
  <si>
    <t>[op.ext.1]</t>
  </si>
  <si>
    <t>Contratación y acuerdos de nivel de servicio</t>
  </si>
  <si>
    <r>
      <rPr>
        <i/>
        <sz val="11"/>
        <rFont val="Calibri"/>
        <family val="2"/>
        <scheme val="minor"/>
      </rPr>
      <t>P02 Adquisición de componentes y servicios TIC</t>
    </r>
    <r>
      <rPr>
        <sz val="11"/>
        <rFont val="Calibri"/>
        <family val="2"/>
        <scheme val="minor"/>
      </rPr>
      <t xml:space="preserve">
Se dispone de acuerdos de SLA genericos con  Microsoft Azure</t>
    </r>
  </si>
  <si>
    <t>[op.ext.2]</t>
  </si>
  <si>
    <t>Gestión diaria</t>
  </si>
  <si>
    <t>[op.ext.3]</t>
  </si>
  <si>
    <t>Protección de la cadena de suministro</t>
  </si>
  <si>
    <t>[op.ext.4]</t>
  </si>
  <si>
    <t>Interconexión de sistemas</t>
  </si>
  <si>
    <t>Actualmente no hay conexiòn con sistemas de los clientes.
Únicamente conexiones según el proyecto, por ejemplo, con acceso a la API pública del cadastro.</t>
  </si>
  <si>
    <t>op.nub</t>
  </si>
  <si>
    <t>Servicios en la nube</t>
  </si>
  <si>
    <t>[op.nub.1]</t>
  </si>
  <si>
    <t>Protección de servicios en la nube</t>
  </si>
  <si>
    <t>op.cont</t>
  </si>
  <si>
    <t>Continuidad del servicio</t>
  </si>
  <si>
    <t>[op.cont.1]</t>
  </si>
  <si>
    <t>Análisis de impacto</t>
  </si>
  <si>
    <r>
      <t xml:space="preserve">D07 BIA-Business Impact Analysis
</t>
    </r>
    <r>
      <rPr>
        <sz val="11"/>
        <rFont val="Calibri"/>
        <family val="2"/>
      </rPr>
      <t>Define los RTO, MTPD y RPO</t>
    </r>
  </si>
  <si>
    <t>[op.cont.2]</t>
  </si>
  <si>
    <t>Plan de continuidad</t>
  </si>
  <si>
    <t>[op.cont.3]</t>
  </si>
  <si>
    <t>Pruebas periódicas</t>
  </si>
  <si>
    <t>[op.cont.4]</t>
  </si>
  <si>
    <t>Medios alternativos</t>
  </si>
  <si>
    <t>op.mon</t>
  </si>
  <si>
    <t>Monitorización del sistema</t>
  </si>
  <si>
    <t>[op.mon.1]</t>
  </si>
  <si>
    <t>Detección de intrusión</t>
  </si>
  <si>
    <t>NO APLICA</t>
  </si>
  <si>
    <t>[op.mon.2]</t>
  </si>
  <si>
    <t>Sistema de métricas</t>
  </si>
  <si>
    <t>Se genera el informe INES.
Evaluaciónm del comportamiento del sistema de gestión de incidentes según datos informados en INES.</t>
  </si>
  <si>
    <t>[op.mon.3]</t>
  </si>
  <si>
    <t>Vigilancia</t>
  </si>
  <si>
    <t>aplica + R1 + R2 + R3 + R4 + R5 + R6</t>
  </si>
  <si>
    <t>mp</t>
  </si>
  <si>
    <t>Medidas de protección</t>
  </si>
  <si>
    <t>mp.if</t>
  </si>
  <si>
    <t>Protección de las instalaciones e infraestructuras</t>
  </si>
  <si>
    <t>[mp.if.1]</t>
  </si>
  <si>
    <t>Áreas separadas y con control de acceso</t>
  </si>
  <si>
    <t>Basado en servicios SaaS y PaaS y trabajo en emplazamiento virtual, sin oficina propia ni CPD.
No se dispone de instalaciones físicas en las que se tenga que controlar el acceso.
Intrinseco de los servicios SaaS y PaaS de Azure y Gooble cloud con infraestructura con certificación ENS Alto.</t>
  </si>
  <si>
    <t>[mp.if.2]</t>
  </si>
  <si>
    <t>Identificación de las personas</t>
  </si>
  <si>
    <t>Basado en servicios SaaS y PaaS y trabajo en emplazamiento virtual, sin oficina propia ni CPD.
No se dispone de instalaciones físicas en las que se tenga que controlar la identificación de personas.
Intrinseco de los servicios SaaS y PaaS de Azure y Gooble cloud con infraestructura con certificación ENS Alto.</t>
  </si>
  <si>
    <t>[mp.if.3]</t>
  </si>
  <si>
    <t>Acondicionamiento de los locales</t>
  </si>
  <si>
    <t>Basado en servicios SaaS y PaaS y trabajo en emplazamiento virtual, sin oficina propia ni CPD.
No se require acondicionamiento de los locales.
Intrinseco de los servicios SaaS y PaaS de Azure y Gooble cloud con infraestructura con certificación ENS Alto.</t>
  </si>
  <si>
    <t>[mp.if.4]</t>
  </si>
  <si>
    <t>Energía eléctrica</t>
  </si>
  <si>
    <t>Basado en servicios SaaS y PaaS y trabajo en emplazamiento virtual, sin oficina propia ni CPD.
No se requiren medidas particulares para asegurar la alimentación eléctrica.
Intrinseco de los servicios SaaS y PaaS de Azure y Gooble cloud con infraestructura con certificación ENS Alto.</t>
  </si>
  <si>
    <t>[mp.if.5]</t>
  </si>
  <si>
    <t>Protección frente a incendios</t>
  </si>
  <si>
    <t>Basado en servicios SaaS y PaaS y trabajo en emplazamiento virtual, sin oficina propia ni CPD.
No se requiren medidas particulares de protección frenta a incendios.
Intrinseco de los servicios SaaS y PaaS de Azure y Gooble cloud con infraestructura con certificación ENS Alto.</t>
  </si>
  <si>
    <t>[mp.if.6]</t>
  </si>
  <si>
    <t>Protección frente a inundaciones</t>
  </si>
  <si>
    <t>Basado en servicios SaaS y PaaS y trabajo en emplazamiento virtual, sin oficina propia ni CPD.
No se requiren medidas particulares de protección frenta a inundaciones.
Intrinseco de los servicios SaaS y PaaS de Azure y Gooble cloud con infraestructura con certificación ENS Alto.</t>
  </si>
  <si>
    <t>[mp.if.7]</t>
  </si>
  <si>
    <t>Registro de entrada y salida de equipamiento</t>
  </si>
  <si>
    <t>Basado en servicios SaaS y PaaS y trabajo en emplazamiento virtual, sin oficina propia ni CPD.
No se dan situaciones de entrada y salida de equipamiento.
Intrinseco de los servicios SaaS y PaaS de Azure y Gooble cloud con infraestructura con certificación ENS Alto.</t>
  </si>
  <si>
    <t>mp.per</t>
  </si>
  <si>
    <t>Gestión del personal</t>
  </si>
  <si>
    <t>[mp.per.1]</t>
  </si>
  <si>
    <t>Caracterización del puesto de trabajo</t>
  </si>
  <si>
    <r>
      <t xml:space="preserve">Definidas responsabilidades en materia de seguridad según ENS en </t>
    </r>
    <r>
      <rPr>
        <i/>
        <sz val="11"/>
        <color theme="1"/>
        <rFont val="Calibri"/>
        <family val="2"/>
        <scheme val="minor"/>
      </rPr>
      <t xml:space="preserve">D01 Política de Seguridad de la Información.
</t>
    </r>
    <r>
      <rPr>
        <sz val="11"/>
        <color theme="1"/>
        <rFont val="Calibri"/>
        <family val="2"/>
        <scheme val="minor"/>
      </rPr>
      <t xml:space="preserve">Disponbiles Descripciones de Puesto de Trabajo DPT*
Personas contempladas en el análisis de riesgos. Identificadas en  </t>
    </r>
    <r>
      <rPr>
        <i/>
        <sz val="11"/>
        <color theme="1"/>
        <rFont val="Calibri"/>
        <family val="2"/>
        <scheme val="minor"/>
      </rPr>
      <t xml:space="preserve">D05 Activos de Seguridad de la Información </t>
    </r>
    <r>
      <rPr>
        <sz val="11"/>
        <color theme="1"/>
        <rFont val="Calibri"/>
        <family val="2"/>
        <scheme val="minor"/>
      </rPr>
      <t>y contemplados en análisis de riesgos en</t>
    </r>
    <r>
      <rPr>
        <i/>
        <sz val="11"/>
        <color theme="1"/>
        <rFont val="Calibri"/>
        <family val="2"/>
        <scheme val="minor"/>
      </rPr>
      <t xml:space="preserve"> </t>
    </r>
    <r>
      <rPr>
        <sz val="11"/>
        <color theme="1"/>
        <rFont val="Calibri"/>
        <family val="2"/>
        <scheme val="minor"/>
      </rPr>
      <t xml:space="preserve"> </t>
    </r>
    <r>
      <rPr>
        <i/>
        <sz val="11"/>
        <color theme="1"/>
        <rFont val="Calibri"/>
        <family val="2"/>
        <scheme val="minor"/>
      </rPr>
      <t>D06 Riesgos de Seguridad de la Información</t>
    </r>
  </si>
  <si>
    <t>[mp.per.2]</t>
  </si>
  <si>
    <t>Deberes y obligaciones</t>
  </si>
  <si>
    <r>
      <t xml:space="preserve">I01 Normativa de Seguridad de la Información
</t>
    </r>
    <r>
      <rPr>
        <sz val="11"/>
        <color theme="1"/>
        <rFont val="Calibri"/>
        <family val="2"/>
        <scheme val="minor"/>
      </rPr>
      <t>Contempla:
- Deberes y responsabilidades en materia de seguridad incluyen tanto el periodo durante el cual se desempeña el puesto, como posteriormente a su terminación.
- Medidas disciplinarias a que haya lugar en caso de incumplimiento de los deberes y responsabilidades</t>
    </r>
    <r>
      <rPr>
        <i/>
        <sz val="11"/>
        <color theme="1"/>
        <rFont val="Calibri"/>
        <family val="2"/>
        <scheme val="minor"/>
      </rPr>
      <t xml:space="preserve">
</t>
    </r>
    <r>
      <rPr>
        <sz val="11"/>
        <color theme="1"/>
        <rFont val="Calibri"/>
        <family val="2"/>
        <scheme val="minor"/>
      </rPr>
      <t>Aplica igualmente a personal externo con acceso a los sistemas e información de la empresa.</t>
    </r>
    <r>
      <rPr>
        <i/>
        <sz val="11"/>
        <color theme="1"/>
        <rFont val="Calibri"/>
        <family val="2"/>
        <scheme val="minor"/>
      </rPr>
      <t xml:space="preserve">
</t>
    </r>
    <r>
      <rPr>
        <sz val="11"/>
        <color theme="1"/>
        <rFont val="Calibri"/>
        <family val="2"/>
        <scheme val="minor"/>
      </rPr>
      <t>Evidencia de normativa firmada por todo el personal (intrerno y externo) conforme la han leido y la conocen.</t>
    </r>
  </si>
  <si>
    <t>[mp.per.3]</t>
  </si>
  <si>
    <t>Concienciación</t>
  </si>
  <si>
    <t>Acciones periódicas programadas, por ejemplo, distribución de artículos o recordatorios de normativa
Acciones puntuales en respuesta a amenazas detectadas (por ejemplo, alertas INCIBE u otras fuentes)</t>
  </si>
  <si>
    <t>[mp.per.4]</t>
  </si>
  <si>
    <t>Formación</t>
  </si>
  <si>
    <t>Formación inicial sobre ENS al inicio del proyecto.
Formación continua del personal.</t>
  </si>
  <si>
    <t>mp.eq</t>
  </si>
  <si>
    <t>Protección de los equipos</t>
  </si>
  <si>
    <t>[mp.eq.1]</t>
  </si>
  <si>
    <t>Puesto de trabajo despejado</t>
  </si>
  <si>
    <r>
      <t>Establecido</t>
    </r>
    <r>
      <rPr>
        <i/>
        <sz val="11"/>
        <color theme="1"/>
        <rFont val="Calibri"/>
        <family val="2"/>
        <scheme val="minor"/>
      </rPr>
      <t xml:space="preserve"> I01 Normativa de Seguridad de la Información</t>
    </r>
  </si>
  <si>
    <t>[mp.eq.2]</t>
  </si>
  <si>
    <t>Bloqueo de puesto de trabajo</t>
  </si>
  <si>
    <r>
      <t>Establecido</t>
    </r>
    <r>
      <rPr>
        <i/>
        <sz val="11"/>
        <rFont val="Calibri"/>
        <family val="2"/>
        <scheme val="minor"/>
      </rPr>
      <t xml:space="preserve"> I01 Normativa de Seguridad de la Información</t>
    </r>
    <r>
      <rPr>
        <sz val="11"/>
        <rFont val="Calibri"/>
        <family val="2"/>
        <scheme val="minor"/>
      </rPr>
      <t xml:space="preserve">.
Determinado como política en </t>
    </r>
    <r>
      <rPr>
        <i/>
        <sz val="11"/>
        <rFont val="Calibri"/>
        <family val="2"/>
        <scheme val="minor"/>
      </rPr>
      <t xml:space="preserve">D03 Directrices de Seguridad de la Información
</t>
    </r>
    <r>
      <rPr>
        <sz val="11"/>
        <rFont val="Calibri"/>
        <family val="2"/>
        <scheme val="minor"/>
      </rPr>
      <t>Todos los equipos configurados con bloqueo automático a los 15 minutos de inactividad según configuración en InTune
Aplicaciones incluyen el cierre de sesión a petición del cliente.</t>
    </r>
  </si>
  <si>
    <t>[mp.eq.3]</t>
  </si>
  <si>
    <t>Protección de dispositivos portátiles</t>
  </si>
  <si>
    <t>[mp.eq.4]</t>
  </si>
  <si>
    <t>Otros dispositivos conectados a la red</t>
  </si>
  <si>
    <t>No se dispone de infraestructura de red propia</t>
  </si>
  <si>
    <t>mp.com</t>
  </si>
  <si>
    <t>Protección de las comunicaciones</t>
  </si>
  <si>
    <t>[mp.com.1]</t>
  </si>
  <si>
    <t>Perímetro seguro</t>
  </si>
  <si>
    <t>[mp.com.2]</t>
  </si>
  <si>
    <t>Protección de la confidencialidad</t>
  </si>
  <si>
    <t>No se dispone de infraestructura de red propia.
No se requieren redes privadas virtuales.</t>
  </si>
  <si>
    <t>[mp.com.3]</t>
  </si>
  <si>
    <t>Protección de la integridad y de la autenticidad</t>
  </si>
  <si>
    <t>[mp.com.4]</t>
  </si>
  <si>
    <t>Separación de flujos de información en la red</t>
  </si>
  <si>
    <t>aplica + [R1 o R2 o R3]</t>
  </si>
  <si>
    <t>aplica + [R2 o R3] + R4</t>
  </si>
  <si>
    <t>mp.si</t>
  </si>
  <si>
    <t>Protección de los soportes de información</t>
  </si>
  <si>
    <t>[mp.si.1]</t>
  </si>
  <si>
    <t>Marcado de soportes</t>
  </si>
  <si>
    <t>No se utilizan soportes físicos para la prestación de los servicios dentro del alcance.</t>
  </si>
  <si>
    <t>[mp.si.2]</t>
  </si>
  <si>
    <t>Criptografía</t>
  </si>
  <si>
    <t>No se utilizan dispositivos removibles para la prestación de los servicios dentro del alcance.</t>
  </si>
  <si>
    <t>[mp.si.3]</t>
  </si>
  <si>
    <t>Custodia</t>
  </si>
  <si>
    <t>[mp.si.4]</t>
  </si>
  <si>
    <t>Transporte</t>
  </si>
  <si>
    <t>[mp.si.5]</t>
  </si>
  <si>
    <t>Borrado y destrucción</t>
  </si>
  <si>
    <t>Aplica a los equipos portátiles.
No se utilizan otro tipo de soportes.
En caso de destrucción de portátiles se aplican las directivas establecidas en la D02 Política de Clasificación de la Información.
Referncia a las recomendaciones de la de la NIST.SP.800-88</t>
  </si>
  <si>
    <t>mp.sw</t>
  </si>
  <si>
    <t>Protección de las aplicaciones informáticas</t>
  </si>
  <si>
    <t>[mp.sw.1]</t>
  </si>
  <si>
    <t>Desarrollo de aplicaciones</t>
  </si>
  <si>
    <t>Según procedimientos operativos de desarrollo.
Se dispone de entornos de desarrollo y producción en proyectos separados. En caso necesario se dispone de entorno de staging (preproducción).
Se utiliza Github/azure devops para proteger el código fuente.
Servicios de seguridad integrado con los servicios de Azure
En general no se utilizan datos de producción, especilamente de ciudadanos. En caso de que sea necesario para algún proyecto, se utilizan de forma controlada y documentada.</t>
  </si>
  <si>
    <t>[mp.sw.2]</t>
  </si>
  <si>
    <t>Aceptación y puesta en servicio</t>
  </si>
  <si>
    <t>No hay aplicaciones desarrolladas externamente implementadas en modo local (on-premise).
En caso necesario se dispone de entorno de staging (preproducción).</t>
  </si>
  <si>
    <t>mp.info</t>
  </si>
  <si>
    <t>Protección de la información</t>
  </si>
  <si>
    <t>[mp.info.1]</t>
  </si>
  <si>
    <r>
      <t>Según:
-</t>
    </r>
    <r>
      <rPr>
        <i/>
        <sz val="11"/>
        <color theme="1"/>
        <rFont val="Calibri"/>
        <family val="2"/>
        <scheme val="minor"/>
      </rPr>
      <t xml:space="preserve"> D10 Manual del Sistema de Protección de Datos Personales
- D11 Registro de Actividades de Tratamiento</t>
    </r>
    <r>
      <rPr>
        <sz val="11"/>
        <color theme="1"/>
        <rFont val="Calibri"/>
        <family val="2"/>
        <scheme val="minor"/>
      </rPr>
      <t xml:space="preserve">
Se firman los Acuerdos de Tratamiento de Datos que proponen los clientes.</t>
    </r>
  </si>
  <si>
    <t>[mp.info.2]</t>
  </si>
  <si>
    <t>Calificación de la información</t>
  </si>
  <si>
    <r>
      <t xml:space="preserve">D02 Política de Clasificación de la Información
</t>
    </r>
    <r>
      <rPr>
        <sz val="11"/>
        <color theme="1"/>
        <rFont val="Calibri"/>
        <family val="2"/>
        <scheme val="minor"/>
      </rPr>
      <t>Se determina:
- Pública
- Uso Interno 
- Reservada
- Secreta</t>
    </r>
  </si>
  <si>
    <t>[mp.info.3]</t>
  </si>
  <si>
    <t>Firma electrónica</t>
  </si>
  <si>
    <r>
      <t xml:space="preserve">Política de Controles Criptográficos integrada en </t>
    </r>
    <r>
      <rPr>
        <i/>
        <sz val="11"/>
        <rFont val="Calibri"/>
        <family val="2"/>
      </rPr>
      <t>D03 Directrices de Seguridad de la Información</t>
    </r>
    <r>
      <rPr>
        <sz val="11"/>
        <rFont val="Calibri"/>
        <family val="2"/>
      </rPr>
      <t xml:space="preserve">
Certificados digitales para la firma de documentos, facturas, etc.
Se utilizan certificados homologados</t>
    </r>
  </si>
  <si>
    <t>[mp.info.4]</t>
  </si>
  <si>
    <t>Sellos de tiempo</t>
  </si>
  <si>
    <t>[mp.info.5]</t>
  </si>
  <si>
    <t>Limpieza de documentos</t>
  </si>
  <si>
    <r>
      <t>Según se especifica en</t>
    </r>
    <r>
      <rPr>
        <i/>
        <sz val="11"/>
        <color theme="1"/>
        <rFont val="Calibri"/>
        <family val="2"/>
        <scheme val="minor"/>
      </rPr>
      <t xml:space="preserve"> I01 Normativa de Seguridad de la Información
</t>
    </r>
    <r>
      <rPr>
        <sz val="11"/>
        <color theme="1"/>
        <rFont val="Calibri"/>
        <family val="2"/>
        <scheme val="minor"/>
      </rPr>
      <t>No existen documentos publicados en la web</t>
    </r>
  </si>
  <si>
    <t>[mp.info.6]</t>
  </si>
  <si>
    <t>Copias de seguridad</t>
  </si>
  <si>
    <t>mp.s</t>
  </si>
  <si>
    <t>Protección de los servicios</t>
  </si>
  <si>
    <t>[mp.s.1]</t>
  </si>
  <si>
    <t>Protección del correo electrónico</t>
  </si>
  <si>
    <r>
      <t>Correo electrónico de Microsoft365
Protegido con las medidas de seguridad propias de Microsoft que tiene certificación ENS en categoria ALTA.
El correo va cifrado.
En general protegido con las medidas de seguridad de correo propias de Microsoft.
En la</t>
    </r>
    <r>
      <rPr>
        <i/>
        <sz val="11"/>
        <color theme="1"/>
        <rFont val="Calibri"/>
        <family val="2"/>
        <scheme val="minor"/>
      </rPr>
      <t xml:space="preserve"> I01 Normativa de Seguridad de la Información </t>
    </r>
    <r>
      <rPr>
        <sz val="11"/>
        <color theme="1"/>
        <rFont val="Calibri"/>
        <family val="2"/>
        <scheme val="minor"/>
      </rPr>
      <t>se establecen limitaciones al uso del correo electrónico como soporte de comunicaciones privadas</t>
    </r>
  </si>
  <si>
    <t>[mp.s.2]</t>
  </si>
  <si>
    <t>Protección de servicios y aplicaciones web</t>
  </si>
  <si>
    <t>aplica + [R1 o R2]</t>
  </si>
  <si>
    <t>aplica + R2 + R3</t>
  </si>
  <si>
    <t>Servicios de protecció web propios de Microsoft Azure.
Análisis de vulnerabilidades ejecutados en el marco de los proyectos</t>
  </si>
  <si>
    <t>[mp.s.3]</t>
  </si>
  <si>
    <t>Protección de la navegación web</t>
  </si>
  <si>
    <t>En la I01 Normativa de Seguridad de la Información se establece el uso de internet que se autoriza y las limitaciones de uso personal.
Protecciòn también proporcionada por los propios servicios antimalware.</t>
  </si>
  <si>
    <t>[mp.s.4]</t>
  </si>
  <si>
    <t>Protección frente a denegación de servicio</t>
  </si>
  <si>
    <t>CRITERIOS PARA EL CÁLCULO DEL ÍNDICE DE MADUREZ (IM) E ÍNDICE DE CUMPLIMIENTO (IC)*</t>
  </si>
  <si>
    <t>NIVEL MADUREZ</t>
  </si>
  <si>
    <t>%</t>
  </si>
  <si>
    <t>CRITERIO**</t>
  </si>
  <si>
    <t>L0 - Inexistente</t>
  </si>
  <si>
    <t xml:space="preserve">Esta medida no existe  o no se está siendo aplicada en este momento. </t>
  </si>
  <si>
    <t>L1 - Inicial / ad hoc</t>
  </si>
  <si>
    <t xml:space="preserve">En el nivel L1 de madurez, el proceso existe, pero no se gestiona. Cuando la organización no proporciona un entorno estable. El éxito o fracaso del proceso depende de la competencia y buena voluntad de las personas y es difícil prever la reacción ante una situación de emergencia. En este caso, las organizaciones exceden con frecuencia presupuestos y tiempos de respuesta. El éxito del nivel L1 depende de tener personal de alta calidad. </t>
  </si>
  <si>
    <t>L2 - Reproducible pero intuitivo</t>
  </si>
  <si>
    <t xml:space="preserve">En el nivel L2 de madurez, la eficacia del proceso depende de la buena suerte y de la buena voluntad de las personas. Existe un mínimo de planificación que proporciona una pauta a seguir cuando se repiten las mismas circunstancias. Es impredecible el resultado si se dan circunstancias nuevas. Todavía hay un riesgo significativo de exceder las estimaciones de coste y riesgo. </t>
  </si>
  <si>
    <t>L3 - Proceso definido</t>
  </si>
  <si>
    <t xml:space="preserve">Se dispone un catálogo de procesos que se mantiene actualizado. Estos procesos garantizan la consistencia de las actuaciones entre las diferentes partes de la organización, que adaptan sus procesos particulares al proceso general. Hay normativa establecida y procedimientos para garantizar la reacción profesional ante los incidentes. Se ejerce un mantenimiento regular. Las oportunidades de sobrevivir son altas, aunque siempre queda el factor de lo desconocido (o no planificado). 
El éxito es algo más que buena suerte: se merece. 
Una diferencia importante entre el nivel 2 y el nivel 3 es la coordinación entre departamentos y proyectos, coordinación que no existe en el nivel 2, y que se gestiona en el nivel 3. </t>
  </si>
  <si>
    <t>L4 – Gestionado y medible</t>
  </si>
  <si>
    <t xml:space="preserve">Cuando se dispone de un sistema de medidas y métricas para conocer el desempeño (eficacia y eficiencia) de los procesos. La Dirección es capaz de establecer objetivos cualitativos a alcanzar y dispone de medios para valorar si se han alcanzado los objetivos y en qué medida. En el nivel L4 de madurez, el funcionamiento de los procesos está bajo control con técnicas estadísticas y cuantitativas. La confianza es cuantitativa, mientras que en el nivel L3, la confianza era solamente cualitativa. </t>
  </si>
  <si>
    <t>L5 - Optimizado</t>
  </si>
  <si>
    <t xml:space="preserve"> El nivel L5 de madurez se centra en la mejora continua de los procesos con mejoras tecnológicas incrementales e innovadoras. Se establecen objetivos cuantitativos de mejora. Y se revisan continuamente para reflejar los cambios en los objetivos de negocio, utilizándose como indicadores en la gestión de la mejora de los procesos. En este nivel la organización es capaz de mejorar el desempeño de los sistemas a base de una mejora continua de los procesos basada en los resultados de las medidas e indicadores. </t>
  </si>
  <si>
    <t>Referencia</t>
  </si>
  <si>
    <t>NIVEL DE MADUREZ DE REFERENCIA</t>
  </si>
  <si>
    <t>BAJA</t>
  </si>
  <si>
    <t>L2 – Reproducible pero intuitivo</t>
  </si>
  <si>
    <t>MEDIA</t>
  </si>
  <si>
    <t>L3 – Proceso definido</t>
  </si>
  <si>
    <t>ALTA</t>
  </si>
  <si>
    <t>CÁLCULO DEL ÍNDICE DE CUMPLIMIENTO</t>
  </si>
  <si>
    <t>NIVEL DE MADUREZ DE REFERENCIA**</t>
  </si>
  <si>
    <t>&gt;= 95</t>
  </si>
  <si>
    <t>MIN( (Valor de la madurez x 100) / 50 , 100)</t>
  </si>
  <si>
    <t>MIN( (Valor de la madurez x 100) / 80 , 100)</t>
  </si>
  <si>
    <t>MIN( (Valor de la madurez x 100) / 90 , 100)</t>
  </si>
  <si>
    <t>*Según criterios definidos en:
    - Guía de Seguridad CCN-STIC 824 Informe Nacional del Estado de Seguridad de los Sistemas TIC
    - Guia de Seguridad CCN-STIC-815 ENS – Métricas e Indicadores</t>
  </si>
  <si>
    <t>Nivel Madurez</t>
  </si>
  <si>
    <t>Porcentaje</t>
  </si>
  <si>
    <t>L0</t>
  </si>
  <si>
    <t>L1</t>
  </si>
  <si>
    <t>L2</t>
  </si>
  <si>
    <t>L5</t>
  </si>
  <si>
    <t>Nivel Sistema</t>
  </si>
  <si>
    <t>Nivel cumplimiento</t>
  </si>
  <si>
    <t>Vigilancia basada en servicios de vigilancia propios de Microsoft Azure Monitor</t>
  </si>
  <si>
    <r>
      <rPr>
        <sz val="11"/>
        <color rgb="FF000000"/>
        <rFont val="Calibri"/>
        <family val="2"/>
        <scheme val="minor"/>
      </rPr>
      <t xml:space="preserve">Determinado como política de bastionado de la configuración en </t>
    </r>
    <r>
      <rPr>
        <i/>
        <sz val="11"/>
        <color rgb="FF000000"/>
        <rFont val="Calibri"/>
        <family val="2"/>
        <scheme val="minor"/>
      </rPr>
      <t xml:space="preserve">D03 Directrices de Seguridad de la Información.
</t>
    </r>
    <r>
      <rPr>
        <sz val="11"/>
        <color rgb="FF000000"/>
        <rFont val="Calibri"/>
        <family val="2"/>
        <scheme val="minor"/>
      </rPr>
      <t>Todos los equipos portátiles deben estar con mecanismos de cifrado "at-rest":
- Bitlocker en Windows
- FileVault en Mac</t>
    </r>
  </si>
  <si>
    <r>
      <t xml:space="preserve">Política definida en </t>
    </r>
    <r>
      <rPr>
        <i/>
        <sz val="11"/>
        <color theme="1"/>
        <rFont val="Calibri"/>
        <family val="2"/>
        <scheme val="minor"/>
      </rPr>
      <t>D03 Directrices de Seguridad de la Información</t>
    </r>
    <r>
      <rPr>
        <sz val="11"/>
        <color theme="1"/>
        <rFont val="Calibri"/>
        <family val="2"/>
        <scheme val="minor"/>
      </rPr>
      <t xml:space="preserve">, apartado </t>
    </r>
    <r>
      <rPr>
        <i/>
        <sz val="11"/>
        <color theme="1"/>
        <rFont val="Calibri"/>
        <family val="2"/>
        <scheme val="minor"/>
      </rPr>
      <t>Gestión de la configuración</t>
    </r>
    <r>
      <rPr>
        <sz val="11"/>
        <color theme="1"/>
        <rFont val="Calibri"/>
        <family val="2"/>
        <scheme val="minor"/>
      </rPr>
      <t xml:space="preserve">.
Únicament configuración de los servicios en la nube
</t>
    </r>
    <r>
      <rPr>
        <sz val="11"/>
        <rFont val="Calibri"/>
        <family val="2"/>
        <scheme val="minor"/>
      </rPr>
      <t>Se han tenido en cuenta las recomendaciones de las guias de configuración del CCN:
- ccn-stic-884a-guia-de-configuracion-segura-para-azure</t>
    </r>
    <r>
      <rPr>
        <sz val="11"/>
        <color theme="1"/>
        <rFont val="Calibri"/>
        <family val="2"/>
        <scheme val="minor"/>
      </rPr>
      <t xml:space="preserve">
También se han tenido en cuenta guías propias del fabricante:
-  Microsoft Cloud Security Benchmark (MCSB)
- Azure Well-Architected Framework - Security Pillar</t>
    </r>
  </si>
  <si>
    <r>
      <rPr>
        <i/>
        <sz val="11"/>
        <color rgb="FF000000"/>
        <rFont val="Calibri"/>
        <family val="2"/>
      </rPr>
      <t>D03 Directrices de Seguridad de la Información</t>
    </r>
    <r>
      <rPr>
        <sz val="11"/>
        <color indexed="8"/>
        <rFont val="Calibri"/>
        <family val="2"/>
      </rPr>
      <t xml:space="preserve">
Claves autogestionadas de AzureKMS.</t>
    </r>
  </si>
  <si>
    <t xml:space="preserve">Dentro del marco de seguimento de servicios en la nube de proveedores globales.
Segumiento y coordinaciòn a partir de la gestión de incidentes. </t>
  </si>
  <si>
    <t xml:space="preserve">Todos los componentes internos no son accesibles desde internet, sólo la app gateway tiene contacto con ellos.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
  </si>
  <si>
    <t xml:space="preserve">Uso de las Vnet y segregación de entornos. Peering en la red.
La arquitectura se divide en zonas de seguridad diferenciadas mediante suscripciones de Azure y Grupos de Recursos, gobernadas por Azure Policy. 
-  Zona de Conectividad (Hub) : Actúa como el punto central de entrada y salida controlada. 
-  Zona de Cargas de Trabajo (Spoke - Online):  Esta red (VNet) está conectada al Hub mediante VNet Peering, pero aislada de las redes corporativas internas ("Corp") para minimizar riesgos de movimiento lateral. </t>
  </si>
  <si>
    <r>
      <t xml:space="preserve">No aplica para servidores, elementos de red y estaciones de trabajo.
El mantenimiento de las configuraciones segura de los servicios en la nube para tener en cuenta vulnerabilidades lo realiza el propio proveedor.
El mantenimiento de la configuraciòn segura se hace a partir del procedimiento </t>
    </r>
    <r>
      <rPr>
        <i/>
        <sz val="11"/>
        <color theme="1"/>
        <rFont val="Calibri"/>
        <family val="2"/>
        <scheme val="minor"/>
      </rPr>
      <t>P03 Gestiòn de Cambios</t>
    </r>
    <r>
      <rPr>
        <sz val="11"/>
        <color theme="1"/>
        <rFont val="Calibri"/>
        <family val="2"/>
        <scheme val="minor"/>
      </rPr>
      <t>, por ejemplo en caso de cambios en los modelos de IA o cambios en las librerias.
Supervisión continua mediante Microsoft Defender for Cloud Regulatory Compliance
Configuraciones gestionadas mediante IaS con Terraform y slavaguardadas en Github.</t>
    </r>
  </si>
  <si>
    <r>
      <t xml:space="preserve">Microsoft Azure tiene certificación ENS ALTO.
</t>
    </r>
    <r>
      <rPr>
        <sz val="11"/>
        <rFont val="Calibri"/>
        <family val="2"/>
      </rPr>
      <t>Se realiza la verificación de la configuración de acuerdo con las guias de configuración segura correspondientes de Micrsoft Azure.</t>
    </r>
  </si>
  <si>
    <t xml:space="preserve">Gestión de conectividad mediante : Azure Firewall (Seguridad Perimetral L3/L4), Application Gateway (futuro WAF L7), y servicios compartidos de DNS. 
Inspecciona el tráfico de salida de los servidores para evitar exfiltración de datos y centraliza la publicación de aplicaciones web. </t>
  </si>
  <si>
    <r>
      <t xml:space="preserve">Política general de copias de seguridad integrada en D03 Directrices de Seguridad de la Información
</t>
    </r>
    <r>
      <rPr>
        <sz val="11"/>
        <color rgb="FF000000"/>
        <rFont val="Calibri"/>
        <family val="2"/>
      </rPr>
      <t>Copias de seguridad dentro de los servicios de los propios proveedores en la nube para buckets, bases de datos, etc. de acuerdo con las necesidades de cada proyecto.</t>
    </r>
  </si>
  <si>
    <t>D01 Política de Seguridad de la Información - (10)</t>
  </si>
  <si>
    <t>D01 Política de Seguridad de la Información - (10)
Auditoría de Seguridad.</t>
  </si>
  <si>
    <t>D01 Política de Seguridad de la Información - (4)
D04 Categorización y declaración de Aplicabilidad ENS</t>
  </si>
  <si>
    <t>D01 Política de Seguridad de la Información - (7.2)</t>
  </si>
  <si>
    <r>
      <t xml:space="preserve">D01 Política de Seguridad de la Información - (8.17)
</t>
    </r>
    <r>
      <rPr>
        <sz val="11"/>
        <color rgb="FF1F497D"/>
        <rFont val="Calibri"/>
        <family val="2"/>
      </rPr>
      <t>Contemplado en las medidas de seguridad relacionadas (op.pl.3, op.exp.2, op.exp.5, op.ext.1, mp.sw.1, ...)</t>
    </r>
  </si>
  <si>
    <t>P04 Gestión de Incidentes</t>
  </si>
  <si>
    <t>Aplica en los términos establecidos en el artículo 32 ya que hace referencia a "las entidades titulares de los sistemas de información comprendidos en el ámbito de aplicación del artículo 2.
Informe INES cumplimentado.</t>
  </si>
  <si>
    <r>
      <t xml:space="preserve">D01 Política de Seguridad de la Información - (7)
</t>
    </r>
    <r>
      <rPr>
        <sz val="11"/>
        <color rgb="FF1F497D"/>
        <rFont val="Calibri"/>
        <family val="2"/>
      </rPr>
      <t>Funciones de control del Comité de Seguridad de la Información</t>
    </r>
  </si>
  <si>
    <t>Protección DoS/DDoS delegada en la Azure DDoS Infrastructure Protection: Basic protection enabled by default on all Azure properties at no additional cost</t>
  </si>
  <si>
    <t>Basado en servicios SaaS y PaaS
Previsto implantación de Azure Firewall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</si>
</sst>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
  </numFmts>
  <fonts count="63" x14ac:knownFonts="1">
    <font>
      <sz val="11"/>
      <color theme="1"/>
      <name val="Calibri"/>
      <family val="2"/>
      <scheme val="minor"/>
    </font>
    <font>
      <sz val="10"/>
      <name val="Arial"/>
      <family val="2"/>
    </font>
    <font>
      <sz val="11"/>
      <color indexed="8"/>
      <name val="Calibri"/>
      <family val="2"/>
      <charset val="1"/>
    </font>
    <font>
      <sz val="11"/>
      <color indexed="10"/>
      <name val="Calibri"/>
      <family val="2"/>
      <charset val="1"/>
    </font>
    <font>
      <b/>
      <sz val="11"/>
      <color indexed="62"/>
      <name val="Calibri"/>
      <family val="2"/>
      <charset val="1"/>
    </font>
    <font>
      <b/>
      <sz val="12"/>
      <color indexed="53"/>
      <name val="Calibri"/>
      <family val="2"/>
      <charset val="1"/>
    </font>
    <font>
      <b/>
      <sz val="11"/>
      <color indexed="9"/>
      <name val="Calibri"/>
      <family val="2"/>
      <charset val="1"/>
    </font>
    <font>
      <sz val="11"/>
      <color indexed="9"/>
      <name val="Calibri"/>
      <family val="2"/>
      <charset val="1"/>
    </font>
    <font>
      <b/>
      <sz val="11"/>
      <color indexed="8"/>
      <name val="Calibri"/>
      <family val="2"/>
      <charset val="1"/>
    </font>
    <font>
      <b/>
      <sz val="11"/>
      <color indexed="8"/>
      <name val="Calibri"/>
      <family val="2"/>
    </font>
    <font>
      <b/>
      <sz val="11"/>
      <color indexed="9"/>
      <name val="Calibri"/>
      <family val="2"/>
    </font>
    <font>
      <b/>
      <sz val="11"/>
      <color theme="0"/>
      <name val="Calibri"/>
      <family val="2"/>
    </font>
    <font>
      <b/>
      <sz val="12"/>
      <color theme="0"/>
      <name val="Calibri"/>
      <family val="2"/>
    </font>
    <font>
      <b/>
      <sz val="11"/>
      <color theme="3"/>
      <name val="Calibri"/>
      <family val="2"/>
      <charset val="1"/>
    </font>
    <font>
      <sz val="11"/>
      <color rgb="FF00B0F0"/>
      <name val="Calibri"/>
      <family val="2"/>
      <charset val="1"/>
    </font>
    <font>
      <b/>
      <sz val="10"/>
      <color rgb="FF000000"/>
      <name val="Calibri"/>
      <family val="2"/>
      <scheme val="minor"/>
    </font>
    <font>
      <sz val="10"/>
      <color rgb="FF000000"/>
      <name val="Calibri"/>
      <family val="2"/>
      <scheme val="minor"/>
    </font>
    <font>
      <b/>
      <sz val="14"/>
      <color theme="1"/>
      <name val="Calibri"/>
      <family val="2"/>
      <scheme val="minor"/>
    </font>
    <font>
      <sz val="10"/>
      <name val="Calibri"/>
      <family val="2"/>
      <scheme val="minor"/>
    </font>
    <font>
      <b/>
      <sz val="10"/>
      <color theme="3" tint="-0.249977111117893"/>
      <name val="Calibri"/>
      <family val="2"/>
      <scheme val="minor"/>
    </font>
    <font>
      <b/>
      <sz val="20"/>
      <color theme="1"/>
      <name val="Calibri"/>
      <family val="2"/>
      <scheme val="minor"/>
    </font>
    <font>
      <b/>
      <sz val="20"/>
      <name val="Arial"/>
      <family val="2"/>
    </font>
    <font>
      <sz val="11"/>
      <color theme="1"/>
      <name val="Calibri"/>
      <family val="2"/>
      <scheme val="minor"/>
    </font>
    <font>
      <sz val="11"/>
      <name val="Calibri"/>
      <family val="2"/>
      <scheme val="minor"/>
    </font>
    <font>
      <b/>
      <sz val="11"/>
      <color theme="1"/>
      <name val="Calibri"/>
      <family val="2"/>
      <scheme val="minor"/>
    </font>
    <font>
      <sz val="11"/>
      <color rgb="FF000000"/>
      <name val="Calibri"/>
      <family val="2"/>
    </font>
    <font>
      <sz val="11"/>
      <name val="Calibri"/>
      <family val="2"/>
    </font>
    <font>
      <b/>
      <sz val="11"/>
      <color rgb="FF000000"/>
      <name val="Calibri"/>
      <family val="2"/>
    </font>
    <font>
      <b/>
      <sz val="11"/>
      <color rgb="FFFF0000"/>
      <name val="Calibri"/>
      <family val="2"/>
    </font>
    <font>
      <sz val="10"/>
      <color theme="0" tint="-0.249977111117893"/>
      <name val="Calibri"/>
      <family val="2"/>
      <scheme val="minor"/>
    </font>
    <font>
      <sz val="11"/>
      <color theme="0"/>
      <name val="Calibri"/>
      <family val="2"/>
    </font>
    <font>
      <i/>
      <sz val="11"/>
      <color theme="1"/>
      <name val="Calibri"/>
      <family val="2"/>
      <scheme val="minor"/>
    </font>
    <font>
      <b/>
      <sz val="11"/>
      <name val="Calibri"/>
      <family val="2"/>
      <scheme val="minor"/>
    </font>
    <font>
      <sz val="11"/>
      <color indexed="8"/>
      <name val="Calibri"/>
      <family val="2"/>
      <scheme val="minor"/>
    </font>
    <font>
      <b/>
      <sz val="11"/>
      <color indexed="9"/>
      <name val="Calibri"/>
      <family val="2"/>
      <scheme val="minor"/>
    </font>
    <font>
      <b/>
      <sz val="11"/>
      <color theme="3"/>
      <name val="Calibri"/>
      <family val="2"/>
    </font>
    <font>
      <b/>
      <sz val="11"/>
      <name val="Calibri"/>
      <family val="2"/>
    </font>
    <font>
      <sz val="11"/>
      <color indexed="8"/>
      <name val="Calibri"/>
      <family val="2"/>
    </font>
    <font>
      <sz val="11"/>
      <color theme="1"/>
      <name val="Calibri"/>
      <family val="2"/>
    </font>
    <font>
      <sz val="11"/>
      <color rgb="FFFF0000"/>
      <name val="Calibri"/>
      <family val="2"/>
    </font>
    <font>
      <b/>
      <sz val="20"/>
      <color theme="1"/>
      <name val="Arial"/>
      <family val="2"/>
    </font>
    <font>
      <b/>
      <sz val="11"/>
      <color rgb="FFFFFFFF"/>
      <name val="Calibri"/>
      <family val="2"/>
    </font>
    <font>
      <b/>
      <sz val="11"/>
      <color rgb="FF1F497D"/>
      <name val="Calibri"/>
      <family val="2"/>
    </font>
    <font>
      <i/>
      <sz val="11"/>
      <color rgb="FF1F497D"/>
      <name val="Calibri"/>
      <family val="2"/>
    </font>
    <font>
      <sz val="11"/>
      <color rgb="FF953734"/>
      <name val="Calibri"/>
      <family val="2"/>
    </font>
    <font>
      <sz val="11"/>
      <color rgb="FF1F497D"/>
      <name val="Calibri"/>
      <family val="2"/>
    </font>
    <font>
      <sz val="10"/>
      <color theme="1"/>
      <name val="Calibri"/>
      <family val="2"/>
    </font>
    <font>
      <b/>
      <sz val="12"/>
      <color theme="1"/>
      <name val="Calibri"/>
      <family val="2"/>
    </font>
    <font>
      <b/>
      <sz val="10"/>
      <color theme="1"/>
      <name val="Calibri"/>
      <family val="2"/>
    </font>
    <font>
      <b/>
      <sz val="10"/>
      <color theme="0"/>
      <name val="Calibri"/>
      <family val="2"/>
    </font>
    <font>
      <sz val="10"/>
      <name val="Calibri"/>
      <family val="2"/>
    </font>
    <font>
      <sz val="11"/>
      <color theme="9" tint="-0.249977111117893"/>
      <name val="Calibri"/>
      <family val="2"/>
      <scheme val="minor"/>
    </font>
    <font>
      <i/>
      <sz val="11"/>
      <name val="Calibri"/>
      <family val="2"/>
    </font>
    <font>
      <i/>
      <sz val="11"/>
      <color rgb="FF000000"/>
      <name val="Calibri"/>
      <family val="2"/>
    </font>
    <font>
      <b/>
      <sz val="9"/>
      <color rgb="FF000000"/>
      <name val="Segoe UI"/>
      <family val="2"/>
    </font>
    <font>
      <b/>
      <sz val="9"/>
      <color theme="1"/>
      <name val="Segoe UI"/>
      <family val="2"/>
    </font>
    <font>
      <sz val="9"/>
      <color theme="1"/>
      <name val="Segoe UI"/>
      <family val="2"/>
    </font>
    <font>
      <sz val="11"/>
      <color rgb="FFFF0000"/>
      <name val="Calibri"/>
      <family val="2"/>
      <scheme val="minor"/>
    </font>
    <font>
      <i/>
      <sz val="11"/>
      <name val="Calibri"/>
      <family val="2"/>
      <scheme val="minor"/>
    </font>
    <font>
      <sz val="11"/>
      <color theme="9" tint="-0.249977111117893"/>
      <name val="Calibri"/>
      <family val="2"/>
    </font>
    <font>
      <b/>
      <sz val="24"/>
      <color indexed="8"/>
      <name val="Calibri"/>
      <family val="2"/>
    </font>
    <font>
      <sz val="11"/>
      <color rgb="FF000000"/>
      <name val="Calibri"/>
      <family val="2"/>
      <scheme val="minor"/>
    </font>
    <font>
      <i/>
      <sz val="11"/>
      <color rgb="FF000000"/>
      <name val="Calibri"/>
      <family val="2"/>
      <scheme val="minor"/>
    </font>
  </fonts>
  <fills count="31">
    <fill>
      <patternFill patternType="none"/>
    </fill>
    <fill>
      <patternFill patternType="gray125"/>
    </fill>
    <fill>
      <patternFill patternType="solid">
        <fgColor theme="0"/>
        <bgColor indexed="64"/>
      </patternFill>
    </fill>
    <fill>
      <patternFill patternType="solid">
        <fgColor indexed="9"/>
        <bgColor indexed="26"/>
      </patternFill>
    </fill>
    <fill>
      <patternFill patternType="solid">
        <fgColor indexed="47"/>
        <bgColor indexed="31"/>
      </patternFill>
    </fill>
    <fill>
      <patternFill patternType="solid">
        <fgColor theme="0"/>
        <bgColor indexed="26"/>
      </patternFill>
    </fill>
    <fill>
      <patternFill patternType="solid">
        <fgColor theme="0" tint="-0.14999847407452621"/>
        <bgColor indexed="3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3" tint="0.79998168889431442"/>
        <bgColor indexed="56"/>
      </patternFill>
    </fill>
    <fill>
      <patternFill patternType="solid">
        <fgColor theme="0"/>
        <bgColor indexed="31"/>
      </patternFill>
    </fill>
    <fill>
      <patternFill patternType="solid">
        <fgColor theme="6"/>
        <bgColor indexed="31"/>
      </patternFill>
    </fill>
    <fill>
      <patternFill patternType="solid">
        <fgColor theme="7" tint="0.79998168889431442"/>
        <bgColor indexed="56"/>
      </patternFill>
    </fill>
    <fill>
      <patternFill patternType="solid">
        <fgColor rgb="FFFFFF99"/>
        <bgColor indexed="31"/>
      </patternFill>
    </fill>
    <fill>
      <patternFill patternType="solid">
        <fgColor rgb="FFFF6600"/>
        <bgColor indexed="31"/>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6B8B7"/>
        <bgColor rgb="FFE6B8B7"/>
      </patternFill>
    </fill>
    <fill>
      <patternFill patternType="solid">
        <fgColor rgb="FFDBE5F1"/>
        <bgColor rgb="FFDBE5F1"/>
      </patternFill>
    </fill>
    <fill>
      <patternFill patternType="solid">
        <fgColor rgb="FFC6D9F0"/>
        <bgColor rgb="FFC6D9F0"/>
      </patternFill>
    </fill>
    <fill>
      <patternFill patternType="solid">
        <fgColor theme="3" tint="0.79998168889431442"/>
        <bgColor indexed="64"/>
      </patternFill>
    </fill>
    <fill>
      <patternFill patternType="solid">
        <fgColor rgb="FF0070C0"/>
        <bgColor indexed="64"/>
      </patternFill>
    </fill>
    <fill>
      <patternFill patternType="solid">
        <fgColor rgb="FF00518E"/>
        <bgColor indexed="56"/>
      </patternFill>
    </fill>
    <fill>
      <patternFill patternType="solid">
        <fgColor rgb="FF00518E"/>
        <bgColor indexed="64"/>
      </patternFill>
    </fill>
    <fill>
      <patternFill patternType="solid">
        <fgColor rgb="FF00518E"/>
        <bgColor rgb="FF1F497D"/>
      </patternFill>
    </fill>
    <fill>
      <patternFill patternType="solid">
        <fgColor rgb="FF0070C0"/>
        <bgColor rgb="FF00B0F0"/>
      </patternFill>
    </fill>
    <fill>
      <patternFill patternType="solid">
        <fgColor rgb="FF0070C0"/>
        <bgColor indexed="31"/>
      </patternFill>
    </fill>
    <fill>
      <patternFill patternType="solid">
        <fgColor rgb="FF00518E"/>
        <bgColor rgb="FFC6D9F0"/>
      </patternFill>
    </fill>
  </fills>
  <borders count="59">
    <border>
      <left/>
      <right/>
      <top/>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4" tint="-0.249977111117893"/>
      </left>
      <right/>
      <top style="thin">
        <color theme="4" tint="-0.249977111117893"/>
      </top>
      <bottom style="thin">
        <color theme="4" tint="-0.249977111117893"/>
      </bottom>
      <diagonal/>
    </border>
    <border>
      <left style="thin">
        <color theme="3"/>
      </left>
      <right style="thin">
        <color theme="3"/>
      </right>
      <top style="thin">
        <color theme="3"/>
      </top>
      <bottom style="thin">
        <color theme="3"/>
      </bottom>
      <diagonal/>
    </border>
    <border>
      <left style="thin">
        <color auto="1"/>
      </left>
      <right style="thin">
        <color auto="1"/>
      </right>
      <top style="thin">
        <color auto="1"/>
      </top>
      <bottom style="thin">
        <color auto="1"/>
      </bottom>
      <diagonal/>
    </border>
    <border>
      <left style="thin">
        <color indexed="62"/>
      </left>
      <right style="thin">
        <color indexed="62"/>
      </right>
      <top style="thin">
        <color indexed="62"/>
      </top>
      <bottom style="thin">
        <color theme="4" tint="-0.249977111117893"/>
      </bottom>
      <diagonal/>
    </border>
    <border>
      <left style="thin">
        <color indexed="62"/>
      </left>
      <right style="thin">
        <color indexed="62"/>
      </right>
      <top style="thin">
        <color indexed="62"/>
      </top>
      <bottom style="thin">
        <color indexed="62"/>
      </bottom>
      <diagonal/>
    </border>
    <border>
      <left/>
      <right/>
      <top/>
      <bottom style="thin">
        <color indexed="62"/>
      </bottom>
      <diagonal/>
    </border>
    <border>
      <left style="thin">
        <color indexed="62"/>
      </left>
      <right/>
      <top style="thin">
        <color indexed="62"/>
      </top>
      <bottom/>
      <diagonal/>
    </border>
    <border>
      <left style="thin">
        <color indexed="62"/>
      </left>
      <right/>
      <top style="thin">
        <color indexed="62"/>
      </top>
      <bottom style="thin">
        <color indexed="62"/>
      </bottom>
      <diagonal/>
    </border>
    <border>
      <left/>
      <right style="thin">
        <color indexed="62"/>
      </right>
      <top style="thin">
        <color indexed="62"/>
      </top>
      <bottom style="thin">
        <color indexed="62"/>
      </bottom>
      <diagonal/>
    </border>
    <border>
      <left/>
      <right/>
      <top style="thin">
        <color indexed="62"/>
      </top>
      <bottom style="thin">
        <color indexed="62"/>
      </bottom>
      <diagonal/>
    </border>
    <border>
      <left style="thin">
        <color rgb="FF366092"/>
      </left>
      <right/>
      <top style="thin">
        <color rgb="FF366092"/>
      </top>
      <bottom style="thin">
        <color rgb="FF366092"/>
      </bottom>
      <diagonal/>
    </border>
    <border>
      <left/>
      <right style="thin">
        <color rgb="FF366092"/>
      </right>
      <top style="thin">
        <color rgb="FF366092"/>
      </top>
      <bottom style="thin">
        <color rgb="FF366092"/>
      </bottom>
      <diagonal/>
    </border>
    <border>
      <left style="thin">
        <color rgb="FF366092"/>
      </left>
      <right style="thin">
        <color rgb="FF366092"/>
      </right>
      <top style="thin">
        <color rgb="FF366092"/>
      </top>
      <bottom style="thin">
        <color rgb="FF366092"/>
      </bottom>
      <diagonal/>
    </border>
    <border>
      <left/>
      <right/>
      <top style="thin">
        <color rgb="FF366092"/>
      </top>
      <bottom style="thin">
        <color rgb="FF366092"/>
      </bottom>
      <diagonal/>
    </border>
    <border>
      <left style="thick">
        <color rgb="FFA5A5A5"/>
      </left>
      <right/>
      <top style="thick">
        <color rgb="FFA5A5A5"/>
      </top>
      <bottom style="thin">
        <color rgb="FFA5A5A5"/>
      </bottom>
      <diagonal/>
    </border>
    <border>
      <left/>
      <right style="thin">
        <color rgb="FFA5A5A5"/>
      </right>
      <top style="thick">
        <color rgb="FFA5A5A5"/>
      </top>
      <bottom style="thin">
        <color rgb="FFA5A5A5"/>
      </bottom>
      <diagonal/>
    </border>
    <border>
      <left style="thin">
        <color rgb="FFA5A5A5"/>
      </left>
      <right/>
      <top style="thick">
        <color rgb="FFA5A5A5"/>
      </top>
      <bottom style="thin">
        <color rgb="FFA5A5A5"/>
      </bottom>
      <diagonal/>
    </border>
    <border>
      <left/>
      <right/>
      <top style="thick">
        <color rgb="FFA5A5A5"/>
      </top>
      <bottom style="thin">
        <color rgb="FFA5A5A5"/>
      </bottom>
      <diagonal/>
    </border>
    <border>
      <left/>
      <right style="thick">
        <color rgb="FFA5A5A5"/>
      </right>
      <top style="thick">
        <color rgb="FFA5A5A5"/>
      </top>
      <bottom style="thin">
        <color rgb="FFA5A5A5"/>
      </bottom>
      <diagonal/>
    </border>
    <border>
      <left style="thick">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ck">
        <color rgb="FFA5A5A5"/>
      </right>
      <top style="thin">
        <color rgb="FFA5A5A5"/>
      </top>
      <bottom style="thin">
        <color rgb="FFA5A5A5"/>
      </bottom>
      <diagonal/>
    </border>
    <border>
      <left style="thick">
        <color rgb="FFA5A5A5"/>
      </left>
      <right/>
      <top style="thin">
        <color rgb="FFA5A5A5"/>
      </top>
      <bottom style="thick">
        <color rgb="FFA5A5A5"/>
      </bottom>
      <diagonal/>
    </border>
    <border>
      <left/>
      <right style="thin">
        <color rgb="FFA5A5A5"/>
      </right>
      <top style="thin">
        <color rgb="FFA5A5A5"/>
      </top>
      <bottom style="thick">
        <color rgb="FFA5A5A5"/>
      </bottom>
      <diagonal/>
    </border>
    <border>
      <left style="thin">
        <color rgb="FFA5A5A5"/>
      </left>
      <right/>
      <top style="thin">
        <color rgb="FFA5A5A5"/>
      </top>
      <bottom style="thick">
        <color rgb="FFA5A5A5"/>
      </bottom>
      <diagonal/>
    </border>
    <border>
      <left/>
      <right/>
      <top style="thin">
        <color rgb="FFA5A5A5"/>
      </top>
      <bottom style="thick">
        <color rgb="FFA5A5A5"/>
      </bottom>
      <diagonal/>
    </border>
    <border>
      <left/>
      <right style="thick">
        <color rgb="FFA5A5A5"/>
      </right>
      <top style="thin">
        <color rgb="FFA5A5A5"/>
      </top>
      <bottom style="thick">
        <color rgb="FFA5A5A5"/>
      </bottom>
      <diagonal/>
    </border>
    <border>
      <left style="thick">
        <color rgb="FFA5A5A5"/>
      </left>
      <right/>
      <top style="thick">
        <color rgb="FFA5A5A5"/>
      </top>
      <bottom style="thick">
        <color rgb="FFA5A5A5"/>
      </bottom>
      <diagonal/>
    </border>
    <border>
      <left/>
      <right style="thin">
        <color rgb="FFA5A5A5"/>
      </right>
      <top style="thick">
        <color rgb="FFA5A5A5"/>
      </top>
      <bottom style="thick">
        <color rgb="FFA5A5A5"/>
      </bottom>
      <diagonal/>
    </border>
    <border>
      <left style="thin">
        <color rgb="FFA5A5A5"/>
      </left>
      <right/>
      <top style="thick">
        <color rgb="FFA5A5A5"/>
      </top>
      <bottom style="thick">
        <color rgb="FFA5A5A5"/>
      </bottom>
      <diagonal/>
    </border>
    <border>
      <left/>
      <right/>
      <top style="thick">
        <color rgb="FFA5A5A5"/>
      </top>
      <bottom style="thick">
        <color rgb="FFA5A5A5"/>
      </bottom>
      <diagonal/>
    </border>
    <border>
      <left/>
      <right style="thick">
        <color rgb="FFA5A5A5"/>
      </right>
      <top style="thick">
        <color rgb="FFA5A5A5"/>
      </top>
      <bottom style="thick">
        <color rgb="FFA5A5A5"/>
      </bottom>
      <diagonal/>
    </border>
    <border>
      <left style="thick">
        <color rgb="FFA5A5A5"/>
      </left>
      <right/>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thick">
        <color rgb="FFA5A5A5"/>
      </right>
      <top/>
      <bottom style="thin">
        <color rgb="FFA5A5A5"/>
      </bottom>
      <diagonal/>
    </border>
    <border>
      <left style="thin">
        <color rgb="FF333399"/>
      </left>
      <right style="thin">
        <color rgb="FF333399"/>
      </right>
      <top style="thin">
        <color rgb="FF333399"/>
      </top>
      <bottom style="thin">
        <color rgb="FF333399"/>
      </bottom>
      <diagonal/>
    </border>
    <border>
      <left style="thin">
        <color rgb="FFA5A5A5"/>
      </left>
      <right style="thin">
        <color rgb="FFA5A5A5"/>
      </right>
      <top style="thin">
        <color rgb="FFA5A5A5"/>
      </top>
      <bottom style="thin">
        <color rgb="FFA5A5A5"/>
      </bottom>
      <diagonal/>
    </border>
    <border>
      <left style="thin">
        <color indexed="64"/>
      </left>
      <right style="thin">
        <color indexed="64"/>
      </right>
      <top style="thin">
        <color indexed="64"/>
      </top>
      <bottom style="thin">
        <color indexed="64"/>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right style="thin">
        <color theme="4" tint="-0.249977111117893"/>
      </right>
      <top/>
      <bottom/>
      <diagonal/>
    </border>
  </borders>
  <cellStyleXfs count="5">
    <xf numFmtId="0" fontId="0" fillId="0" borderId="0"/>
    <xf numFmtId="0" fontId="1" fillId="0" borderId="0"/>
    <xf numFmtId="0" fontId="2" fillId="0" borderId="0"/>
    <xf numFmtId="0" fontId="22" fillId="0" borderId="0"/>
    <xf numFmtId="0" fontId="25" fillId="0" borderId="0"/>
  </cellStyleXfs>
  <cellXfs count="304">
    <xf numFmtId="0" fontId="0" fillId="0" borderId="0" xfId="0"/>
    <xf numFmtId="0" fontId="4" fillId="4" borderId="9" xfId="2" applyFont="1" applyFill="1" applyBorder="1" applyAlignment="1">
      <alignment horizontal="center" vertical="center"/>
    </xf>
    <xf numFmtId="0" fontId="2" fillId="3" borderId="4" xfId="2" applyFill="1" applyBorder="1"/>
    <xf numFmtId="0" fontId="2" fillId="3" borderId="0" xfId="2" applyFill="1"/>
    <xf numFmtId="0" fontId="2" fillId="3" borderId="5" xfId="2" applyFill="1" applyBorder="1"/>
    <xf numFmtId="0" fontId="3" fillId="3" borderId="0" xfId="2" applyFont="1" applyFill="1"/>
    <xf numFmtId="0" fontId="1" fillId="0" borderId="0" xfId="1"/>
    <xf numFmtId="0" fontId="0" fillId="2" borderId="0" xfId="0" applyFill="1"/>
    <xf numFmtId="2" fontId="8" fillId="3" borderId="0" xfId="2" applyNumberFormat="1" applyFont="1" applyFill="1" applyAlignment="1">
      <alignment horizontal="center"/>
    </xf>
    <xf numFmtId="2" fontId="8" fillId="3" borderId="5" xfId="2" applyNumberFormat="1" applyFont="1" applyFill="1" applyBorder="1" applyAlignment="1">
      <alignment horizontal="center"/>
    </xf>
    <xf numFmtId="0" fontId="3" fillId="3" borderId="5" xfId="2" applyFont="1" applyFill="1" applyBorder="1"/>
    <xf numFmtId="0" fontId="2" fillId="3" borderId="0" xfId="2" applyFill="1" applyAlignment="1">
      <alignment horizontal="center" vertical="center"/>
    </xf>
    <xf numFmtId="0" fontId="2" fillId="3" borderId="6" xfId="2" applyFill="1" applyBorder="1"/>
    <xf numFmtId="0" fontId="2" fillId="3" borderId="7" xfId="2" applyFill="1" applyBorder="1" applyAlignment="1">
      <alignment horizontal="center" vertical="center"/>
    </xf>
    <xf numFmtId="0" fontId="2" fillId="3" borderId="7" xfId="2" applyFill="1" applyBorder="1"/>
    <xf numFmtId="0" fontId="2" fillId="3" borderId="8" xfId="2" applyFill="1" applyBorder="1"/>
    <xf numFmtId="0" fontId="1" fillId="2" borderId="0" xfId="1" applyFill="1"/>
    <xf numFmtId="0" fontId="3" fillId="5" borderId="0" xfId="2" applyFont="1" applyFill="1"/>
    <xf numFmtId="0" fontId="2" fillId="5" borderId="0" xfId="2" applyFill="1"/>
    <xf numFmtId="0" fontId="2" fillId="3" borderId="1" xfId="2" applyFill="1" applyBorder="1"/>
    <xf numFmtId="0" fontId="2" fillId="3" borderId="2" xfId="2" applyFill="1" applyBorder="1"/>
    <xf numFmtId="0" fontId="2" fillId="3" borderId="3" xfId="2" applyFill="1" applyBorder="1"/>
    <xf numFmtId="0" fontId="7" fillId="5" borderId="0" xfId="2" applyFont="1" applyFill="1"/>
    <xf numFmtId="0" fontId="13" fillId="3" borderId="9" xfId="2" applyFont="1" applyFill="1" applyBorder="1" applyAlignment="1" applyProtection="1">
      <alignment horizontal="center" vertical="center"/>
      <protection locked="0"/>
    </xf>
    <xf numFmtId="0" fontId="16" fillId="0" borderId="10" xfId="0" applyFont="1" applyBorder="1" applyAlignment="1">
      <alignment vertical="center" wrapText="1"/>
    </xf>
    <xf numFmtId="0" fontId="16" fillId="0" borderId="10" xfId="0" applyFont="1" applyBorder="1" applyAlignment="1">
      <alignment horizontal="center" vertical="center" wrapText="1"/>
    </xf>
    <xf numFmtId="0" fontId="16" fillId="8" borderId="10"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18" fillId="7" borderId="10"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6" fillId="0" borderId="11" xfId="0" applyFont="1" applyBorder="1" applyAlignment="1">
      <alignment horizontal="center" vertical="center" wrapText="1"/>
    </xf>
    <xf numFmtId="0" fontId="15" fillId="8" borderId="11" xfId="0" applyFont="1" applyFill="1" applyBorder="1" applyAlignment="1">
      <alignment horizontal="center" vertical="center" wrapText="1"/>
    </xf>
    <xf numFmtId="0" fontId="18" fillId="7" borderId="11" xfId="0" applyFont="1" applyFill="1" applyBorder="1" applyAlignment="1">
      <alignment horizontal="center" vertical="center" wrapText="1"/>
    </xf>
    <xf numFmtId="0" fontId="19" fillId="7" borderId="11" xfId="0" applyFont="1" applyFill="1" applyBorder="1" applyAlignment="1">
      <alignment horizontal="center" vertical="center" wrapText="1"/>
    </xf>
    <xf numFmtId="0" fontId="17" fillId="9" borderId="11" xfId="0" applyFont="1" applyFill="1" applyBorder="1" applyAlignment="1">
      <alignment horizontal="right"/>
    </xf>
    <xf numFmtId="0" fontId="17" fillId="9" borderId="11" xfId="0" applyFont="1" applyFill="1" applyBorder="1" applyAlignment="1">
      <alignment horizontal="center"/>
    </xf>
    <xf numFmtId="0" fontId="0" fillId="0" borderId="11" xfId="0" applyBorder="1" applyAlignment="1">
      <alignment horizontal="center"/>
    </xf>
    <xf numFmtId="0" fontId="0" fillId="0" borderId="13" xfId="0" applyBorder="1" applyAlignment="1">
      <alignment vertical="center" wrapText="1"/>
    </xf>
    <xf numFmtId="0" fontId="0" fillId="0" borderId="0" xfId="0" applyAlignment="1">
      <alignment vertical="center"/>
    </xf>
    <xf numFmtId="0" fontId="0" fillId="0" borderId="13" xfId="0" quotePrefix="1" applyBorder="1" applyAlignment="1">
      <alignment vertical="center" wrapText="1"/>
    </xf>
    <xf numFmtId="0" fontId="23" fillId="0" borderId="13" xfId="0" applyFont="1" applyBorder="1" applyAlignment="1">
      <alignment vertical="center" wrapText="1"/>
    </xf>
    <xf numFmtId="0" fontId="20" fillId="0" borderId="0" xfId="0" applyFont="1" applyAlignment="1">
      <alignment horizontal="center"/>
    </xf>
    <xf numFmtId="0" fontId="0" fillId="2" borderId="0" xfId="0" applyFill="1" applyAlignment="1">
      <alignment vertical="center"/>
    </xf>
    <xf numFmtId="0" fontId="1" fillId="2" borderId="0" xfId="1" applyFill="1" applyAlignment="1">
      <alignment vertical="center"/>
    </xf>
    <xf numFmtId="0" fontId="25" fillId="0" borderId="0" xfId="4"/>
    <xf numFmtId="0" fontId="25" fillId="0" borderId="0" xfId="4" applyAlignment="1">
      <alignment vertical="center"/>
    </xf>
    <xf numFmtId="0" fontId="29" fillId="0" borderId="10" xfId="0" applyFont="1" applyBorder="1" applyAlignment="1">
      <alignment horizontal="center" vertical="center" wrapText="1"/>
    </xf>
    <xf numFmtId="0" fontId="29" fillId="0" borderId="11" xfId="0" applyFont="1" applyBorder="1" applyAlignment="1">
      <alignment horizontal="center" vertical="center" wrapText="1"/>
    </xf>
    <xf numFmtId="0" fontId="25" fillId="0" borderId="14" xfId="4" applyBorder="1" applyAlignment="1">
      <alignment horizontal="center" vertical="center"/>
    </xf>
    <xf numFmtId="0" fontId="25" fillId="0" borderId="14" xfId="4" applyBorder="1" applyAlignment="1">
      <alignment vertical="center" wrapText="1"/>
    </xf>
    <xf numFmtId="0" fontId="2" fillId="3" borderId="0" xfId="2" applyFill="1" applyAlignment="1">
      <alignment wrapText="1"/>
    </xf>
    <xf numFmtId="0" fontId="2" fillId="6" borderId="16" xfId="2" applyFill="1" applyBorder="1" applyAlignment="1">
      <alignment horizontal="center" vertical="center"/>
    </xf>
    <xf numFmtId="0" fontId="2" fillId="6" borderId="15" xfId="2" applyFill="1" applyBorder="1" applyAlignment="1">
      <alignment horizontal="center" vertical="center"/>
    </xf>
    <xf numFmtId="14" fontId="0" fillId="0" borderId="0" xfId="0" applyNumberFormat="1"/>
    <xf numFmtId="0" fontId="21" fillId="2" borderId="0" xfId="1" applyFont="1" applyFill="1" applyAlignment="1">
      <alignment horizontal="center" vertical="center"/>
    </xf>
    <xf numFmtId="0" fontId="32" fillId="2" borderId="0" xfId="1" applyFont="1" applyFill="1" applyAlignment="1">
      <alignment horizontal="center" vertical="center"/>
    </xf>
    <xf numFmtId="0" fontId="3" fillId="5" borderId="0" xfId="2" applyFont="1" applyFill="1" applyAlignment="1">
      <alignment vertical="center"/>
    </xf>
    <xf numFmtId="0" fontId="2" fillId="5" borderId="0" xfId="2" applyFill="1" applyAlignment="1">
      <alignment vertical="center"/>
    </xf>
    <xf numFmtId="0" fontId="2" fillId="3" borderId="2" xfId="2" applyFill="1" applyBorder="1" applyAlignment="1">
      <alignment horizontal="left" wrapText="1"/>
    </xf>
    <xf numFmtId="0" fontId="2" fillId="3" borderId="2" xfId="2" applyFill="1" applyBorder="1" applyAlignment="1">
      <alignment vertical="center"/>
    </xf>
    <xf numFmtId="0" fontId="2" fillId="3" borderId="2" xfId="2" applyFill="1" applyBorder="1" applyAlignment="1">
      <alignment horizontal="center" vertical="center"/>
    </xf>
    <xf numFmtId="0" fontId="33" fillId="3" borderId="2" xfId="2" applyFont="1" applyFill="1" applyBorder="1" applyAlignment="1">
      <alignment vertical="center"/>
    </xf>
    <xf numFmtId="0" fontId="0" fillId="2" borderId="0" xfId="0" applyFill="1" applyAlignment="1">
      <alignment horizontal="center" vertical="center"/>
    </xf>
    <xf numFmtId="0" fontId="2" fillId="3" borderId="4" xfId="2" applyFill="1" applyBorder="1" applyAlignment="1">
      <alignment vertical="center"/>
    </xf>
    <xf numFmtId="0" fontId="2" fillId="3" borderId="0" xfId="2" applyFill="1" applyAlignment="1">
      <alignment vertical="center"/>
    </xf>
    <xf numFmtId="2" fontId="2" fillId="3" borderId="16" xfId="2" applyNumberFormat="1" applyFill="1" applyBorder="1" applyAlignment="1">
      <alignment horizontal="center" vertical="center"/>
    </xf>
    <xf numFmtId="164" fontId="0" fillId="2" borderId="16" xfId="0" applyNumberFormat="1" applyFill="1" applyBorder="1" applyAlignment="1">
      <alignment horizontal="center" vertical="center"/>
    </xf>
    <xf numFmtId="164" fontId="2" fillId="3" borderId="0" xfId="2" applyNumberFormat="1" applyFill="1" applyAlignment="1">
      <alignment vertical="center"/>
    </xf>
    <xf numFmtId="0" fontId="0" fillId="2" borderId="0" xfId="0" applyFill="1" applyAlignment="1" applyProtection="1">
      <alignment vertical="center"/>
      <protection locked="0"/>
    </xf>
    <xf numFmtId="0" fontId="2" fillId="3" borderId="5" xfId="2" applyFill="1" applyBorder="1" applyAlignment="1">
      <alignment vertical="center"/>
    </xf>
    <xf numFmtId="0" fontId="3" fillId="3" borderId="0" xfId="2" applyFont="1" applyFill="1" applyAlignment="1">
      <alignment vertical="center"/>
    </xf>
    <xf numFmtId="0" fontId="2" fillId="3" borderId="0" xfId="2" applyFill="1" applyAlignment="1">
      <alignment horizontal="left" wrapText="1"/>
    </xf>
    <xf numFmtId="0" fontId="33" fillId="3" borderId="0" xfId="2" applyFont="1" applyFill="1" applyAlignment="1">
      <alignment vertical="center"/>
    </xf>
    <xf numFmtId="0" fontId="2" fillId="3" borderId="0" xfId="2" applyFill="1" applyAlignment="1">
      <alignment horizontal="left"/>
    </xf>
    <xf numFmtId="0" fontId="35" fillId="11" borderId="12" xfId="2" applyFont="1" applyFill="1" applyBorder="1" applyAlignment="1">
      <alignment horizontal="center" vertical="center"/>
    </xf>
    <xf numFmtId="0" fontId="35" fillId="11" borderId="16" xfId="2" applyFont="1" applyFill="1" applyBorder="1" applyAlignment="1">
      <alignment horizontal="center" vertical="center"/>
    </xf>
    <xf numFmtId="0" fontId="2" fillId="12" borderId="12" xfId="2" applyFill="1" applyBorder="1" applyAlignment="1">
      <alignment horizontal="center" vertical="center"/>
    </xf>
    <xf numFmtId="0" fontId="2" fillId="12" borderId="16" xfId="2" applyFill="1" applyBorder="1" applyAlignment="1">
      <alignment horizontal="center" vertical="center"/>
    </xf>
    <xf numFmtId="0" fontId="33" fillId="12" borderId="16" xfId="2" applyFont="1" applyFill="1" applyBorder="1" applyAlignment="1">
      <alignment horizontal="left" vertical="center" wrapText="1"/>
    </xf>
    <xf numFmtId="0" fontId="2" fillId="13" borderId="16" xfId="2" applyFill="1" applyBorder="1" applyAlignment="1">
      <alignment horizontal="center" vertical="center"/>
    </xf>
    <xf numFmtId="0" fontId="2" fillId="3" borderId="16" xfId="2" applyFill="1" applyBorder="1"/>
    <xf numFmtId="0" fontId="2" fillId="3" borderId="16" xfId="2" applyFill="1" applyBorder="1" applyAlignment="1">
      <alignment horizontal="center" vertical="center"/>
    </xf>
    <xf numFmtId="164" fontId="22" fillId="2" borderId="16" xfId="0" applyNumberFormat="1" applyFont="1" applyFill="1" applyBorder="1" applyAlignment="1">
      <alignment horizontal="center" vertical="center"/>
    </xf>
    <xf numFmtId="0" fontId="2" fillId="12" borderId="16" xfId="2" applyFill="1" applyBorder="1" applyAlignment="1">
      <alignment horizontal="left" vertical="center" wrapText="1"/>
    </xf>
    <xf numFmtId="0" fontId="35" fillId="14" borderId="12" xfId="2" applyFont="1" applyFill="1" applyBorder="1" applyAlignment="1">
      <alignment horizontal="center" vertical="center"/>
    </xf>
    <xf numFmtId="0" fontId="26" fillId="14" borderId="16" xfId="2" applyFont="1" applyFill="1" applyBorder="1" applyAlignment="1">
      <alignment horizontal="center" vertical="center"/>
    </xf>
    <xf numFmtId="0" fontId="2" fillId="15" borderId="16" xfId="2" quotePrefix="1" applyFill="1" applyBorder="1" applyAlignment="1">
      <alignment horizontal="center" vertical="center"/>
    </xf>
    <xf numFmtId="0" fontId="2" fillId="16" borderId="16" xfId="2" quotePrefix="1" applyFill="1" applyBorder="1" applyAlignment="1">
      <alignment horizontal="center" vertical="center"/>
    </xf>
    <xf numFmtId="0" fontId="2" fillId="16" borderId="16" xfId="2" applyFill="1" applyBorder="1" applyAlignment="1">
      <alignment horizontal="center" vertical="center"/>
    </xf>
    <xf numFmtId="0" fontId="26" fillId="3" borderId="16" xfId="2" quotePrefix="1" applyFont="1" applyFill="1" applyBorder="1" applyAlignment="1">
      <alignment vertical="center" wrapText="1"/>
    </xf>
    <xf numFmtId="0" fontId="25" fillId="3" borderId="16" xfId="2" applyFont="1" applyFill="1" applyBorder="1" applyAlignment="1">
      <alignment vertical="center" wrapText="1"/>
    </xf>
    <xf numFmtId="0" fontId="37" fillId="3" borderId="16" xfId="2" applyFont="1" applyFill="1" applyBorder="1" applyAlignment="1">
      <alignment vertical="center" wrapText="1"/>
    </xf>
    <xf numFmtId="0" fontId="0" fillId="2" borderId="16" xfId="0" applyFill="1" applyBorder="1"/>
    <xf numFmtId="0" fontId="2" fillId="13" borderId="16" xfId="2" applyFill="1" applyBorder="1" applyAlignment="1">
      <alignment horizontal="center" vertical="center" wrapText="1"/>
    </xf>
    <xf numFmtId="0" fontId="2" fillId="15" borderId="16" xfId="2" quotePrefix="1" applyFill="1" applyBorder="1" applyAlignment="1">
      <alignment horizontal="center" vertical="center" wrapText="1"/>
    </xf>
    <xf numFmtId="0" fontId="2" fillId="16" borderId="16" xfId="2" quotePrefix="1" applyFill="1" applyBorder="1" applyAlignment="1">
      <alignment horizontal="center" vertical="center" wrapText="1"/>
    </xf>
    <xf numFmtId="0" fontId="37" fillId="3" borderId="16" xfId="2" applyFont="1" applyFill="1" applyBorder="1" applyAlignment="1">
      <alignment wrapText="1"/>
    </xf>
    <xf numFmtId="0" fontId="37" fillId="13" borderId="16" xfId="2" applyFont="1" applyFill="1" applyBorder="1" applyAlignment="1">
      <alignment horizontal="center" vertical="center"/>
    </xf>
    <xf numFmtId="0" fontId="37" fillId="15" borderId="16" xfId="2" quotePrefix="1" applyFont="1" applyFill="1" applyBorder="1" applyAlignment="1">
      <alignment horizontal="center" vertical="center"/>
    </xf>
    <xf numFmtId="0" fontId="37" fillId="16" borderId="16" xfId="2" applyFont="1" applyFill="1" applyBorder="1" applyAlignment="1">
      <alignment horizontal="center" vertical="center"/>
    </xf>
    <xf numFmtId="0" fontId="37" fillId="16" borderId="16" xfId="2" quotePrefix="1" applyFont="1" applyFill="1" applyBorder="1" applyAlignment="1">
      <alignment horizontal="center" vertical="center"/>
    </xf>
    <xf numFmtId="0" fontId="2" fillId="3" borderId="16" xfId="2" applyFill="1" applyBorder="1" applyAlignment="1">
      <alignment vertical="center" wrapText="1"/>
    </xf>
    <xf numFmtId="0" fontId="2" fillId="3" borderId="16" xfId="2" applyFill="1" applyBorder="1" applyAlignment="1">
      <alignment wrapText="1"/>
    </xf>
    <xf numFmtId="0" fontId="2" fillId="3" borderId="4" xfId="2" applyFill="1" applyBorder="1" applyAlignment="1">
      <alignment wrapText="1"/>
    </xf>
    <xf numFmtId="0" fontId="2" fillId="12" borderId="12" xfId="2" applyFill="1" applyBorder="1" applyAlignment="1">
      <alignment horizontal="center" vertical="center" wrapText="1"/>
    </xf>
    <xf numFmtId="0" fontId="2" fillId="12" borderId="16" xfId="2" applyFill="1" applyBorder="1" applyAlignment="1">
      <alignment horizontal="center" vertical="center" wrapText="1"/>
    </xf>
    <xf numFmtId="0" fontId="2" fillId="6" borderId="16" xfId="2" applyFill="1" applyBorder="1" applyAlignment="1">
      <alignment horizontal="center" vertical="center" wrapText="1"/>
    </xf>
    <xf numFmtId="0" fontId="37" fillId="15" borderId="16" xfId="2" quotePrefix="1" applyFont="1" applyFill="1" applyBorder="1" applyAlignment="1">
      <alignment horizontal="center" vertical="center" wrapText="1"/>
    </xf>
    <xf numFmtId="0" fontId="3" fillId="3" borderId="5" xfId="2" applyFont="1" applyFill="1" applyBorder="1" applyAlignment="1">
      <alignment wrapText="1"/>
    </xf>
    <xf numFmtId="0" fontId="3" fillId="3" borderId="0" xfId="2" applyFont="1" applyFill="1" applyAlignment="1">
      <alignment wrapText="1"/>
    </xf>
    <xf numFmtId="0" fontId="1" fillId="2" borderId="0" xfId="1" applyFill="1" applyAlignment="1">
      <alignment wrapText="1"/>
    </xf>
    <xf numFmtId="0" fontId="7" fillId="5" borderId="0" xfId="2" applyFont="1" applyFill="1" applyAlignment="1">
      <alignment wrapText="1"/>
    </xf>
    <xf numFmtId="0" fontId="0" fillId="2" borderId="0" xfId="0" applyFill="1" applyAlignment="1">
      <alignment wrapText="1"/>
    </xf>
    <xf numFmtId="0" fontId="2" fillId="16" borderId="16" xfId="2" applyFill="1" applyBorder="1" applyAlignment="1">
      <alignment horizontal="center" vertical="center" wrapText="1"/>
    </xf>
    <xf numFmtId="0" fontId="37" fillId="13" borderId="16" xfId="2" applyFont="1" applyFill="1" applyBorder="1" applyAlignment="1">
      <alignment horizontal="center" vertical="center" wrapText="1"/>
    </xf>
    <xf numFmtId="0" fontId="2" fillId="12" borderId="15" xfId="2" applyFill="1" applyBorder="1" applyAlignment="1">
      <alignment horizontal="center" vertical="center"/>
    </xf>
    <xf numFmtId="0" fontId="2" fillId="12" borderId="15" xfId="2" applyFill="1" applyBorder="1" applyAlignment="1">
      <alignment horizontal="left" vertical="center" wrapText="1"/>
    </xf>
    <xf numFmtId="0" fontId="37" fillId="15" borderId="15" xfId="2" quotePrefix="1" applyFont="1" applyFill="1" applyBorder="1" applyAlignment="1">
      <alignment horizontal="center" vertical="center"/>
    </xf>
    <xf numFmtId="0" fontId="37" fillId="16" borderId="15" xfId="2" quotePrefix="1" applyFont="1" applyFill="1" applyBorder="1" applyAlignment="1">
      <alignment horizontal="center" vertical="center"/>
    </xf>
    <xf numFmtId="0" fontId="2" fillId="3" borderId="15" xfId="2" applyFill="1" applyBorder="1"/>
    <xf numFmtId="0" fontId="2" fillId="3" borderId="0" xfId="2" applyFill="1" applyAlignment="1">
      <alignment horizontal="left" vertical="center" wrapText="1"/>
    </xf>
    <xf numFmtId="0" fontId="2" fillId="3" borderId="7" xfId="2" applyFill="1" applyBorder="1" applyAlignment="1">
      <alignment horizontal="left" vertical="center" wrapText="1"/>
    </xf>
    <xf numFmtId="0" fontId="2" fillId="3" borderId="7" xfId="2" applyFill="1" applyBorder="1" applyAlignment="1">
      <alignment vertical="center"/>
    </xf>
    <xf numFmtId="0" fontId="33" fillId="3" borderId="7" xfId="2" applyFont="1" applyFill="1" applyBorder="1" applyAlignment="1">
      <alignment vertical="center"/>
    </xf>
    <xf numFmtId="0" fontId="0" fillId="2" borderId="0" xfId="0" applyFill="1" applyAlignment="1">
      <alignment horizontal="left" wrapText="1"/>
    </xf>
    <xf numFmtId="0" fontId="22" fillId="2" borderId="0" xfId="0" applyFont="1" applyFill="1" applyAlignment="1">
      <alignment vertical="center"/>
    </xf>
    <xf numFmtId="0" fontId="38" fillId="0" borderId="0" xfId="0" applyFont="1"/>
    <xf numFmtId="0" fontId="39" fillId="17" borderId="0" xfId="0" applyFont="1" applyFill="1" applyAlignment="1">
      <alignment horizontal="center"/>
    </xf>
    <xf numFmtId="0" fontId="39" fillId="17" borderId="0" xfId="0" applyFont="1" applyFill="1"/>
    <xf numFmtId="0" fontId="37" fillId="3" borderId="16" xfId="2" applyFont="1" applyFill="1" applyBorder="1" applyAlignment="1">
      <alignment horizontal="center" vertical="center" wrapText="1"/>
    </xf>
    <xf numFmtId="0" fontId="2" fillId="3" borderId="16" xfId="2" applyFill="1" applyBorder="1" applyAlignment="1">
      <alignment horizontal="center" vertical="center" wrapText="1"/>
    </xf>
    <xf numFmtId="0" fontId="38" fillId="17" borderId="0" xfId="0" applyFont="1" applyFill="1"/>
    <xf numFmtId="0" fontId="25" fillId="18" borderId="1" xfId="0" applyFont="1" applyFill="1" applyBorder="1"/>
    <xf numFmtId="0" fontId="25" fillId="18" borderId="2" xfId="0" applyFont="1" applyFill="1" applyBorder="1"/>
    <xf numFmtId="0" fontId="25" fillId="18" borderId="3" xfId="0" applyFont="1" applyFill="1" applyBorder="1"/>
    <xf numFmtId="0" fontId="25" fillId="18" borderId="4" xfId="0" applyFont="1" applyFill="1" applyBorder="1"/>
    <xf numFmtId="0" fontId="25" fillId="18" borderId="0" xfId="0" applyFont="1" applyFill="1"/>
    <xf numFmtId="0" fontId="27" fillId="19" borderId="24" xfId="0" applyFont="1" applyFill="1" applyBorder="1" applyAlignment="1">
      <alignment horizontal="center" vertical="center"/>
    </xf>
    <xf numFmtId="0" fontId="25" fillId="0" borderId="24" xfId="0" applyFont="1" applyBorder="1" applyAlignment="1">
      <alignment horizontal="center" vertical="center"/>
    </xf>
    <xf numFmtId="0" fontId="25" fillId="0" borderId="24" xfId="0" applyFont="1" applyBorder="1" applyAlignment="1">
      <alignment horizontal="left" vertical="center"/>
    </xf>
    <xf numFmtId="164" fontId="42" fillId="18" borderId="24" xfId="0" applyNumberFormat="1" applyFont="1" applyFill="1" applyBorder="1" applyAlignment="1">
      <alignment horizontal="center" vertical="center"/>
    </xf>
    <xf numFmtId="0" fontId="43" fillId="0" borderId="24" xfId="0" applyFont="1" applyBorder="1" applyAlignment="1">
      <alignment horizontal="left" vertical="center"/>
    </xf>
    <xf numFmtId="0" fontId="44" fillId="20" borderId="24" xfId="0" applyFont="1" applyFill="1" applyBorder="1" applyAlignment="1">
      <alignment horizontal="left" vertical="center" wrapText="1"/>
    </xf>
    <xf numFmtId="0" fontId="45" fillId="0" borderId="24" xfId="0" applyFont="1" applyBorder="1" applyAlignment="1">
      <alignment horizontal="left" vertical="center" wrapText="1"/>
    </xf>
    <xf numFmtId="0" fontId="43" fillId="0" borderId="24" xfId="0" applyFont="1" applyBorder="1" applyAlignment="1">
      <alignment horizontal="left" vertical="center" wrapText="1"/>
    </xf>
    <xf numFmtId="0" fontId="25" fillId="18" borderId="0" xfId="0" applyFont="1" applyFill="1" applyAlignment="1">
      <alignment horizontal="center" vertical="center"/>
    </xf>
    <xf numFmtId="0" fontId="25" fillId="18" borderId="6" xfId="0" applyFont="1" applyFill="1" applyBorder="1"/>
    <xf numFmtId="0" fontId="25" fillId="18" borderId="7" xfId="0" applyFont="1" applyFill="1" applyBorder="1" applyAlignment="1">
      <alignment horizontal="center" vertical="center"/>
    </xf>
    <xf numFmtId="0" fontId="38" fillId="17" borderId="8" xfId="0" applyFont="1" applyFill="1" applyBorder="1"/>
    <xf numFmtId="0" fontId="46" fillId="17" borderId="0" xfId="0" applyFont="1" applyFill="1"/>
    <xf numFmtId="0" fontId="48" fillId="21" borderId="27" xfId="0" applyFont="1" applyFill="1" applyBorder="1" applyAlignment="1">
      <alignment horizontal="center" vertical="center"/>
    </xf>
    <xf numFmtId="0" fontId="48" fillId="21" borderId="32" xfId="0" applyFont="1" applyFill="1" applyBorder="1" applyAlignment="1">
      <alignment horizontal="center" vertical="center"/>
    </xf>
    <xf numFmtId="0" fontId="48" fillId="21" borderId="37" xfId="0" applyFont="1" applyFill="1" applyBorder="1" applyAlignment="1">
      <alignment horizontal="center" vertical="center"/>
    </xf>
    <xf numFmtId="0" fontId="46" fillId="17" borderId="0" xfId="0" applyFont="1" applyFill="1" applyAlignment="1">
      <alignment vertical="center"/>
    </xf>
    <xf numFmtId="0" fontId="48" fillId="22" borderId="42" xfId="0" applyFont="1" applyFill="1" applyBorder="1" applyAlignment="1">
      <alignment horizontal="center" vertical="center"/>
    </xf>
    <xf numFmtId="9" fontId="46" fillId="21" borderId="48" xfId="0" applyNumberFormat="1" applyFont="1" applyFill="1" applyBorder="1" applyAlignment="1">
      <alignment horizontal="center" vertical="center"/>
    </xf>
    <xf numFmtId="0" fontId="25" fillId="18" borderId="51" xfId="0" applyFont="1" applyFill="1" applyBorder="1" applyAlignment="1">
      <alignment horizontal="center" vertical="center"/>
    </xf>
    <xf numFmtId="0" fontId="26" fillId="3" borderId="16" xfId="2" applyFont="1" applyFill="1" applyBorder="1" applyAlignment="1">
      <alignment vertical="center" wrapText="1"/>
    </xf>
    <xf numFmtId="0" fontId="27" fillId="23" borderId="14" xfId="4" applyFont="1" applyFill="1" applyBorder="1" applyAlignment="1">
      <alignment vertical="center" wrapText="1"/>
    </xf>
    <xf numFmtId="0" fontId="27" fillId="23" borderId="14" xfId="1" applyFont="1" applyFill="1" applyBorder="1" applyAlignment="1">
      <alignment horizontal="center" vertical="center" wrapText="1"/>
    </xf>
    <xf numFmtId="0" fontId="10" fillId="25" borderId="10" xfId="2" applyFont="1" applyFill="1" applyBorder="1" applyAlignment="1">
      <alignment horizontal="center" vertical="center"/>
    </xf>
    <xf numFmtId="0" fontId="10" fillId="25" borderId="10" xfId="2" applyFont="1" applyFill="1" applyBorder="1" applyAlignment="1">
      <alignment horizontal="center" vertical="center" wrapText="1"/>
    </xf>
    <xf numFmtId="0" fontId="10" fillId="25" borderId="11" xfId="2" applyFont="1" applyFill="1" applyBorder="1" applyAlignment="1">
      <alignment horizontal="center" vertical="center"/>
    </xf>
    <xf numFmtId="0" fontId="10" fillId="25" borderId="11" xfId="2" applyFont="1" applyFill="1" applyBorder="1" applyAlignment="1">
      <alignment horizontal="center" vertical="center" wrapText="1"/>
    </xf>
    <xf numFmtId="0" fontId="41" fillId="27" borderId="24" xfId="0" applyFont="1" applyFill="1" applyBorder="1" applyAlignment="1">
      <alignment horizontal="center" vertical="center" wrapText="1"/>
    </xf>
    <xf numFmtId="0" fontId="6" fillId="25" borderId="9" xfId="2" applyFont="1" applyFill="1" applyBorder="1" applyAlignment="1">
      <alignment horizontal="center" vertical="center"/>
    </xf>
    <xf numFmtId="0" fontId="10" fillId="25" borderId="18" xfId="2" applyFont="1" applyFill="1" applyBorder="1" applyAlignment="1">
      <alignment horizontal="center" vertical="center"/>
    </xf>
    <xf numFmtId="0" fontId="10" fillId="25" borderId="16" xfId="2" applyFont="1" applyFill="1" applyBorder="1" applyAlignment="1">
      <alignment horizontal="center" vertical="center"/>
    </xf>
    <xf numFmtId="0" fontId="10" fillId="25" borderId="16" xfId="2" applyFont="1" applyFill="1" applyBorder="1" applyAlignment="1">
      <alignment horizontal="left" vertical="center" wrapText="1"/>
    </xf>
    <xf numFmtId="0" fontId="10" fillId="25" borderId="16" xfId="2" applyFont="1" applyFill="1" applyBorder="1" applyAlignment="1">
      <alignment horizontal="center" vertical="center" wrapText="1"/>
    </xf>
    <xf numFmtId="0" fontId="34" fillId="25" borderId="16" xfId="2" applyFont="1" applyFill="1" applyBorder="1" applyAlignment="1">
      <alignment horizontal="center" vertical="center" wrapText="1"/>
    </xf>
    <xf numFmtId="0" fontId="34" fillId="25" borderId="9" xfId="2" applyFont="1" applyFill="1" applyBorder="1" applyAlignment="1">
      <alignment horizontal="center" vertical="center"/>
    </xf>
    <xf numFmtId="0" fontId="49" fillId="30" borderId="27" xfId="0" applyFont="1" applyFill="1" applyBorder="1" applyAlignment="1">
      <alignment horizontal="center" vertical="center"/>
    </xf>
    <xf numFmtId="0" fontId="49" fillId="30" borderId="42" xfId="0" applyFont="1" applyFill="1" applyBorder="1" applyAlignment="1">
      <alignment horizontal="center" vertical="center"/>
    </xf>
    <xf numFmtId="0" fontId="24" fillId="0" borderId="11" xfId="0" applyFont="1" applyBorder="1"/>
    <xf numFmtId="0" fontId="50" fillId="0" borderId="52" xfId="4" applyFont="1" applyBorder="1" applyAlignment="1">
      <alignment vertical="center" wrapText="1"/>
    </xf>
    <xf numFmtId="0" fontId="23" fillId="2" borderId="53" xfId="0" applyFont="1" applyFill="1" applyBorder="1" applyAlignment="1">
      <alignment horizontal="left" vertical="center" wrapText="1"/>
    </xf>
    <xf numFmtId="0" fontId="31" fillId="0" borderId="13" xfId="0" applyFont="1" applyBorder="1" applyAlignment="1">
      <alignment vertical="center" wrapText="1"/>
    </xf>
    <xf numFmtId="0" fontId="53" fillId="3" borderId="16" xfId="2" applyFont="1" applyFill="1" applyBorder="1" applyAlignment="1">
      <alignment vertical="center" wrapText="1"/>
    </xf>
    <xf numFmtId="0" fontId="36" fillId="14" borderId="16" xfId="2" applyFont="1" applyFill="1" applyBorder="1" applyAlignment="1">
      <alignment horizontal="center" vertical="center"/>
    </xf>
    <xf numFmtId="14" fontId="26" fillId="0" borderId="14" xfId="4" applyNumberFormat="1" applyFont="1" applyBorder="1" applyAlignment="1">
      <alignment horizontal="center" vertical="center" wrapText="1"/>
    </xf>
    <xf numFmtId="9" fontId="48" fillId="21" borderId="33" xfId="0" applyNumberFormat="1" applyFont="1" applyFill="1" applyBorder="1" applyAlignment="1">
      <alignment horizontal="center" vertical="center"/>
    </xf>
    <xf numFmtId="9" fontId="46" fillId="21" borderId="38" xfId="0" applyNumberFormat="1" applyFont="1" applyFill="1" applyBorder="1" applyAlignment="1">
      <alignment horizontal="center" vertical="center"/>
    </xf>
    <xf numFmtId="0" fontId="55" fillId="0" borderId="54" xfId="0" applyFont="1" applyBorder="1" applyAlignment="1">
      <alignment vertical="center"/>
    </xf>
    <xf numFmtId="0" fontId="56" fillId="0" borderId="54" xfId="0" applyFont="1" applyBorder="1" applyAlignment="1">
      <alignment horizontal="center" vertical="center" wrapText="1"/>
    </xf>
    <xf numFmtId="0" fontId="54" fillId="8" borderId="54" xfId="0" applyFont="1" applyFill="1" applyBorder="1" applyAlignment="1">
      <alignment horizontal="center" vertical="center"/>
    </xf>
    <xf numFmtId="0" fontId="54" fillId="8" borderId="54" xfId="0" applyFont="1" applyFill="1" applyBorder="1" applyAlignment="1">
      <alignment horizontal="center" vertical="center" wrapText="1"/>
    </xf>
    <xf numFmtId="0" fontId="57" fillId="0" borderId="13" xfId="0" quotePrefix="1" applyFont="1" applyBorder="1" applyAlignment="1">
      <alignment vertical="center" wrapText="1"/>
    </xf>
    <xf numFmtId="0" fontId="39" fillId="3" borderId="16" xfId="2" applyFont="1" applyFill="1" applyBorder="1" applyAlignment="1">
      <alignment vertical="center" wrapText="1"/>
    </xf>
    <xf numFmtId="0" fontId="57" fillId="0" borderId="13" xfId="0" applyFont="1" applyBorder="1" applyAlignment="1">
      <alignment vertical="center" wrapText="1"/>
    </xf>
    <xf numFmtId="0" fontId="53" fillId="3" borderId="16" xfId="2" quotePrefix="1" applyFont="1" applyFill="1" applyBorder="1" applyAlignment="1">
      <alignment vertical="center" wrapText="1"/>
    </xf>
    <xf numFmtId="0" fontId="52" fillId="3" borderId="16" xfId="2" applyFont="1" applyFill="1" applyBorder="1" applyAlignment="1">
      <alignment vertical="center" wrapText="1"/>
    </xf>
    <xf numFmtId="0" fontId="59" fillId="3" borderId="16" xfId="2" applyFont="1" applyFill="1" applyBorder="1" applyAlignment="1">
      <alignment vertical="center" wrapText="1"/>
    </xf>
    <xf numFmtId="0" fontId="23" fillId="0" borderId="13" xfId="0" quotePrefix="1" applyFont="1" applyBorder="1" applyAlignment="1">
      <alignment vertical="center" wrapText="1"/>
    </xf>
    <xf numFmtId="0" fontId="39" fillId="3" borderId="16" xfId="2" quotePrefix="1" applyFont="1" applyFill="1" applyBorder="1" applyAlignment="1">
      <alignment vertical="center" wrapText="1"/>
    </xf>
    <xf numFmtId="0" fontId="25" fillId="0" borderId="14" xfId="4" applyBorder="1" applyAlignment="1">
      <alignment vertical="center"/>
    </xf>
    <xf numFmtId="14" fontId="25" fillId="0" borderId="14" xfId="4" applyNumberFormat="1" applyBorder="1" applyAlignment="1">
      <alignment horizontal="center" vertical="center" wrapText="1"/>
    </xf>
    <xf numFmtId="0" fontId="14" fillId="3" borderId="14" xfId="2" applyFont="1" applyFill="1" applyBorder="1" applyAlignment="1">
      <alignment horizontal="center"/>
    </xf>
    <xf numFmtId="0" fontId="14" fillId="3" borderId="53" xfId="2" applyFont="1" applyFill="1" applyBorder="1" applyAlignment="1">
      <alignment horizontal="center" vertical="center"/>
    </xf>
    <xf numFmtId="0" fontId="61" fillId="0" borderId="13" xfId="0" applyFont="1" applyBorder="1" applyAlignment="1">
      <alignment vertical="center" wrapText="1"/>
    </xf>
    <xf numFmtId="0" fontId="28" fillId="0" borderId="14" xfId="4" applyFont="1" applyBorder="1" applyAlignment="1">
      <alignment horizontal="left" vertical="center" wrapText="1"/>
    </xf>
    <xf numFmtId="0" fontId="26" fillId="0" borderId="14" xfId="4" applyFont="1" applyBorder="1"/>
    <xf numFmtId="0" fontId="11" fillId="26" borderId="14" xfId="1" applyFont="1" applyFill="1" applyBorder="1" applyAlignment="1">
      <alignment horizontal="center" vertical="center" wrapText="1"/>
    </xf>
    <xf numFmtId="0" fontId="30" fillId="26" borderId="14" xfId="1" applyFont="1" applyFill="1" applyBorder="1"/>
    <xf numFmtId="0" fontId="25" fillId="0" borderId="0" xfId="4" applyAlignment="1">
      <alignment horizontal="center"/>
    </xf>
    <xf numFmtId="0" fontId="25" fillId="0" borderId="14" xfId="4" applyBorder="1" applyAlignment="1">
      <alignment horizontal="left" vertical="center" wrapText="1"/>
    </xf>
    <xf numFmtId="14" fontId="26" fillId="0" borderId="14" xfId="4" applyNumberFormat="1" applyFont="1" applyBorder="1" applyAlignment="1">
      <alignment horizontal="left" vertical="center" wrapText="1"/>
    </xf>
    <xf numFmtId="165" fontId="25" fillId="0" borderId="14" xfId="4" applyNumberFormat="1" applyBorder="1" applyAlignment="1">
      <alignment horizontal="left" vertical="center" wrapText="1"/>
    </xf>
    <xf numFmtId="0" fontId="0" fillId="7" borderId="11" xfId="0" applyFill="1" applyBorder="1" applyAlignment="1">
      <alignment vertical="center" wrapText="1"/>
    </xf>
    <xf numFmtId="0" fontId="0" fillId="10" borderId="11" xfId="0" quotePrefix="1" applyFill="1" applyBorder="1" applyAlignment="1">
      <alignment vertical="center" wrapText="1"/>
    </xf>
    <xf numFmtId="0" fontId="17" fillId="9" borderId="11" xfId="0" applyFont="1" applyFill="1" applyBorder="1" applyAlignment="1">
      <alignment horizontal="center"/>
    </xf>
    <xf numFmtId="0" fontId="10" fillId="25" borderId="11" xfId="2" applyFont="1" applyFill="1" applyBorder="1" applyAlignment="1">
      <alignment horizontal="center" vertical="center"/>
    </xf>
    <xf numFmtId="0" fontId="20" fillId="0" borderId="0" xfId="0" applyFont="1" applyAlignment="1">
      <alignment horizontal="center"/>
    </xf>
    <xf numFmtId="0" fontId="0" fillId="0" borderId="0" xfId="0" applyAlignment="1">
      <alignment horizontal="center"/>
    </xf>
    <xf numFmtId="0" fontId="19" fillId="9" borderId="11" xfId="0" applyFont="1" applyFill="1" applyBorder="1" applyAlignment="1">
      <alignment horizontal="center" vertical="center" wrapText="1"/>
    </xf>
    <xf numFmtId="0" fontId="15" fillId="7" borderId="11" xfId="0" applyFont="1" applyFill="1" applyBorder="1" applyAlignment="1">
      <alignment horizontal="right" vertical="center" wrapText="1"/>
    </xf>
    <xf numFmtId="0" fontId="15" fillId="7" borderId="10" xfId="0" applyFont="1" applyFill="1" applyBorder="1" applyAlignment="1">
      <alignment horizontal="right" vertical="center" wrapText="1"/>
    </xf>
    <xf numFmtId="0" fontId="10" fillId="25" borderId="10" xfId="2" applyFont="1" applyFill="1" applyBorder="1" applyAlignment="1">
      <alignment horizontal="center" vertical="center"/>
    </xf>
    <xf numFmtId="0" fontId="55" fillId="0" borderId="54" xfId="0" applyFont="1" applyBorder="1" applyAlignment="1">
      <alignment vertical="center"/>
    </xf>
    <xf numFmtId="0" fontId="56" fillId="0" borderId="54" xfId="0" applyFont="1" applyBorder="1" applyAlignment="1">
      <alignment horizontal="center" vertical="center" wrapText="1"/>
    </xf>
    <xf numFmtId="0" fontId="54" fillId="8" borderId="54" xfId="0" applyFont="1" applyFill="1" applyBorder="1" applyAlignment="1">
      <alignment horizontal="center" vertical="center"/>
    </xf>
    <xf numFmtId="0" fontId="56" fillId="0" borderId="54" xfId="0" applyFont="1" applyBorder="1" applyAlignment="1">
      <alignment vertical="center" wrapText="1"/>
    </xf>
    <xf numFmtId="0" fontId="56" fillId="0" borderId="55" xfId="0" applyFont="1" applyBorder="1" applyAlignment="1">
      <alignment vertical="center" wrapText="1"/>
    </xf>
    <xf numFmtId="0" fontId="56" fillId="0" borderId="56" xfId="0" applyFont="1" applyBorder="1" applyAlignment="1">
      <alignment vertical="center" wrapText="1"/>
    </xf>
    <xf numFmtId="0" fontId="56" fillId="0" borderId="57" xfId="0" applyFont="1" applyBorder="1" applyAlignment="1">
      <alignment vertical="center" wrapText="1"/>
    </xf>
    <xf numFmtId="0" fontId="40" fillId="17" borderId="7" xfId="0" applyFont="1" applyFill="1" applyBorder="1" applyAlignment="1">
      <alignment horizontal="center" vertical="center"/>
    </xf>
    <xf numFmtId="0" fontId="27" fillId="19" borderId="22" xfId="0" applyFont="1" applyFill="1" applyBorder="1" applyAlignment="1">
      <alignment horizontal="center" vertical="center"/>
    </xf>
    <xf numFmtId="0" fontId="26" fillId="0" borderId="25" xfId="0" applyFont="1" applyBorder="1"/>
    <xf numFmtId="0" fontId="26" fillId="0" borderId="23" xfId="0" applyFont="1" applyBorder="1"/>
    <xf numFmtId="0" fontId="12" fillId="28" borderId="0" xfId="0" applyFont="1" applyFill="1" applyAlignment="1">
      <alignment horizontal="center" vertical="center" wrapText="1"/>
    </xf>
    <xf numFmtId="0" fontId="26" fillId="24" borderId="0" xfId="0" applyFont="1" applyFill="1"/>
    <xf numFmtId="0" fontId="41" fillId="27" borderId="22" xfId="0" applyFont="1" applyFill="1" applyBorder="1" applyAlignment="1">
      <alignment horizontal="center" vertical="center"/>
    </xf>
    <xf numFmtId="0" fontId="26" fillId="26" borderId="23" xfId="0" applyFont="1" applyFill="1" applyBorder="1"/>
    <xf numFmtId="0" fontId="27" fillId="19" borderId="25" xfId="0" applyFont="1" applyFill="1" applyBorder="1" applyAlignment="1">
      <alignment horizontal="center" vertical="center"/>
    </xf>
    <xf numFmtId="0" fontId="27" fillId="19" borderId="23" xfId="0" applyFont="1" applyFill="1" applyBorder="1" applyAlignment="1">
      <alignment horizontal="center" vertical="center"/>
    </xf>
    <xf numFmtId="164" fontId="28" fillId="3" borderId="16" xfId="2" applyNumberFormat="1" applyFont="1" applyFill="1" applyBorder="1" applyAlignment="1">
      <alignment horizontal="center" vertical="center" wrapText="1"/>
    </xf>
    <xf numFmtId="164" fontId="9" fillId="3" borderId="16" xfId="2" applyNumberFormat="1" applyFont="1" applyFill="1" applyBorder="1" applyAlignment="1">
      <alignment horizontal="center" vertical="center" wrapText="1"/>
    </xf>
    <xf numFmtId="0" fontId="26" fillId="14" borderId="16" xfId="2" applyFont="1" applyFill="1" applyBorder="1" applyAlignment="1">
      <alignment horizontal="left" vertical="center"/>
    </xf>
    <xf numFmtId="164" fontId="9" fillId="3" borderId="16" xfId="2" applyNumberFormat="1" applyFont="1" applyFill="1" applyBorder="1" applyAlignment="1">
      <alignment horizontal="center" vertical="center"/>
    </xf>
    <xf numFmtId="164" fontId="9" fillId="3" borderId="19" xfId="2" applyNumberFormat="1" applyFont="1" applyFill="1" applyBorder="1" applyAlignment="1">
      <alignment horizontal="center" vertical="center" wrapText="1"/>
    </xf>
    <xf numFmtId="164" fontId="9" fillId="3" borderId="20" xfId="2" applyNumberFormat="1" applyFont="1" applyFill="1" applyBorder="1" applyAlignment="1">
      <alignment horizontal="center" vertical="center" wrapText="1"/>
    </xf>
    <xf numFmtId="0" fontId="26" fillId="14" borderId="19" xfId="2" applyFont="1" applyFill="1" applyBorder="1" applyAlignment="1">
      <alignment horizontal="left" vertical="center"/>
    </xf>
    <xf numFmtId="0" fontId="26" fillId="14" borderId="21" xfId="2" applyFont="1" applyFill="1" applyBorder="1" applyAlignment="1">
      <alignment horizontal="left" vertical="center"/>
    </xf>
    <xf numFmtId="0" fontId="26" fillId="14" borderId="20" xfId="2" applyFont="1" applyFill="1" applyBorder="1" applyAlignment="1">
      <alignment horizontal="left" vertical="center"/>
    </xf>
    <xf numFmtId="164" fontId="9" fillId="3" borderId="19" xfId="2" applyNumberFormat="1" applyFont="1" applyFill="1" applyBorder="1" applyAlignment="1">
      <alignment horizontal="center" vertical="center"/>
    </xf>
    <xf numFmtId="164" fontId="9" fillId="3" borderId="20" xfId="2" applyNumberFormat="1" applyFont="1" applyFill="1" applyBorder="1" applyAlignment="1">
      <alignment horizontal="center" vertical="center"/>
    </xf>
    <xf numFmtId="0" fontId="35" fillId="11" borderId="16" xfId="2" applyFont="1" applyFill="1" applyBorder="1" applyAlignment="1">
      <alignment horizontal="left" vertical="center"/>
    </xf>
    <xf numFmtId="0" fontId="36" fillId="14" borderId="16" xfId="2" applyFont="1" applyFill="1" applyBorder="1" applyAlignment="1">
      <alignment horizontal="left" vertical="center"/>
    </xf>
    <xf numFmtId="0" fontId="21" fillId="2" borderId="7" xfId="1" applyFont="1" applyFill="1" applyBorder="1" applyAlignment="1">
      <alignment horizontal="center" vertical="center"/>
    </xf>
    <xf numFmtId="0" fontId="3" fillId="3" borderId="0" xfId="2" applyFont="1" applyFill="1" applyAlignment="1">
      <alignment horizontal="center"/>
    </xf>
    <xf numFmtId="0" fontId="12" fillId="29" borderId="0" xfId="2" applyFont="1" applyFill="1" applyAlignment="1">
      <alignment horizontal="center" vertical="center" wrapText="1"/>
    </xf>
    <xf numFmtId="0" fontId="5" fillId="29" borderId="0" xfId="2" applyFont="1" applyFill="1" applyAlignment="1">
      <alignment horizontal="center" vertical="center" wrapText="1"/>
    </xf>
    <xf numFmtId="0" fontId="0" fillId="2" borderId="17" xfId="0" applyFill="1" applyBorder="1" applyAlignment="1">
      <alignment horizontal="center" vertical="center"/>
    </xf>
    <xf numFmtId="0" fontId="10" fillId="25" borderId="16" xfId="2" applyFont="1" applyFill="1" applyBorder="1" applyAlignment="1">
      <alignment horizontal="center" vertical="center" wrapText="1"/>
    </xf>
    <xf numFmtId="164" fontId="36" fillId="3" borderId="16" xfId="2" applyNumberFormat="1" applyFont="1" applyFill="1" applyBorder="1" applyAlignment="1">
      <alignment horizontal="center" vertical="center" wrapText="1"/>
    </xf>
    <xf numFmtId="0" fontId="60" fillId="3" borderId="58" xfId="2" applyFont="1" applyFill="1" applyBorder="1" applyAlignment="1">
      <alignment horizontal="center" vertical="center"/>
    </xf>
    <xf numFmtId="0" fontId="48" fillId="21" borderId="31" xfId="0" applyFont="1" applyFill="1" applyBorder="1" applyAlignment="1">
      <alignment horizontal="center" vertical="center"/>
    </xf>
    <xf numFmtId="0" fontId="26" fillId="0" borderId="32" xfId="0" applyFont="1" applyBorder="1"/>
    <xf numFmtId="0" fontId="46" fillId="17" borderId="33" xfId="0" applyFont="1" applyFill="1" applyBorder="1" applyAlignment="1">
      <alignment horizontal="left" vertical="center" wrapText="1"/>
    </xf>
    <xf numFmtId="0" fontId="26" fillId="0" borderId="34" xfId="0" applyFont="1" applyBorder="1"/>
    <xf numFmtId="0" fontId="26" fillId="0" borderId="35" xfId="0" applyFont="1" applyBorder="1"/>
    <xf numFmtId="0" fontId="47" fillId="17" borderId="0" xfId="0" applyFont="1" applyFill="1" applyAlignment="1">
      <alignment horizontal="center"/>
    </xf>
    <xf numFmtId="0" fontId="26" fillId="0" borderId="0" xfId="0" applyFont="1"/>
    <xf numFmtId="0" fontId="49" fillId="30" borderId="26" xfId="0" applyFont="1" applyFill="1" applyBorder="1" applyAlignment="1">
      <alignment horizontal="center" vertical="center"/>
    </xf>
    <xf numFmtId="0" fontId="30" fillId="26" borderId="27" xfId="0" applyFont="1" applyFill="1" applyBorder="1"/>
    <xf numFmtId="0" fontId="49" fillId="30" borderId="28" xfId="0" applyFont="1" applyFill="1" applyBorder="1" applyAlignment="1">
      <alignment horizontal="center" vertical="center" wrapText="1"/>
    </xf>
    <xf numFmtId="0" fontId="30" fillId="26" borderId="29" xfId="0" applyFont="1" applyFill="1" applyBorder="1"/>
    <xf numFmtId="0" fontId="30" fillId="26" borderId="30" xfId="0" applyFont="1" applyFill="1" applyBorder="1"/>
    <xf numFmtId="0" fontId="48" fillId="21" borderId="26" xfId="0" applyFont="1" applyFill="1" applyBorder="1" applyAlignment="1">
      <alignment horizontal="center" vertical="center"/>
    </xf>
    <xf numFmtId="0" fontId="26" fillId="0" borderId="27" xfId="0" applyFont="1" applyBorder="1"/>
    <xf numFmtId="0" fontId="46" fillId="17" borderId="28" xfId="0" applyFont="1" applyFill="1" applyBorder="1" applyAlignment="1">
      <alignment horizontal="left" vertical="center" wrapText="1"/>
    </xf>
    <xf numFmtId="0" fontId="26" fillId="0" borderId="29" xfId="0" applyFont="1" applyBorder="1"/>
    <xf numFmtId="0" fontId="26" fillId="0" borderId="30" xfId="0" applyFont="1" applyBorder="1"/>
    <xf numFmtId="0" fontId="48" fillId="22" borderId="41" xfId="0" applyFont="1" applyFill="1" applyBorder="1" applyAlignment="1">
      <alignment horizontal="center" vertical="center"/>
    </xf>
    <xf numFmtId="0" fontId="26" fillId="0" borderId="42" xfId="0" applyFont="1" applyBorder="1"/>
    <xf numFmtId="0" fontId="48" fillId="22" borderId="43" xfId="0" applyFont="1" applyFill="1" applyBorder="1" applyAlignment="1">
      <alignment horizontal="center" vertical="center"/>
    </xf>
    <xf numFmtId="0" fontId="26" fillId="0" borderId="44" xfId="0" applyFont="1" applyBorder="1"/>
    <xf numFmtId="0" fontId="26" fillId="0" borderId="45" xfId="0" applyFont="1" applyBorder="1"/>
    <xf numFmtId="0" fontId="48" fillId="21" borderId="36" xfId="0" applyFont="1" applyFill="1" applyBorder="1" applyAlignment="1">
      <alignment horizontal="center" vertical="center"/>
    </xf>
    <xf numFmtId="0" fontId="26" fillId="0" borderId="37" xfId="0" applyFont="1" applyBorder="1"/>
    <xf numFmtId="0" fontId="46" fillId="17" borderId="38" xfId="0" applyFont="1" applyFill="1" applyBorder="1" applyAlignment="1">
      <alignment horizontal="left" vertical="center" wrapText="1"/>
    </xf>
    <xf numFmtId="0" fontId="26" fillId="0" borderId="39" xfId="0" applyFont="1" applyBorder="1"/>
    <xf numFmtId="0" fontId="26" fillId="0" borderId="40" xfId="0" applyFont="1" applyBorder="1"/>
    <xf numFmtId="0" fontId="49" fillId="30" borderId="41" xfId="0" applyFont="1" applyFill="1" applyBorder="1" applyAlignment="1">
      <alignment horizontal="center" vertical="center"/>
    </xf>
    <xf numFmtId="0" fontId="30" fillId="26" borderId="42" xfId="0" applyFont="1" applyFill="1" applyBorder="1"/>
    <xf numFmtId="0" fontId="49" fillId="30" borderId="43" xfId="0" applyFont="1" applyFill="1" applyBorder="1" applyAlignment="1">
      <alignment horizontal="center" vertical="center"/>
    </xf>
    <xf numFmtId="0" fontId="30" fillId="26" borderId="44" xfId="0" applyFont="1" applyFill="1" applyBorder="1"/>
    <xf numFmtId="0" fontId="30" fillId="26" borderId="45" xfId="0" applyFont="1" applyFill="1" applyBorder="1"/>
    <xf numFmtId="0" fontId="46" fillId="21" borderId="46" xfId="0" applyFont="1" applyFill="1" applyBorder="1" applyAlignment="1">
      <alignment horizontal="center" vertical="center"/>
    </xf>
    <xf numFmtId="0" fontId="26" fillId="0" borderId="47" xfId="0" applyFont="1" applyBorder="1"/>
    <xf numFmtId="0" fontId="46" fillId="17" borderId="48" xfId="0" applyFont="1" applyFill="1" applyBorder="1" applyAlignment="1">
      <alignment horizontal="center" vertical="center"/>
    </xf>
    <xf numFmtId="0" fontId="26" fillId="0" borderId="49" xfId="0" applyFont="1" applyBorder="1"/>
    <xf numFmtId="0" fontId="26" fillId="0" borderId="50" xfId="0" applyFont="1" applyBorder="1"/>
    <xf numFmtId="0" fontId="36" fillId="0" borderId="32" xfId="0" applyFont="1" applyBorder="1"/>
    <xf numFmtId="0" fontId="48" fillId="17" borderId="33" xfId="0" applyFont="1" applyFill="1" applyBorder="1" applyAlignment="1">
      <alignment horizontal="center" vertical="center"/>
    </xf>
    <xf numFmtId="0" fontId="36" fillId="0" borderId="34" xfId="0" applyFont="1" applyBorder="1"/>
    <xf numFmtId="0" fontId="36" fillId="0" borderId="35" xfId="0" applyFont="1" applyBorder="1"/>
    <xf numFmtId="0" fontId="46" fillId="21" borderId="36" xfId="0" applyFont="1" applyFill="1" applyBorder="1" applyAlignment="1">
      <alignment horizontal="center" vertical="center"/>
    </xf>
    <xf numFmtId="0" fontId="46" fillId="17" borderId="38" xfId="0" applyFont="1" applyFill="1" applyBorder="1" applyAlignment="1">
      <alignment horizontal="center" vertical="center"/>
    </xf>
    <xf numFmtId="0" fontId="49" fillId="30" borderId="44" xfId="0" applyFont="1" applyFill="1" applyBorder="1" applyAlignment="1">
      <alignment horizontal="center" vertical="center"/>
    </xf>
    <xf numFmtId="0" fontId="49" fillId="30" borderId="45" xfId="0" applyFont="1" applyFill="1" applyBorder="1" applyAlignment="1">
      <alignment horizontal="center" vertical="center"/>
    </xf>
    <xf numFmtId="0" fontId="46" fillId="17" borderId="0" xfId="0" applyFont="1" applyFill="1" applyAlignment="1">
      <alignment vertical="center" wrapText="1"/>
    </xf>
    <xf numFmtId="0" fontId="46" fillId="21" borderId="26" xfId="0" applyFont="1" applyFill="1" applyBorder="1" applyAlignment="1">
      <alignment horizontal="center" vertical="center"/>
    </xf>
    <xf numFmtId="0" fontId="23" fillId="3" borderId="16" xfId="2" applyFont="1" applyFill="1" applyBorder="1" applyAlignment="1">
      <alignment vertical="center" wrapText="1"/>
    </xf>
  </cellXfs>
  <cellStyles count="5">
    <cellStyle name="Excel Built-in Normal" xfId="2" xr:uid="{00000000-0005-0000-0000-000000000000}"/>
    <cellStyle name="Normal" xfId="0" builtinId="0"/>
    <cellStyle name="Normal 2" xfId="1" xr:uid="{00000000-0005-0000-0000-000002000000}"/>
    <cellStyle name="Normal 2 2" xfId="3" xr:uid="{00000000-0005-0000-0000-000003000000}"/>
    <cellStyle name="Normal 3" xfId="4" xr:uid="{AFF56907-96B0-44BE-A2DD-77EFC61A8B77}"/>
  </cellStyles>
  <dxfs count="158">
    <dxf>
      <fill>
        <patternFill>
          <bgColor rgb="FFFF0000"/>
        </patternFill>
      </fill>
    </dxf>
    <dxf>
      <fill>
        <patternFill>
          <bgColor rgb="FFFFFF00"/>
        </patternFill>
      </fill>
    </dxf>
    <dxf>
      <fill>
        <patternFill>
          <bgColor rgb="FF92D050"/>
        </patternFill>
      </fill>
    </dxf>
    <dxf>
      <font>
        <color theme="0" tint="-0.14996795556505021"/>
      </font>
    </dxf>
    <dxf>
      <font>
        <color theme="0" tint="-0.24994659260841701"/>
      </font>
      <fill>
        <patternFill>
          <bgColor theme="0" tint="-0.24994659260841701"/>
        </patternFill>
      </fill>
    </dxf>
    <dxf>
      <fill>
        <patternFill>
          <bgColor rgb="FFFF0000"/>
        </patternFill>
      </fill>
    </dxf>
    <dxf>
      <font>
        <color theme="0" tint="-0.24994659260841701"/>
      </font>
      <fill>
        <patternFill>
          <bgColor theme="0" tint="-0.24994659260841701"/>
        </patternFill>
      </fill>
    </dxf>
    <dxf>
      <font>
        <color theme="0" tint="-0.14996795556505021"/>
      </font>
    </dxf>
    <dxf>
      <fill>
        <patternFill>
          <bgColor rgb="FFFFFF00"/>
        </patternFill>
      </fill>
    </dxf>
    <dxf>
      <fill>
        <patternFill>
          <bgColor rgb="FF92D050"/>
        </patternFill>
      </fill>
    </dxf>
    <dxf>
      <font>
        <color theme="0" tint="-0.24994659260841701"/>
      </font>
      <fill>
        <patternFill>
          <bgColor theme="0" tint="-0.24994659260841701"/>
        </patternFill>
      </fill>
    </dxf>
    <dxf>
      <font>
        <color theme="0" tint="-0.14996795556505021"/>
      </font>
    </dxf>
    <dxf>
      <fill>
        <patternFill>
          <bgColor rgb="FF92D050"/>
        </patternFill>
      </fill>
    </dxf>
    <dxf>
      <fill>
        <patternFill>
          <bgColor rgb="FFFFFF00"/>
        </patternFill>
      </fill>
    </dxf>
    <dxf>
      <fill>
        <patternFill>
          <bgColor rgb="FFFF0000"/>
        </patternFill>
      </fill>
    </dxf>
    <dxf>
      <font>
        <color theme="0" tint="-0.24994659260841701"/>
      </font>
      <fill>
        <patternFill>
          <bgColor theme="0" tint="-0.24994659260841701"/>
        </patternFill>
      </fill>
    </dxf>
    <dxf>
      <fill>
        <patternFill>
          <bgColor rgb="FFFF0000"/>
        </patternFill>
      </fill>
    </dxf>
    <dxf>
      <fill>
        <patternFill>
          <bgColor rgb="FFFFFF00"/>
        </patternFill>
      </fill>
    </dxf>
    <dxf>
      <fill>
        <patternFill>
          <bgColor rgb="FF92D050"/>
        </patternFill>
      </fill>
    </dxf>
    <dxf>
      <font>
        <color theme="0" tint="-0.14996795556505021"/>
      </font>
    </dxf>
    <dxf>
      <font>
        <color theme="0" tint="-0.24994659260841701"/>
      </font>
      <fill>
        <patternFill>
          <bgColor theme="0" tint="-0.24994659260841701"/>
        </patternFill>
      </fill>
    </dxf>
    <dxf>
      <font>
        <color theme="0" tint="-0.14996795556505021"/>
      </font>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ont>
        <color theme="0" tint="-0.24994659260841701"/>
      </font>
      <fill>
        <patternFill>
          <bgColor theme="0" tint="-0.24994659260841701"/>
        </patternFill>
      </fill>
    </dxf>
    <dxf>
      <font>
        <color theme="0" tint="-0.14996795556505021"/>
      </font>
    </dxf>
    <dxf>
      <fill>
        <patternFill>
          <bgColor rgb="FF92D050"/>
        </patternFill>
      </fill>
    </dxf>
    <dxf>
      <font>
        <color theme="0" tint="-0.14996795556505021"/>
      </font>
    </dxf>
    <dxf>
      <font>
        <color theme="0" tint="-0.24994659260841701"/>
      </font>
      <fill>
        <patternFill>
          <bgColor theme="0" tint="-0.24994659260841701"/>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tint="-0.14996795556505021"/>
      </font>
    </dxf>
    <dxf>
      <font>
        <color theme="0" tint="-0.24994659260841701"/>
      </font>
      <fill>
        <patternFill>
          <bgColor theme="0" tint="-0.24994659260841701"/>
        </patternFill>
      </fill>
    </dxf>
    <dxf>
      <font>
        <color theme="0" tint="-0.24994659260841701"/>
      </font>
      <fill>
        <patternFill>
          <bgColor theme="0" tint="-0.24994659260841701"/>
        </patternFill>
      </fill>
    </dxf>
    <dxf>
      <fill>
        <patternFill>
          <bgColor rgb="FF92D050"/>
        </patternFill>
      </fill>
    </dxf>
    <dxf>
      <fill>
        <patternFill>
          <bgColor rgb="FFFF0000"/>
        </patternFill>
      </fill>
    </dxf>
    <dxf>
      <fill>
        <patternFill>
          <bgColor rgb="FFFFFF00"/>
        </patternFill>
      </fill>
    </dxf>
    <dxf>
      <font>
        <color theme="0" tint="-0.14996795556505021"/>
      </font>
    </dxf>
    <dxf>
      <fill>
        <patternFill>
          <bgColor rgb="FF92D050"/>
        </patternFill>
      </fill>
    </dxf>
    <dxf>
      <fill>
        <patternFill>
          <bgColor rgb="FFFF0000"/>
        </patternFill>
      </fill>
    </dxf>
    <dxf>
      <font>
        <color theme="0" tint="-0.14996795556505021"/>
      </font>
    </dxf>
    <dxf>
      <font>
        <color theme="0" tint="-0.24994659260841701"/>
      </font>
      <fill>
        <patternFill>
          <bgColor theme="0" tint="-0.24994659260841701"/>
        </patternFill>
      </fill>
    </dxf>
    <dxf>
      <fill>
        <patternFill>
          <bgColor rgb="FFFFFF00"/>
        </patternFill>
      </fill>
    </dxf>
    <dxf>
      <fill>
        <patternFill>
          <bgColor rgb="FF92D050"/>
        </patternFill>
      </fill>
    </dxf>
    <dxf>
      <fill>
        <patternFill>
          <bgColor rgb="FFFFFF00"/>
        </patternFill>
      </fill>
    </dxf>
    <dxf>
      <font>
        <color theme="0" tint="-0.14996795556505021"/>
      </font>
    </dxf>
    <dxf>
      <font>
        <color theme="0" tint="-0.24994659260841701"/>
      </font>
      <fill>
        <patternFill>
          <bgColor theme="0" tint="-0.24994659260841701"/>
        </patternFill>
      </fill>
    </dxf>
    <dxf>
      <fill>
        <patternFill>
          <bgColor rgb="FFFF0000"/>
        </patternFill>
      </fill>
    </dxf>
    <dxf>
      <fill>
        <patternFill>
          <bgColor rgb="FFFF0000"/>
        </patternFill>
      </fill>
    </dxf>
    <dxf>
      <font>
        <color theme="0" tint="-0.24994659260841701"/>
      </font>
      <fill>
        <patternFill>
          <bgColor theme="0" tint="-0.24994659260841701"/>
        </patternFill>
      </fill>
    </dxf>
    <dxf>
      <font>
        <color theme="0" tint="-0.14996795556505021"/>
      </font>
    </dxf>
    <dxf>
      <fill>
        <patternFill>
          <bgColor rgb="FF92D050"/>
        </patternFill>
      </fill>
    </dxf>
    <dxf>
      <fill>
        <patternFill>
          <bgColor rgb="FFFFFF00"/>
        </patternFill>
      </fill>
    </dxf>
    <dxf>
      <fill>
        <patternFill>
          <bgColor rgb="FF92D050"/>
        </patternFill>
      </fill>
    </dxf>
    <dxf>
      <font>
        <color theme="0" tint="-0.14996795556505021"/>
      </font>
    </dxf>
    <dxf>
      <fill>
        <patternFill>
          <bgColor rgb="FFFF0000"/>
        </patternFill>
      </fill>
    </dxf>
    <dxf>
      <fill>
        <patternFill>
          <bgColor rgb="FFFFFF00"/>
        </patternFill>
      </fill>
    </dxf>
    <dxf>
      <font>
        <color theme="0" tint="-0.24994659260841701"/>
      </font>
      <fill>
        <patternFill>
          <bgColor theme="0" tint="-0.24994659260841701"/>
        </patternFill>
      </fill>
    </dxf>
    <dxf>
      <fill>
        <patternFill>
          <bgColor rgb="FF92D050"/>
        </patternFill>
      </fill>
    </dxf>
    <dxf>
      <fill>
        <patternFill>
          <bgColor rgb="FFFF0000"/>
        </patternFill>
      </fill>
    </dxf>
    <dxf>
      <font>
        <color theme="0" tint="-0.14996795556505021"/>
      </font>
    </dxf>
    <dxf>
      <font>
        <color theme="0" tint="-0.24994659260841701"/>
      </font>
      <fill>
        <patternFill>
          <bgColor theme="0" tint="-0.24994659260841701"/>
        </patternFill>
      </fill>
    </dxf>
    <dxf>
      <fill>
        <patternFill>
          <bgColor rgb="FFFFFF00"/>
        </patternFill>
      </fill>
    </dxf>
    <dxf>
      <fill>
        <patternFill>
          <bgColor rgb="FFFF0000"/>
        </patternFill>
      </fill>
    </dxf>
    <dxf>
      <fill>
        <patternFill>
          <bgColor rgb="FF92D050"/>
        </patternFill>
      </fill>
    </dxf>
    <dxf>
      <font>
        <color theme="0" tint="-0.24994659260841701"/>
      </font>
      <fill>
        <patternFill>
          <bgColor theme="0" tint="-0.24994659260841701"/>
        </patternFill>
      </fill>
    </dxf>
    <dxf>
      <font>
        <color theme="0" tint="-0.14996795556505021"/>
      </font>
    </dxf>
    <dxf>
      <fill>
        <patternFill>
          <bgColor rgb="FFFFFF00"/>
        </patternFill>
      </fill>
    </dxf>
    <dxf>
      <font>
        <color theme="0" tint="-0.14996795556505021"/>
      </font>
    </dxf>
    <dxf>
      <fill>
        <patternFill>
          <bgColor rgb="FFFF0000"/>
        </patternFill>
      </fill>
    </dxf>
    <dxf>
      <fill>
        <patternFill>
          <bgColor rgb="FFFFFF00"/>
        </patternFill>
      </fill>
    </dxf>
    <dxf>
      <fill>
        <patternFill>
          <bgColor rgb="FF92D050"/>
        </patternFill>
      </fill>
    </dxf>
    <dxf>
      <font>
        <color theme="0" tint="-0.24994659260841701"/>
      </font>
      <fill>
        <patternFill>
          <bgColor theme="0" tint="-0.24994659260841701"/>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none"/>
      </fill>
    </dxf>
    <dxf>
      <fill>
        <patternFill>
          <bgColor rgb="FFFFFF00"/>
        </patternFill>
      </fill>
    </dxf>
    <dxf>
      <fill>
        <patternFill>
          <bgColor rgb="FFFF0000"/>
        </patternFill>
      </fill>
    </dxf>
    <dxf>
      <fill>
        <patternFill>
          <bgColor rgb="FF92D050"/>
        </patternFill>
      </fill>
    </dxf>
    <dxf>
      <fill>
        <patternFill>
          <bgColor theme="5" tint="0.59996337778862885"/>
        </patternFill>
      </fill>
    </dxf>
    <dxf>
      <font>
        <b/>
        <i val="0"/>
        <color theme="5" tint="-0.499984740745262"/>
      </font>
      <fill>
        <patternFill>
          <bgColor theme="5" tint="0.59996337778862885"/>
        </patternFill>
      </fill>
    </dxf>
    <dxf>
      <font>
        <b/>
        <i val="0"/>
        <color theme="3"/>
      </font>
      <fill>
        <patternFill>
          <bgColor theme="4" tint="0.79998168889431442"/>
        </patternFill>
      </fill>
    </dxf>
    <dxf>
      <font>
        <b/>
        <i val="0"/>
        <color theme="3"/>
      </font>
      <fill>
        <patternFill>
          <bgColor theme="4" tint="0.79998168889431442"/>
        </patternFill>
      </fill>
    </dxf>
    <dxf>
      <fill>
        <patternFill>
          <bgColor theme="5" tint="0.59996337778862885"/>
        </patternFill>
      </fill>
    </dxf>
    <dxf>
      <font>
        <b/>
        <i val="0"/>
        <color theme="5" tint="-0.499984740745262"/>
      </font>
      <fill>
        <patternFill>
          <bgColor theme="5" tint="0.59996337778862885"/>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s>
  <tableStyles count="0" defaultTableStyle="TableStyleMedium2" defaultPivotStyle="PivotStyleLight16"/>
  <colors>
    <mruColors>
      <color rgb="FF1F497D"/>
      <color rgb="FF0051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0</xdr:row>
      <xdr:rowOff>167640</xdr:rowOff>
    </xdr:from>
    <xdr:to>
      <xdr:col>1</xdr:col>
      <xdr:colOff>699135</xdr:colOff>
      <xdr:row>0</xdr:row>
      <xdr:rowOff>771161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1750941B-E1B2-411B-9829-C71AB1D899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167640"/>
          <a:ext cx="1453515" cy="603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541020</xdr:colOff>
      <xdr:row>0</xdr:row>
      <xdr:rowOff>121920</xdr:rowOff>
    </xdr:from>
    <xdr:to>
      <xdr:col>1</xdr:col>
      <xdr:colOff>1426845</xdr:colOff>
      <xdr:row>2</xdr:row>
      <xdr:rowOff>115841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E777BEA-B753-4548-B22F-01D59BE00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020" y="121920"/>
          <a:ext cx="1453515" cy="6035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53340</xdr:rowOff>
    </xdr:from>
    <xdr:to>
      <xdr:col>3</xdr:col>
      <xdr:colOff>253365</xdr:colOff>
      <xdr:row>0</xdr:row>
      <xdr:rowOff>660671</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8D3614F8-9AD0-49C7-AF6E-BF433906EE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53340"/>
          <a:ext cx="1453515" cy="6035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3</xdr:col>
      <xdr:colOff>245745</xdr:colOff>
      <xdr:row>0</xdr:row>
      <xdr:rowOff>670196</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1789B5D9-964D-4ECD-8584-185B6DD08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6675"/>
          <a:ext cx="1453515" cy="6035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60961</xdr:colOff>
      <xdr:row>0</xdr:row>
      <xdr:rowOff>68580</xdr:rowOff>
    </xdr:from>
    <xdr:to>
      <xdr:col>2</xdr:col>
      <xdr:colOff>777241</xdr:colOff>
      <xdr:row>1</xdr:row>
      <xdr:rowOff>218409</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A29A2DA-9758-4A1E-B70B-2F3959166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1941" y="68580"/>
          <a:ext cx="1333500" cy="5536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E2E5-70C0-4720-9D05-60D42C1F3024}">
  <sheetPr codeName="Full1">
    <pageSetUpPr fitToPage="1"/>
  </sheetPr>
  <dimension ref="A1:D993"/>
  <sheetViews>
    <sheetView workbookViewId="0">
      <selection activeCell="D15" sqref="D15"/>
    </sheetView>
  </sheetViews>
  <sheetFormatPr defaultColWidth="14.33203125" defaultRowHeight="15" customHeight="1" x14ac:dyDescent="0.3"/>
  <cols>
    <col min="1" max="1" width="14.33203125" style="44"/>
    <col min="2" max="2" width="16.33203125" style="44" customWidth="1"/>
    <col min="3" max="3" width="20.33203125" style="44" customWidth="1"/>
    <col min="4" max="4" width="69.33203125" style="44" customWidth="1"/>
    <col min="5" max="26" width="10.6640625" style="44" customWidth="1"/>
    <col min="27" max="16384" width="14.33203125" style="44"/>
  </cols>
  <sheetData>
    <row r="1" spans="1:4" ht="67.95" customHeight="1" x14ac:dyDescent="0.3">
      <c r="A1" s="204"/>
      <c r="B1" s="204"/>
      <c r="C1" s="204"/>
    </row>
    <row r="2" spans="1:4" ht="20.25" customHeight="1" x14ac:dyDescent="0.3"/>
    <row r="3" spans="1:4" ht="20.25" customHeight="1" x14ac:dyDescent="0.3">
      <c r="B3" s="158" t="s">
        <v>0</v>
      </c>
      <c r="C3" s="205" t="s">
        <v>1</v>
      </c>
      <c r="D3" s="201"/>
    </row>
    <row r="4" spans="1:4" ht="20.25" customHeight="1" x14ac:dyDescent="0.3">
      <c r="B4" s="158" t="s">
        <v>2</v>
      </c>
      <c r="C4" s="206">
        <v>45628</v>
      </c>
      <c r="D4" s="201"/>
    </row>
    <row r="5" spans="1:4" ht="20.25" customHeight="1" x14ac:dyDescent="0.3">
      <c r="B5" s="158" t="s">
        <v>3</v>
      </c>
      <c r="C5" s="205" t="s">
        <v>4</v>
      </c>
      <c r="D5" s="201"/>
    </row>
    <row r="6" spans="1:4" ht="20.25" customHeight="1" x14ac:dyDescent="0.3">
      <c r="B6" s="158" t="s">
        <v>5</v>
      </c>
      <c r="C6" s="207" t="s">
        <v>6</v>
      </c>
      <c r="D6" s="201"/>
    </row>
    <row r="7" spans="1:4" ht="20.25" customHeight="1" x14ac:dyDescent="0.3">
      <c r="B7" s="158" t="s">
        <v>7</v>
      </c>
      <c r="C7" s="200" t="s">
        <v>8</v>
      </c>
      <c r="D7" s="201"/>
    </row>
    <row r="8" spans="1:4" ht="85.65" customHeight="1" x14ac:dyDescent="0.3">
      <c r="B8" s="158" t="s">
        <v>9</v>
      </c>
      <c r="C8" s="205" t="s">
        <v>10</v>
      </c>
      <c r="D8" s="201"/>
    </row>
    <row r="9" spans="1:4" ht="20.25" customHeight="1" x14ac:dyDescent="0.3">
      <c r="B9" s="45"/>
      <c r="C9" s="45"/>
      <c r="D9" s="45"/>
    </row>
    <row r="10" spans="1:4" ht="20.25" customHeight="1" x14ac:dyDescent="0.3">
      <c r="B10" s="45"/>
      <c r="C10" s="45"/>
      <c r="D10" s="45"/>
    </row>
    <row r="11" spans="1:4" ht="20.25" customHeight="1" x14ac:dyDescent="0.3">
      <c r="B11" s="202" t="s">
        <v>11</v>
      </c>
      <c r="C11" s="203"/>
      <c r="D11" s="203"/>
    </row>
    <row r="12" spans="1:4" ht="20.25" customHeight="1" x14ac:dyDescent="0.3">
      <c r="B12" s="159" t="s">
        <v>12</v>
      </c>
      <c r="C12" s="159" t="s">
        <v>2</v>
      </c>
      <c r="D12" s="159" t="s">
        <v>13</v>
      </c>
    </row>
    <row r="13" spans="1:4" s="45" customFormat="1" ht="22.95" customHeight="1" x14ac:dyDescent="0.3">
      <c r="B13" s="48" t="s">
        <v>6</v>
      </c>
      <c r="C13" s="180">
        <v>45946</v>
      </c>
      <c r="D13" s="195" t="s">
        <v>14</v>
      </c>
    </row>
    <row r="14" spans="1:4" ht="22.95" customHeight="1" x14ac:dyDescent="0.3">
      <c r="B14" s="48"/>
      <c r="C14" s="196"/>
      <c r="D14" s="49"/>
    </row>
    <row r="15" spans="1:4" ht="22.95" customHeight="1" x14ac:dyDescent="0.3">
      <c r="B15" s="48"/>
      <c r="C15" s="196"/>
      <c r="D15" s="49"/>
    </row>
    <row r="16" spans="1:4" ht="22.95" customHeight="1" x14ac:dyDescent="0.3">
      <c r="B16" s="48"/>
      <c r="C16" s="196"/>
      <c r="D16" s="49"/>
    </row>
    <row r="17" ht="20.2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sheetData>
  <mergeCells count="8">
    <mergeCell ref="C7:D7"/>
    <mergeCell ref="B11:D11"/>
    <mergeCell ref="A1:C1"/>
    <mergeCell ref="C3:D3"/>
    <mergeCell ref="C4:D4"/>
    <mergeCell ref="C5:D5"/>
    <mergeCell ref="C6:D6"/>
    <mergeCell ref="C8:D8"/>
  </mergeCells>
  <pageMargins left="0.7" right="0.7" top="0.75" bottom="0.75" header="0" footer="0"/>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ull2">
    <pageSetUpPr fitToPage="1"/>
  </sheetPr>
  <dimension ref="A1:I65"/>
  <sheetViews>
    <sheetView showGridLines="0" workbookViewId="0">
      <selection activeCell="E37" sqref="E37:I37"/>
    </sheetView>
  </sheetViews>
  <sheetFormatPr defaultColWidth="11.6640625" defaultRowHeight="14.4" x14ac:dyDescent="0.3"/>
  <cols>
    <col min="1" max="1" width="8.33203125" customWidth="1"/>
    <col min="2" max="2" width="50.33203125" customWidth="1"/>
    <col min="3" max="3" width="17" customWidth="1"/>
    <col min="4" max="5" width="16.6640625" customWidth="1"/>
    <col min="6" max="6" width="15.33203125" customWidth="1"/>
    <col min="7" max="7" width="17.33203125" customWidth="1"/>
    <col min="8" max="8" width="19.6640625" customWidth="1"/>
    <col min="9" max="9" width="20.88671875" customWidth="1"/>
  </cols>
  <sheetData>
    <row r="1" spans="1:9" ht="22.5" customHeight="1" x14ac:dyDescent="0.3">
      <c r="A1" s="213"/>
      <c r="B1" s="213"/>
    </row>
    <row r="2" spans="1:9" ht="25.8" x14ac:dyDescent="0.5">
      <c r="A2" s="213"/>
      <c r="B2" s="213"/>
      <c r="C2" s="212" t="s">
        <v>15</v>
      </c>
      <c r="D2" s="212"/>
      <c r="E2" s="212"/>
      <c r="F2" s="212"/>
      <c r="G2" s="212"/>
      <c r="H2" s="212"/>
      <c r="I2" s="212"/>
    </row>
    <row r="3" spans="1:9" ht="25.8" x14ac:dyDescent="0.5">
      <c r="B3" s="41"/>
      <c r="C3" s="41"/>
      <c r="D3" s="41"/>
      <c r="E3" s="41"/>
      <c r="F3" s="41"/>
      <c r="G3" s="41"/>
      <c r="H3" s="41"/>
      <c r="I3" s="41"/>
    </row>
    <row r="4" spans="1:9" x14ac:dyDescent="0.3">
      <c r="C4" s="53"/>
    </row>
    <row r="5" spans="1:9" ht="28.8" x14ac:dyDescent="0.3">
      <c r="B5" s="160" t="s">
        <v>16</v>
      </c>
      <c r="C5" s="161" t="s">
        <v>17</v>
      </c>
      <c r="D5" s="161" t="s">
        <v>18</v>
      </c>
      <c r="E5" s="161" t="s">
        <v>19</v>
      </c>
      <c r="F5" s="161" t="s">
        <v>20</v>
      </c>
      <c r="G5" s="161" t="s">
        <v>21</v>
      </c>
      <c r="H5" s="217" t="s">
        <v>22</v>
      </c>
      <c r="I5" s="217"/>
    </row>
    <row r="6" spans="1:9" x14ac:dyDescent="0.3">
      <c r="B6" s="24" t="s">
        <v>23</v>
      </c>
      <c r="C6" s="25">
        <v>1</v>
      </c>
      <c r="D6" s="46"/>
      <c r="E6" s="46"/>
      <c r="F6" s="25"/>
      <c r="G6" s="25"/>
      <c r="H6" s="26">
        <f>MAX(C6:G6)</f>
        <v>1</v>
      </c>
      <c r="I6" s="27" t="str">
        <f>VLOOKUP(H6,$C$27:$D$29,2,0)</f>
        <v>B</v>
      </c>
    </row>
    <row r="7" spans="1:9" x14ac:dyDescent="0.3">
      <c r="B7" s="24" t="s">
        <v>24</v>
      </c>
      <c r="C7" s="25">
        <v>1</v>
      </c>
      <c r="D7" s="46"/>
      <c r="E7" s="46"/>
      <c r="F7" s="25"/>
      <c r="G7" s="25"/>
      <c r="H7" s="26">
        <f t="shared" ref="H7:H9" si="0">MAX(C7:G7)</f>
        <v>1</v>
      </c>
      <c r="I7" s="27" t="str">
        <f>VLOOKUP(H7,$C$27:$D$29,2,0)</f>
        <v>B</v>
      </c>
    </row>
    <row r="8" spans="1:9" x14ac:dyDescent="0.3">
      <c r="B8" s="24" t="s">
        <v>25</v>
      </c>
      <c r="C8" s="25">
        <v>2</v>
      </c>
      <c r="D8" s="46"/>
      <c r="E8" s="46"/>
      <c r="F8" s="25"/>
      <c r="G8" s="25"/>
      <c r="H8" s="26">
        <f t="shared" si="0"/>
        <v>2</v>
      </c>
      <c r="I8" s="27" t="str">
        <f>VLOOKUP(H8,$C$27:$D$29,2,0)</f>
        <v>M</v>
      </c>
    </row>
    <row r="9" spans="1:9" x14ac:dyDescent="0.3">
      <c r="B9" s="24" t="s">
        <v>26</v>
      </c>
      <c r="C9" s="25">
        <v>2</v>
      </c>
      <c r="D9" s="46"/>
      <c r="E9" s="46"/>
      <c r="F9" s="25"/>
      <c r="G9" s="25"/>
      <c r="H9" s="26">
        <f t="shared" si="0"/>
        <v>2</v>
      </c>
      <c r="I9" s="27" t="str">
        <f>VLOOKUP(H9,$C$27:$D$29,2,0)</f>
        <v>M</v>
      </c>
    </row>
    <row r="10" spans="1:9" x14ac:dyDescent="0.3">
      <c r="B10" s="216" t="s">
        <v>27</v>
      </c>
      <c r="C10" s="28">
        <f>MAX(C6:C9)</f>
        <v>2</v>
      </c>
      <c r="D10" s="28"/>
      <c r="E10" s="28"/>
      <c r="F10" s="28"/>
      <c r="G10" s="28"/>
      <c r="H10" s="28">
        <f>MAX(H6:H9)</f>
        <v>2</v>
      </c>
      <c r="I10" s="28"/>
    </row>
    <row r="11" spans="1:9" x14ac:dyDescent="0.3">
      <c r="B11" s="216"/>
      <c r="C11" s="29" t="str">
        <f>VLOOKUP(C10,$C$27:$D$29,2,0)</f>
        <v>M</v>
      </c>
      <c r="D11" s="29"/>
      <c r="E11" s="29"/>
      <c r="F11" s="29"/>
      <c r="G11" s="29"/>
      <c r="H11" s="29"/>
      <c r="I11" s="29" t="str">
        <f>VLOOKUP(H10,$C$27:$D$29,2,0)</f>
        <v>M</v>
      </c>
    </row>
    <row r="13" spans="1:9" ht="28.8" x14ac:dyDescent="0.3">
      <c r="B13" s="162" t="s">
        <v>28</v>
      </c>
      <c r="C13" s="163" t="s">
        <v>17</v>
      </c>
      <c r="D13" s="163" t="s">
        <v>18</v>
      </c>
      <c r="E13" s="163" t="s">
        <v>19</v>
      </c>
      <c r="F13" s="163" t="s">
        <v>20</v>
      </c>
      <c r="G13" s="163" t="s">
        <v>21</v>
      </c>
      <c r="H13" s="211" t="s">
        <v>22</v>
      </c>
      <c r="I13" s="211"/>
    </row>
    <row r="14" spans="1:9" x14ac:dyDescent="0.3">
      <c r="B14" s="175" t="s">
        <v>29</v>
      </c>
      <c r="C14" s="47"/>
      <c r="D14" s="30">
        <v>2</v>
      </c>
      <c r="E14" s="30">
        <v>2</v>
      </c>
      <c r="F14" s="30">
        <v>2</v>
      </c>
      <c r="G14" s="30">
        <v>2</v>
      </c>
      <c r="H14" s="26">
        <f t="shared" ref="H14:H16" si="1">MAX(C14:G14)</f>
        <v>2</v>
      </c>
      <c r="I14" s="31" t="str">
        <f>VLOOKUP(H14,$C$27:$D$29,2,0)</f>
        <v>M</v>
      </c>
    </row>
    <row r="15" spans="1:9" x14ac:dyDescent="0.3">
      <c r="B15" s="175" t="s">
        <v>30</v>
      </c>
      <c r="C15" s="47"/>
      <c r="D15" s="30">
        <v>2</v>
      </c>
      <c r="E15" s="30">
        <v>2</v>
      </c>
      <c r="F15" s="30">
        <v>2</v>
      </c>
      <c r="G15" s="30">
        <v>2</v>
      </c>
      <c r="H15" s="26">
        <v>2</v>
      </c>
      <c r="I15" s="31" t="str">
        <f>VLOOKUP(H15,$C$27:$D$29,2,0)</f>
        <v>M</v>
      </c>
    </row>
    <row r="16" spans="1:9" x14ac:dyDescent="0.3">
      <c r="B16" s="175" t="s">
        <v>31</v>
      </c>
      <c r="C16" s="47"/>
      <c r="D16" s="30">
        <v>2</v>
      </c>
      <c r="E16" s="30">
        <v>2</v>
      </c>
      <c r="F16" s="30">
        <v>2</v>
      </c>
      <c r="G16" s="30">
        <v>2</v>
      </c>
      <c r="H16" s="26">
        <f t="shared" si="1"/>
        <v>2</v>
      </c>
      <c r="I16" s="31" t="str">
        <f>VLOOKUP(H16,$C$27:$D$29,2,0)</f>
        <v>M</v>
      </c>
    </row>
    <row r="17" spans="2:9" x14ac:dyDescent="0.3">
      <c r="B17" s="215" t="s">
        <v>32</v>
      </c>
      <c r="C17" s="32"/>
      <c r="D17" s="32">
        <f>MAX(D14:D16)</f>
        <v>2</v>
      </c>
      <c r="E17" s="32">
        <f>MAX(E14:E16)</f>
        <v>2</v>
      </c>
      <c r="F17" s="32">
        <f>MAX(F14:F16)</f>
        <v>2</v>
      </c>
      <c r="G17" s="32">
        <f>MAX(G14:G16)</f>
        <v>2</v>
      </c>
      <c r="H17" s="32">
        <f>MAX(H14:H16)</f>
        <v>2</v>
      </c>
      <c r="I17" s="32"/>
    </row>
    <row r="18" spans="2:9" x14ac:dyDescent="0.3">
      <c r="B18" s="215"/>
      <c r="C18" s="33"/>
      <c r="D18" s="33" t="str">
        <f t="shared" ref="D18:G18" si="2">VLOOKUP(D17,$C$27:$D$29,2,0)</f>
        <v>M</v>
      </c>
      <c r="E18" s="33" t="str">
        <f t="shared" si="2"/>
        <v>M</v>
      </c>
      <c r="F18" s="33" t="str">
        <f t="shared" si="2"/>
        <v>M</v>
      </c>
      <c r="G18" s="33" t="str">
        <f t="shared" si="2"/>
        <v>M</v>
      </c>
      <c r="H18" s="33"/>
      <c r="I18" s="33" t="str">
        <f>VLOOKUP(H17,$C$27:$D$29,2,0)</f>
        <v>M</v>
      </c>
    </row>
    <row r="21" spans="2:9" ht="28.8" x14ac:dyDescent="0.3">
      <c r="B21" s="162" t="s">
        <v>33</v>
      </c>
      <c r="C21" s="163" t="s">
        <v>17</v>
      </c>
      <c r="D21" s="163" t="s">
        <v>18</v>
      </c>
      <c r="E21" s="163" t="s">
        <v>19</v>
      </c>
      <c r="F21" s="163" t="s">
        <v>20</v>
      </c>
      <c r="G21" s="163" t="s">
        <v>21</v>
      </c>
      <c r="H21" s="211" t="s">
        <v>22</v>
      </c>
      <c r="I21" s="211"/>
    </row>
    <row r="22" spans="2:9" x14ac:dyDescent="0.3">
      <c r="B22" s="174" t="s">
        <v>16</v>
      </c>
      <c r="C22" s="33" t="str">
        <f>C11</f>
        <v>M</v>
      </c>
      <c r="D22" s="33"/>
      <c r="E22" s="33"/>
      <c r="F22" s="33"/>
      <c r="G22" s="33"/>
      <c r="H22" s="214" t="str">
        <f>I11</f>
        <v>M</v>
      </c>
      <c r="I22" s="214"/>
    </row>
    <row r="23" spans="2:9" x14ac:dyDescent="0.3">
      <c r="B23" s="174" t="s">
        <v>28</v>
      </c>
      <c r="C23" s="33"/>
      <c r="D23" s="33" t="str">
        <f t="shared" ref="D23:G23" si="3">D18</f>
        <v>M</v>
      </c>
      <c r="E23" s="33" t="str">
        <f t="shared" si="3"/>
        <v>M</v>
      </c>
      <c r="F23" s="33" t="str">
        <f t="shared" si="3"/>
        <v>M</v>
      </c>
      <c r="G23" s="33" t="str">
        <f t="shared" si="3"/>
        <v>M</v>
      </c>
      <c r="H23" s="214" t="str">
        <f>I18</f>
        <v>M</v>
      </c>
      <c r="I23" s="214"/>
    </row>
    <row r="24" spans="2:9" ht="18" x14ac:dyDescent="0.35">
      <c r="B24" s="34" t="s">
        <v>34</v>
      </c>
      <c r="C24" s="35" t="s">
        <v>35</v>
      </c>
      <c r="D24" s="35" t="s">
        <v>35</v>
      </c>
      <c r="E24" s="35" t="s">
        <v>35</v>
      </c>
      <c r="F24" s="35" t="s">
        <v>35</v>
      </c>
      <c r="G24" s="35" t="s">
        <v>35</v>
      </c>
      <c r="H24" s="210" t="s">
        <v>35</v>
      </c>
      <c r="I24" s="210"/>
    </row>
    <row r="26" spans="2:9" x14ac:dyDescent="0.3">
      <c r="C26" s="211" t="s">
        <v>36</v>
      </c>
      <c r="D26" s="211"/>
    </row>
    <row r="27" spans="2:9" x14ac:dyDescent="0.3">
      <c r="C27" s="36">
        <v>1</v>
      </c>
      <c r="D27" s="36" t="s">
        <v>37</v>
      </c>
    </row>
    <row r="28" spans="2:9" x14ac:dyDescent="0.3">
      <c r="C28" s="36">
        <v>2</v>
      </c>
      <c r="D28" s="36" t="s">
        <v>35</v>
      </c>
    </row>
    <row r="29" spans="2:9" x14ac:dyDescent="0.3">
      <c r="C29" s="36">
        <v>3</v>
      </c>
      <c r="D29" s="36" t="s">
        <v>38</v>
      </c>
    </row>
    <row r="31" spans="2:9" ht="18.45" customHeight="1" x14ac:dyDescent="0.3">
      <c r="B31" s="211" t="s">
        <v>39</v>
      </c>
      <c r="C31" s="211"/>
      <c r="D31" s="211"/>
      <c r="E31" s="211"/>
      <c r="F31" s="211"/>
      <c r="G31" s="211"/>
      <c r="H31" s="211"/>
      <c r="I31" s="211"/>
    </row>
    <row r="32" spans="2:9" s="38" customFormat="1" ht="42.75" customHeight="1" x14ac:dyDescent="0.3">
      <c r="B32" s="209" t="s">
        <v>40</v>
      </c>
      <c r="C32" s="209"/>
      <c r="D32" s="209"/>
      <c r="E32" s="209"/>
      <c r="F32" s="209"/>
      <c r="G32" s="209"/>
      <c r="H32" s="209"/>
      <c r="I32" s="209"/>
    </row>
    <row r="33" spans="2:9" s="38" customFormat="1" ht="45.6" customHeight="1" thickBot="1" x14ac:dyDescent="0.35">
      <c r="B33" s="208" t="s">
        <v>41</v>
      </c>
      <c r="C33" s="208"/>
      <c r="D33" s="208"/>
      <c r="E33" s="208"/>
      <c r="F33" s="208"/>
      <c r="G33" s="208"/>
      <c r="H33" s="208"/>
      <c r="I33" s="208"/>
    </row>
    <row r="34" spans="2:9" ht="25.2" customHeight="1" thickBot="1" x14ac:dyDescent="0.35">
      <c r="B34" s="185" t="s">
        <v>13</v>
      </c>
      <c r="C34" s="186" t="s">
        <v>42</v>
      </c>
      <c r="D34" s="186" t="s">
        <v>43</v>
      </c>
      <c r="E34" s="220" t="s">
        <v>44</v>
      </c>
      <c r="F34" s="220"/>
      <c r="G34" s="220"/>
      <c r="H34" s="220"/>
      <c r="I34" s="220"/>
    </row>
    <row r="35" spans="2:9" ht="47.4" customHeight="1" thickBot="1" x14ac:dyDescent="0.35">
      <c r="B35" s="183" t="s">
        <v>45</v>
      </c>
      <c r="C35" s="184" t="s">
        <v>46</v>
      </c>
      <c r="D35" s="184" t="s">
        <v>47</v>
      </c>
      <c r="E35" s="221" t="s">
        <v>48</v>
      </c>
      <c r="F35" s="221"/>
      <c r="G35" s="221"/>
      <c r="H35" s="221"/>
      <c r="I35" s="221"/>
    </row>
    <row r="36" spans="2:9" ht="25.2" customHeight="1" thickBot="1" x14ac:dyDescent="0.35">
      <c r="B36" s="183" t="s">
        <v>49</v>
      </c>
      <c r="C36" s="184" t="s">
        <v>46</v>
      </c>
      <c r="D36" s="184" t="s">
        <v>50</v>
      </c>
      <c r="E36" s="221" t="s">
        <v>51</v>
      </c>
      <c r="F36" s="221"/>
      <c r="G36" s="221"/>
      <c r="H36" s="221"/>
      <c r="I36" s="221"/>
    </row>
    <row r="37" spans="2:9" ht="25.2" customHeight="1" thickBot="1" x14ac:dyDescent="0.35">
      <c r="B37" s="183" t="s">
        <v>52</v>
      </c>
      <c r="C37" s="184" t="s">
        <v>46</v>
      </c>
      <c r="D37" s="184" t="s">
        <v>50</v>
      </c>
      <c r="E37" s="221" t="s">
        <v>53</v>
      </c>
      <c r="F37" s="221"/>
      <c r="G37" s="221"/>
      <c r="H37" s="221"/>
      <c r="I37" s="221"/>
    </row>
    <row r="38" spans="2:9" ht="33.6" customHeight="1" thickBot="1" x14ac:dyDescent="0.35">
      <c r="B38" s="218" t="s">
        <v>54</v>
      </c>
      <c r="C38" s="219" t="s">
        <v>55</v>
      </c>
      <c r="D38" s="219" t="s">
        <v>50</v>
      </c>
      <c r="E38" s="221" t="s">
        <v>56</v>
      </c>
      <c r="F38" s="221"/>
      <c r="G38" s="221"/>
      <c r="H38" s="221"/>
      <c r="I38" s="221"/>
    </row>
    <row r="39" spans="2:9" ht="34.200000000000003" customHeight="1" thickBot="1" x14ac:dyDescent="0.35">
      <c r="B39" s="218"/>
      <c r="C39" s="219"/>
      <c r="D39" s="219"/>
      <c r="E39" s="221" t="s">
        <v>57</v>
      </c>
      <c r="F39" s="221"/>
      <c r="G39" s="221"/>
      <c r="H39" s="221"/>
      <c r="I39" s="221"/>
    </row>
    <row r="40" spans="2:9" ht="25.2" customHeight="1" thickBot="1" x14ac:dyDescent="0.35">
      <c r="B40" s="218" t="s">
        <v>58</v>
      </c>
      <c r="C40" s="184" t="s">
        <v>59</v>
      </c>
      <c r="D40" s="184" t="s">
        <v>60</v>
      </c>
      <c r="E40" s="221" t="s">
        <v>61</v>
      </c>
      <c r="F40" s="221"/>
      <c r="G40" s="221"/>
      <c r="H40" s="221"/>
      <c r="I40" s="221"/>
    </row>
    <row r="41" spans="2:9" ht="25.2" customHeight="1" thickBot="1" x14ac:dyDescent="0.35">
      <c r="B41" s="218"/>
      <c r="C41" s="219" t="s">
        <v>62</v>
      </c>
      <c r="D41" s="219" t="s">
        <v>50</v>
      </c>
      <c r="E41" s="221" t="s">
        <v>63</v>
      </c>
      <c r="F41" s="221"/>
      <c r="G41" s="221"/>
      <c r="H41" s="221"/>
      <c r="I41" s="221"/>
    </row>
    <row r="42" spans="2:9" ht="25.2" customHeight="1" thickBot="1" x14ac:dyDescent="0.35">
      <c r="B42" s="218"/>
      <c r="C42" s="219"/>
      <c r="D42" s="219"/>
      <c r="E42" s="221" t="s">
        <v>64</v>
      </c>
      <c r="F42" s="221"/>
      <c r="G42" s="221"/>
      <c r="H42" s="221"/>
      <c r="I42" s="221"/>
    </row>
    <row r="43" spans="2:9" ht="25.2" customHeight="1" thickBot="1" x14ac:dyDescent="0.35">
      <c r="B43" s="218"/>
      <c r="C43" s="219" t="s">
        <v>65</v>
      </c>
      <c r="D43" s="219" t="s">
        <v>60</v>
      </c>
      <c r="E43" s="221" t="s">
        <v>66</v>
      </c>
      <c r="F43" s="221"/>
      <c r="G43" s="221"/>
      <c r="H43" s="221"/>
      <c r="I43" s="221"/>
    </row>
    <row r="44" spans="2:9" ht="25.2" customHeight="1" thickBot="1" x14ac:dyDescent="0.35">
      <c r="B44" s="218"/>
      <c r="C44" s="219"/>
      <c r="D44" s="219"/>
      <c r="E44" s="221" t="s">
        <v>67</v>
      </c>
      <c r="F44" s="221"/>
      <c r="G44" s="221"/>
      <c r="H44" s="221"/>
      <c r="I44" s="221"/>
    </row>
    <row r="45" spans="2:9" ht="25.2" customHeight="1" thickBot="1" x14ac:dyDescent="0.35">
      <c r="B45" s="218"/>
      <c r="C45" s="219" t="s">
        <v>38</v>
      </c>
      <c r="D45" s="219" t="s">
        <v>60</v>
      </c>
      <c r="E45" s="221" t="s">
        <v>66</v>
      </c>
      <c r="F45" s="221"/>
      <c r="G45" s="221"/>
      <c r="H45" s="221"/>
      <c r="I45" s="221"/>
    </row>
    <row r="46" spans="2:9" ht="34.950000000000003" customHeight="1" thickBot="1" x14ac:dyDescent="0.35">
      <c r="B46" s="218"/>
      <c r="C46" s="219"/>
      <c r="D46" s="219"/>
      <c r="E46" s="221" t="s">
        <v>68</v>
      </c>
      <c r="F46" s="221"/>
      <c r="G46" s="221"/>
      <c r="H46" s="221"/>
      <c r="I46" s="221"/>
    </row>
    <row r="47" spans="2:9" ht="25.2" customHeight="1" thickBot="1" x14ac:dyDescent="0.35">
      <c r="B47" s="183" t="s">
        <v>69</v>
      </c>
      <c r="C47" s="184" t="s">
        <v>70</v>
      </c>
      <c r="D47" s="184" t="s">
        <v>71</v>
      </c>
      <c r="E47" s="221" t="s">
        <v>72</v>
      </c>
      <c r="F47" s="221"/>
      <c r="G47" s="221"/>
      <c r="H47" s="221"/>
      <c r="I47" s="221"/>
    </row>
    <row r="48" spans="2:9" ht="25.2" customHeight="1" thickBot="1" x14ac:dyDescent="0.35">
      <c r="B48" s="218" t="s">
        <v>73</v>
      </c>
      <c r="C48" s="184" t="s">
        <v>55</v>
      </c>
      <c r="D48" s="184" t="s">
        <v>50</v>
      </c>
      <c r="E48" s="221" t="s">
        <v>74</v>
      </c>
      <c r="F48" s="221"/>
      <c r="G48" s="221"/>
      <c r="H48" s="221"/>
      <c r="I48" s="221"/>
    </row>
    <row r="49" spans="2:9" ht="25.2" customHeight="1" thickBot="1" x14ac:dyDescent="0.35">
      <c r="B49" s="218"/>
      <c r="C49" s="219" t="s">
        <v>65</v>
      </c>
      <c r="D49" s="219" t="s">
        <v>60</v>
      </c>
      <c r="E49" s="221" t="s">
        <v>75</v>
      </c>
      <c r="F49" s="221"/>
      <c r="G49" s="221"/>
      <c r="H49" s="221"/>
      <c r="I49" s="221"/>
    </row>
    <row r="50" spans="2:9" ht="34.200000000000003" customHeight="1" thickBot="1" x14ac:dyDescent="0.35">
      <c r="B50" s="218"/>
      <c r="C50" s="219"/>
      <c r="D50" s="219"/>
      <c r="E50" s="221" t="s">
        <v>76</v>
      </c>
      <c r="F50" s="221"/>
      <c r="G50" s="221"/>
      <c r="H50" s="221"/>
      <c r="I50" s="221"/>
    </row>
    <row r="51" spans="2:9" ht="25.2" customHeight="1" thickBot="1" x14ac:dyDescent="0.35">
      <c r="B51" s="218" t="s">
        <v>77</v>
      </c>
      <c r="C51" s="219" t="s">
        <v>46</v>
      </c>
      <c r="D51" s="219" t="s">
        <v>60</v>
      </c>
      <c r="E51" s="221" t="s">
        <v>78</v>
      </c>
      <c r="F51" s="221"/>
      <c r="G51" s="221"/>
      <c r="H51" s="221"/>
      <c r="I51" s="221"/>
    </row>
    <row r="52" spans="2:9" ht="36.6" customHeight="1" thickBot="1" x14ac:dyDescent="0.35">
      <c r="B52" s="218"/>
      <c r="C52" s="219"/>
      <c r="D52" s="219"/>
      <c r="E52" s="221" t="s">
        <v>79</v>
      </c>
      <c r="F52" s="221"/>
      <c r="G52" s="221"/>
      <c r="H52" s="221"/>
      <c r="I52" s="221"/>
    </row>
    <row r="53" spans="2:9" ht="43.95" customHeight="1" thickBot="1" x14ac:dyDescent="0.35">
      <c r="B53" s="218" t="s">
        <v>80</v>
      </c>
      <c r="C53" s="219" t="s">
        <v>59</v>
      </c>
      <c r="D53" s="219" t="s">
        <v>60</v>
      </c>
      <c r="E53" s="221" t="s">
        <v>81</v>
      </c>
      <c r="F53" s="221"/>
      <c r="G53" s="221"/>
      <c r="H53" s="221"/>
      <c r="I53" s="221"/>
    </row>
    <row r="54" spans="2:9" ht="34.950000000000003" customHeight="1" thickBot="1" x14ac:dyDescent="0.35">
      <c r="B54" s="218"/>
      <c r="C54" s="219"/>
      <c r="D54" s="219"/>
      <c r="E54" s="221" t="s">
        <v>82</v>
      </c>
      <c r="F54" s="221"/>
      <c r="G54" s="221"/>
      <c r="H54" s="221"/>
      <c r="I54" s="221"/>
    </row>
    <row r="55" spans="2:9" ht="25.2" customHeight="1" thickBot="1" x14ac:dyDescent="0.35">
      <c r="B55" s="218"/>
      <c r="C55" s="219" t="s">
        <v>62</v>
      </c>
      <c r="D55" s="219" t="s">
        <v>50</v>
      </c>
      <c r="E55" s="221" t="s">
        <v>83</v>
      </c>
      <c r="F55" s="221"/>
      <c r="G55" s="221"/>
      <c r="H55" s="221"/>
      <c r="I55" s="221"/>
    </row>
    <row r="56" spans="2:9" ht="33" customHeight="1" thickBot="1" x14ac:dyDescent="0.35">
      <c r="B56" s="218"/>
      <c r="C56" s="219"/>
      <c r="D56" s="219"/>
      <c r="E56" s="221" t="s">
        <v>84</v>
      </c>
      <c r="F56" s="221"/>
      <c r="G56" s="221"/>
      <c r="H56" s="221"/>
      <c r="I56" s="221"/>
    </row>
    <row r="57" spans="2:9" ht="25.2" customHeight="1" thickBot="1" x14ac:dyDescent="0.35">
      <c r="B57" s="218"/>
      <c r="C57" s="219" t="s">
        <v>65</v>
      </c>
      <c r="D57" s="219" t="s">
        <v>60</v>
      </c>
      <c r="E57" s="221" t="s">
        <v>85</v>
      </c>
      <c r="F57" s="221"/>
      <c r="G57" s="221"/>
      <c r="H57" s="221"/>
      <c r="I57" s="221"/>
    </row>
    <row r="58" spans="2:9" ht="34.200000000000003" customHeight="1" thickBot="1" x14ac:dyDescent="0.35">
      <c r="B58" s="218"/>
      <c r="C58" s="219"/>
      <c r="D58" s="219"/>
      <c r="E58" s="221" t="s">
        <v>86</v>
      </c>
      <c r="F58" s="221"/>
      <c r="G58" s="221"/>
      <c r="H58" s="221"/>
      <c r="I58" s="221"/>
    </row>
    <row r="59" spans="2:9" ht="25.2" customHeight="1" thickBot="1" x14ac:dyDescent="0.35">
      <c r="B59" s="183" t="s">
        <v>87</v>
      </c>
      <c r="C59" s="184" t="s">
        <v>88</v>
      </c>
      <c r="D59" s="184" t="s">
        <v>50</v>
      </c>
      <c r="E59" s="221" t="s">
        <v>89</v>
      </c>
      <c r="F59" s="221"/>
      <c r="G59" s="221"/>
      <c r="H59" s="221"/>
      <c r="I59" s="221"/>
    </row>
    <row r="60" spans="2:9" ht="31.95" customHeight="1" thickBot="1" x14ac:dyDescent="0.35">
      <c r="B60" s="183" t="s">
        <v>90</v>
      </c>
      <c r="C60" s="184" t="s">
        <v>88</v>
      </c>
      <c r="D60" s="184" t="s">
        <v>60</v>
      </c>
      <c r="E60" s="221" t="s">
        <v>91</v>
      </c>
      <c r="F60" s="221"/>
      <c r="G60" s="221"/>
      <c r="H60" s="221"/>
      <c r="I60" s="221"/>
    </row>
    <row r="61" spans="2:9" ht="32.4" customHeight="1" thickBot="1" x14ac:dyDescent="0.35">
      <c r="B61" s="183" t="s">
        <v>92</v>
      </c>
      <c r="C61" s="184" t="s">
        <v>59</v>
      </c>
      <c r="D61" s="184" t="s">
        <v>60</v>
      </c>
      <c r="E61" s="221" t="s">
        <v>93</v>
      </c>
      <c r="F61" s="221"/>
      <c r="G61" s="221"/>
      <c r="H61" s="221"/>
      <c r="I61" s="221"/>
    </row>
    <row r="62" spans="2:9" ht="36" customHeight="1" thickBot="1" x14ac:dyDescent="0.35">
      <c r="B62" s="183" t="s">
        <v>94</v>
      </c>
      <c r="C62" s="184" t="s">
        <v>62</v>
      </c>
      <c r="D62" s="184" t="s">
        <v>50</v>
      </c>
      <c r="E62" s="222" t="s">
        <v>95</v>
      </c>
      <c r="F62" s="223"/>
      <c r="G62" s="223"/>
      <c r="H62" s="223"/>
      <c r="I62" s="224"/>
    </row>
    <row r="63" spans="2:9" ht="25.2" customHeight="1" thickBot="1" x14ac:dyDescent="0.35">
      <c r="B63" s="183" t="s">
        <v>96</v>
      </c>
      <c r="C63" s="184" t="s">
        <v>65</v>
      </c>
      <c r="D63" s="184" t="s">
        <v>60</v>
      </c>
      <c r="E63" s="222" t="s">
        <v>97</v>
      </c>
      <c r="F63" s="223"/>
      <c r="G63" s="223"/>
      <c r="H63" s="223"/>
      <c r="I63" s="224"/>
    </row>
    <row r="65" spans="2:2" x14ac:dyDescent="0.3">
      <c r="B65" t="s">
        <v>98</v>
      </c>
    </row>
  </sheetData>
  <mergeCells count="67">
    <mergeCell ref="E63:I63"/>
    <mergeCell ref="E62:I62"/>
    <mergeCell ref="E59:I59"/>
    <mergeCell ref="E60:I60"/>
    <mergeCell ref="E61:I61"/>
    <mergeCell ref="E56:I56"/>
    <mergeCell ref="E57:I57"/>
    <mergeCell ref="E58:I58"/>
    <mergeCell ref="E40:I40"/>
    <mergeCell ref="E50:I50"/>
    <mergeCell ref="E51:I51"/>
    <mergeCell ref="E52:I52"/>
    <mergeCell ref="E46:I46"/>
    <mergeCell ref="E47:I47"/>
    <mergeCell ref="E48:I48"/>
    <mergeCell ref="E49:I49"/>
    <mergeCell ref="E41:I41"/>
    <mergeCell ref="E42:I42"/>
    <mergeCell ref="E43:I43"/>
    <mergeCell ref="E34:I34"/>
    <mergeCell ref="E53:I53"/>
    <mergeCell ref="E54:I54"/>
    <mergeCell ref="E55:I55"/>
    <mergeCell ref="E35:I35"/>
    <mergeCell ref="E37:I37"/>
    <mergeCell ref="E38:I38"/>
    <mergeCell ref="E39:I39"/>
    <mergeCell ref="E44:I44"/>
    <mergeCell ref="E45:I45"/>
    <mergeCell ref="E36:I36"/>
    <mergeCell ref="B51:B52"/>
    <mergeCell ref="C51:C52"/>
    <mergeCell ref="D51:D52"/>
    <mergeCell ref="B38:B39"/>
    <mergeCell ref="C38:C39"/>
    <mergeCell ref="D38:D39"/>
    <mergeCell ref="B48:B50"/>
    <mergeCell ref="C49:C50"/>
    <mergeCell ref="D49:D50"/>
    <mergeCell ref="B40:B46"/>
    <mergeCell ref="C41:C42"/>
    <mergeCell ref="D41:D42"/>
    <mergeCell ref="C43:C44"/>
    <mergeCell ref="D43:D44"/>
    <mergeCell ref="C45:C46"/>
    <mergeCell ref="D45:D46"/>
    <mergeCell ref="B53:B58"/>
    <mergeCell ref="C53:C54"/>
    <mergeCell ref="D53:D54"/>
    <mergeCell ref="C55:C56"/>
    <mergeCell ref="D55:D56"/>
    <mergeCell ref="C57:C58"/>
    <mergeCell ref="D57:D58"/>
    <mergeCell ref="B33:I33"/>
    <mergeCell ref="B32:I32"/>
    <mergeCell ref="H24:I24"/>
    <mergeCell ref="C26:D26"/>
    <mergeCell ref="C2:I2"/>
    <mergeCell ref="A1:B2"/>
    <mergeCell ref="B31:I31"/>
    <mergeCell ref="H21:I21"/>
    <mergeCell ref="H22:I22"/>
    <mergeCell ref="H23:I23"/>
    <mergeCell ref="B17:B18"/>
    <mergeCell ref="B10:B11"/>
    <mergeCell ref="H5:I5"/>
    <mergeCell ref="H13:I13"/>
  </mergeCells>
  <pageMargins left="0.7" right="0.7" top="0.75" bottom="0.75" header="0" footer="0"/>
  <pageSetup paperSize="9" scale="5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F1D0-71FF-423B-BEDB-D38C0DC2DC1A}">
  <sheetPr>
    <pageSetUpPr fitToPage="1"/>
  </sheetPr>
  <dimension ref="A1:Z999"/>
  <sheetViews>
    <sheetView topLeftCell="D37" workbookViewId="0">
      <selection activeCell="F43" sqref="F43"/>
    </sheetView>
  </sheetViews>
  <sheetFormatPr defaultColWidth="14.33203125" defaultRowHeight="15" customHeight="1" x14ac:dyDescent="0.3"/>
  <cols>
    <col min="1" max="1" width="3.88671875" customWidth="1"/>
    <col min="2" max="2" width="6.109375" customWidth="1"/>
    <col min="3" max="3" width="11.33203125" customWidth="1"/>
    <col min="4" max="4" width="95.33203125" customWidth="1"/>
    <col min="5" max="5" width="16.33203125" customWidth="1"/>
    <col min="6" max="6" width="72" customWidth="1"/>
    <col min="7" max="7" width="6.33203125" customWidth="1"/>
    <col min="8" max="26" width="11.33203125" customWidth="1"/>
  </cols>
  <sheetData>
    <row r="1" spans="1:26" ht="57.75" customHeight="1" x14ac:dyDescent="0.3">
      <c r="A1" s="131"/>
      <c r="B1" s="225" t="s">
        <v>99</v>
      </c>
      <c r="C1" s="225"/>
      <c r="D1" s="225"/>
      <c r="E1" s="225"/>
      <c r="F1" s="225"/>
      <c r="G1" s="131"/>
      <c r="H1" s="131"/>
      <c r="I1" s="131"/>
      <c r="J1" s="131"/>
      <c r="K1" s="131"/>
      <c r="L1" s="131"/>
      <c r="M1" s="131"/>
      <c r="N1" s="131"/>
      <c r="O1" s="131"/>
      <c r="P1" s="131"/>
      <c r="Q1" s="131"/>
      <c r="R1" s="131"/>
      <c r="S1" s="131"/>
      <c r="T1" s="131"/>
      <c r="U1" s="131"/>
      <c r="V1" s="131"/>
      <c r="W1" s="131"/>
      <c r="X1" s="131"/>
      <c r="Y1" s="131"/>
      <c r="Z1" s="131"/>
    </row>
    <row r="2" spans="1:26" ht="17.399999999999999" customHeight="1" x14ac:dyDescent="0.3">
      <c r="A2" s="131"/>
      <c r="B2" s="132"/>
      <c r="C2" s="133"/>
      <c r="D2" s="133"/>
      <c r="E2" s="133"/>
      <c r="F2" s="133"/>
      <c r="G2" s="134"/>
      <c r="H2" s="131"/>
      <c r="I2" s="131"/>
      <c r="J2" s="131"/>
      <c r="K2" s="131"/>
      <c r="L2" s="131"/>
      <c r="M2" s="131"/>
      <c r="N2" s="131"/>
      <c r="O2" s="131"/>
      <c r="P2" s="131"/>
      <c r="Q2" s="131"/>
      <c r="R2" s="131"/>
      <c r="S2" s="131"/>
      <c r="T2" s="131"/>
      <c r="U2" s="131"/>
      <c r="V2" s="131"/>
      <c r="W2" s="131"/>
      <c r="X2" s="131"/>
      <c r="Y2" s="131"/>
      <c r="Z2" s="131"/>
    </row>
    <row r="3" spans="1:26" ht="17.399999999999999" customHeight="1" x14ac:dyDescent="0.3">
      <c r="A3" s="131"/>
      <c r="B3" s="135"/>
      <c r="C3" s="229" t="s">
        <v>100</v>
      </c>
      <c r="D3" s="230"/>
      <c r="E3" s="136"/>
      <c r="F3" s="136"/>
      <c r="G3" s="131"/>
      <c r="H3" s="135"/>
      <c r="I3" s="131"/>
      <c r="J3" s="131"/>
      <c r="K3" s="131"/>
      <c r="L3" s="131"/>
      <c r="M3" s="131"/>
      <c r="N3" s="131"/>
      <c r="O3" s="131"/>
      <c r="P3" s="131"/>
      <c r="Q3" s="131"/>
      <c r="R3" s="131"/>
      <c r="S3" s="131"/>
      <c r="T3" s="131"/>
      <c r="U3" s="131"/>
      <c r="V3" s="131"/>
      <c r="W3" s="131"/>
      <c r="X3" s="131"/>
      <c r="Y3" s="131"/>
      <c r="Z3" s="131"/>
    </row>
    <row r="4" spans="1:26" ht="17.399999999999999" customHeight="1" x14ac:dyDescent="0.3">
      <c r="A4" s="131"/>
      <c r="B4" s="135"/>
      <c r="C4" s="230"/>
      <c r="D4" s="230"/>
      <c r="E4" s="136"/>
      <c r="F4" s="136"/>
      <c r="G4" s="131"/>
      <c r="H4" s="135"/>
      <c r="I4" s="131"/>
      <c r="J4" s="131"/>
      <c r="K4" s="131"/>
      <c r="L4" s="131"/>
      <c r="M4" s="131"/>
      <c r="N4" s="131"/>
      <c r="O4" s="131"/>
      <c r="P4" s="131"/>
      <c r="Q4" s="131"/>
      <c r="R4" s="131"/>
      <c r="S4" s="131"/>
      <c r="T4" s="131"/>
      <c r="U4" s="131"/>
      <c r="V4" s="131"/>
      <c r="W4" s="131"/>
      <c r="X4" s="131"/>
      <c r="Y4" s="131"/>
      <c r="Z4" s="131"/>
    </row>
    <row r="5" spans="1:26" ht="17.399999999999999" customHeight="1" x14ac:dyDescent="0.3">
      <c r="A5" s="131"/>
      <c r="B5" s="135"/>
      <c r="C5" s="136"/>
      <c r="D5" s="136"/>
      <c r="E5" s="136"/>
      <c r="F5" s="136"/>
      <c r="G5" s="131"/>
      <c r="H5" s="135"/>
      <c r="I5" s="131"/>
      <c r="J5" s="131"/>
      <c r="K5" s="131"/>
      <c r="L5" s="131"/>
      <c r="M5" s="131"/>
      <c r="N5" s="131"/>
      <c r="O5" s="131"/>
      <c r="P5" s="131"/>
      <c r="Q5" s="131"/>
      <c r="R5" s="131"/>
      <c r="S5" s="131"/>
      <c r="T5" s="131"/>
      <c r="U5" s="131"/>
      <c r="V5" s="131"/>
      <c r="W5" s="131"/>
      <c r="X5" s="131"/>
      <c r="Y5" s="131"/>
      <c r="Z5" s="131"/>
    </row>
    <row r="6" spans="1:26" ht="14.25" customHeight="1" x14ac:dyDescent="0.3">
      <c r="A6" s="131"/>
      <c r="B6" s="135"/>
      <c r="C6" s="231" t="s">
        <v>101</v>
      </c>
      <c r="D6" s="232"/>
      <c r="E6" s="164" t="s">
        <v>102</v>
      </c>
      <c r="F6" s="164" t="s">
        <v>103</v>
      </c>
      <c r="G6" s="131"/>
      <c r="H6" s="135"/>
      <c r="I6" s="131"/>
      <c r="J6" s="131"/>
      <c r="K6" s="131"/>
      <c r="L6" s="131"/>
      <c r="M6" s="131"/>
      <c r="N6" s="131"/>
      <c r="O6" s="131"/>
      <c r="P6" s="131"/>
      <c r="Q6" s="131"/>
      <c r="R6" s="131"/>
      <c r="S6" s="131"/>
      <c r="T6" s="131"/>
      <c r="U6" s="131"/>
      <c r="V6" s="131"/>
      <c r="W6" s="131"/>
      <c r="X6" s="131"/>
      <c r="Y6" s="131"/>
      <c r="Z6" s="131"/>
    </row>
    <row r="7" spans="1:26" ht="19.5" customHeight="1" x14ac:dyDescent="0.3">
      <c r="A7" s="131"/>
      <c r="B7" s="135"/>
      <c r="C7" s="226" t="s">
        <v>104</v>
      </c>
      <c r="D7" s="227"/>
      <c r="E7" s="228"/>
      <c r="F7" s="137"/>
      <c r="G7" s="131"/>
      <c r="H7" s="135"/>
      <c r="I7" s="131"/>
      <c r="J7" s="131"/>
      <c r="K7" s="131"/>
      <c r="L7" s="131"/>
      <c r="M7" s="131"/>
      <c r="N7" s="131"/>
      <c r="O7" s="131"/>
      <c r="P7" s="131"/>
      <c r="Q7" s="131"/>
      <c r="R7" s="131"/>
      <c r="S7" s="131"/>
      <c r="T7" s="131"/>
      <c r="U7" s="131"/>
      <c r="V7" s="131"/>
      <c r="W7" s="131"/>
      <c r="X7" s="131"/>
      <c r="Y7" s="131"/>
      <c r="Z7" s="131"/>
    </row>
    <row r="8" spans="1:26" ht="18.75" customHeight="1" x14ac:dyDescent="0.3">
      <c r="A8" s="131"/>
      <c r="B8" s="135"/>
      <c r="C8" s="138">
        <v>5</v>
      </c>
      <c r="D8" s="139" t="s">
        <v>105</v>
      </c>
      <c r="E8" s="140" t="s">
        <v>106</v>
      </c>
      <c r="F8" s="141" t="s">
        <v>107</v>
      </c>
      <c r="G8" s="131"/>
      <c r="H8" s="135"/>
      <c r="I8" s="131"/>
      <c r="J8" s="131"/>
      <c r="K8" s="131"/>
      <c r="L8" s="131"/>
      <c r="M8" s="131"/>
      <c r="N8" s="131"/>
      <c r="O8" s="131"/>
      <c r="P8" s="131"/>
      <c r="Q8" s="131"/>
      <c r="R8" s="131"/>
      <c r="S8" s="131"/>
      <c r="T8" s="131"/>
      <c r="U8" s="131"/>
      <c r="V8" s="131"/>
      <c r="W8" s="131"/>
      <c r="X8" s="131"/>
      <c r="Y8" s="131"/>
      <c r="Z8" s="131"/>
    </row>
    <row r="9" spans="1:26" ht="18.75" customHeight="1" x14ac:dyDescent="0.3">
      <c r="A9" s="131"/>
      <c r="B9" s="135"/>
      <c r="C9" s="138">
        <v>6</v>
      </c>
      <c r="D9" s="139" t="s">
        <v>108</v>
      </c>
      <c r="E9" s="140" t="s">
        <v>106</v>
      </c>
      <c r="F9" s="141" t="s">
        <v>109</v>
      </c>
      <c r="G9" s="131"/>
      <c r="H9" s="135"/>
      <c r="I9" s="131"/>
      <c r="J9" s="131"/>
      <c r="K9" s="131"/>
      <c r="L9" s="131"/>
      <c r="M9" s="131"/>
      <c r="N9" s="131"/>
      <c r="O9" s="131"/>
      <c r="P9" s="131"/>
      <c r="Q9" s="131"/>
      <c r="R9" s="131"/>
      <c r="S9" s="131"/>
      <c r="T9" s="131"/>
      <c r="U9" s="131"/>
      <c r="V9" s="131"/>
      <c r="W9" s="131"/>
      <c r="X9" s="131"/>
      <c r="Y9" s="131"/>
      <c r="Z9" s="131"/>
    </row>
    <row r="10" spans="1:26" ht="18.75" customHeight="1" x14ac:dyDescent="0.3">
      <c r="A10" s="131"/>
      <c r="B10" s="135"/>
      <c r="C10" s="138">
        <v>7</v>
      </c>
      <c r="D10" s="139" t="s">
        <v>110</v>
      </c>
      <c r="E10" s="140" t="s">
        <v>106</v>
      </c>
      <c r="F10" s="141" t="s">
        <v>111</v>
      </c>
      <c r="G10" s="131"/>
      <c r="H10" s="135"/>
      <c r="I10" s="131"/>
      <c r="J10" s="131"/>
      <c r="K10" s="131"/>
      <c r="L10" s="131"/>
      <c r="M10" s="131"/>
      <c r="N10" s="131"/>
      <c r="O10" s="131"/>
      <c r="P10" s="131"/>
      <c r="Q10" s="131"/>
      <c r="R10" s="131"/>
      <c r="S10" s="131"/>
      <c r="T10" s="131"/>
      <c r="U10" s="131"/>
      <c r="V10" s="131"/>
      <c r="W10" s="131"/>
      <c r="X10" s="131"/>
      <c r="Y10" s="131"/>
      <c r="Z10" s="131"/>
    </row>
    <row r="11" spans="1:26" ht="18.75" customHeight="1" x14ac:dyDescent="0.3">
      <c r="A11" s="131"/>
      <c r="B11" s="135"/>
      <c r="C11" s="138">
        <v>8</v>
      </c>
      <c r="D11" s="139" t="s">
        <v>112</v>
      </c>
      <c r="E11" s="140" t="s">
        <v>106</v>
      </c>
      <c r="F11" s="141" t="s">
        <v>113</v>
      </c>
      <c r="G11" s="131"/>
      <c r="H11" s="135"/>
      <c r="I11" s="131"/>
      <c r="J11" s="131"/>
      <c r="K11" s="131"/>
      <c r="L11" s="131"/>
      <c r="M11" s="131"/>
      <c r="N11" s="131"/>
      <c r="O11" s="131"/>
      <c r="P11" s="131"/>
      <c r="Q11" s="131"/>
      <c r="R11" s="131"/>
      <c r="S11" s="131"/>
      <c r="T11" s="131"/>
      <c r="U11" s="131"/>
      <c r="V11" s="131"/>
      <c r="W11" s="131"/>
      <c r="X11" s="131"/>
      <c r="Y11" s="131"/>
      <c r="Z11" s="131"/>
    </row>
    <row r="12" spans="1:26" ht="18.75" customHeight="1" x14ac:dyDescent="0.3">
      <c r="A12" s="131"/>
      <c r="B12" s="135"/>
      <c r="C12" s="138">
        <v>9</v>
      </c>
      <c r="D12" s="139" t="s">
        <v>114</v>
      </c>
      <c r="E12" s="140" t="s">
        <v>106</v>
      </c>
      <c r="F12" s="141" t="s">
        <v>115</v>
      </c>
      <c r="G12" s="131"/>
      <c r="H12" s="135"/>
      <c r="I12" s="131"/>
      <c r="J12" s="131"/>
      <c r="K12" s="131"/>
      <c r="L12" s="131"/>
      <c r="M12" s="131"/>
      <c r="N12" s="131"/>
      <c r="O12" s="131"/>
      <c r="P12" s="131"/>
      <c r="Q12" s="131"/>
      <c r="R12" s="131"/>
      <c r="S12" s="131"/>
      <c r="T12" s="131"/>
      <c r="U12" s="131"/>
      <c r="V12" s="131"/>
      <c r="W12" s="131"/>
      <c r="X12" s="131"/>
      <c r="Y12" s="131"/>
      <c r="Z12" s="131"/>
    </row>
    <row r="13" spans="1:26" ht="18.75" customHeight="1" x14ac:dyDescent="0.3">
      <c r="A13" s="131"/>
      <c r="B13" s="135"/>
      <c r="C13" s="138">
        <v>10</v>
      </c>
      <c r="D13" s="139" t="s">
        <v>116</v>
      </c>
      <c r="E13" s="140" t="s">
        <v>106</v>
      </c>
      <c r="F13" s="141" t="s">
        <v>117</v>
      </c>
      <c r="G13" s="131"/>
      <c r="H13" s="135"/>
      <c r="I13" s="131"/>
      <c r="J13" s="131"/>
      <c r="K13" s="131"/>
      <c r="L13" s="131"/>
      <c r="M13" s="131"/>
      <c r="N13" s="131"/>
      <c r="O13" s="131"/>
      <c r="P13" s="131"/>
      <c r="Q13" s="131"/>
      <c r="R13" s="131"/>
      <c r="S13" s="131"/>
      <c r="T13" s="131"/>
      <c r="U13" s="131"/>
      <c r="V13" s="131"/>
      <c r="W13" s="131"/>
      <c r="X13" s="131"/>
      <c r="Y13" s="131"/>
      <c r="Z13" s="131"/>
    </row>
    <row r="14" spans="1:26" ht="18.75" customHeight="1" x14ac:dyDescent="0.3">
      <c r="A14" s="131"/>
      <c r="B14" s="135"/>
      <c r="C14" s="138">
        <v>11</v>
      </c>
      <c r="D14" s="139" t="s">
        <v>118</v>
      </c>
      <c r="E14" s="140" t="s">
        <v>106</v>
      </c>
      <c r="F14" s="141" t="s">
        <v>119</v>
      </c>
      <c r="G14" s="131"/>
      <c r="H14" s="135"/>
      <c r="I14" s="131"/>
      <c r="J14" s="131"/>
      <c r="K14" s="131"/>
      <c r="L14" s="131"/>
      <c r="M14" s="131"/>
      <c r="N14" s="131"/>
      <c r="O14" s="131"/>
      <c r="P14" s="131"/>
      <c r="Q14" s="131"/>
      <c r="R14" s="131"/>
      <c r="S14" s="131"/>
      <c r="T14" s="131"/>
      <c r="U14" s="131"/>
      <c r="V14" s="131"/>
      <c r="W14" s="131"/>
      <c r="X14" s="131"/>
      <c r="Y14" s="131"/>
      <c r="Z14" s="131"/>
    </row>
    <row r="15" spans="1:26" ht="19.5" customHeight="1" x14ac:dyDescent="0.3">
      <c r="A15" s="131"/>
      <c r="B15" s="135"/>
      <c r="C15" s="226" t="s">
        <v>120</v>
      </c>
      <c r="D15" s="233"/>
      <c r="E15" s="234"/>
      <c r="F15" s="137"/>
      <c r="G15" s="131"/>
      <c r="H15" s="135"/>
      <c r="I15" s="131"/>
      <c r="J15" s="131"/>
      <c r="K15" s="131"/>
      <c r="L15" s="131"/>
      <c r="M15" s="131"/>
      <c r="N15" s="131"/>
      <c r="O15" s="131"/>
      <c r="P15" s="131"/>
      <c r="Q15" s="131"/>
      <c r="R15" s="131"/>
      <c r="S15" s="131"/>
      <c r="T15" s="131"/>
      <c r="U15" s="131"/>
      <c r="V15" s="131"/>
      <c r="W15" s="131"/>
      <c r="X15" s="131"/>
      <c r="Y15" s="131"/>
      <c r="Z15" s="131"/>
    </row>
    <row r="16" spans="1:26" ht="18.75" customHeight="1" x14ac:dyDescent="0.3">
      <c r="A16" s="131"/>
      <c r="B16" s="135"/>
      <c r="C16" s="138">
        <v>12</v>
      </c>
      <c r="D16" s="139" t="s">
        <v>121</v>
      </c>
      <c r="E16" s="140" t="s">
        <v>106</v>
      </c>
      <c r="F16" s="141" t="s">
        <v>122</v>
      </c>
      <c r="G16" s="131"/>
      <c r="H16" s="135"/>
      <c r="I16" s="131"/>
      <c r="J16" s="131"/>
      <c r="K16" s="131"/>
      <c r="L16" s="131"/>
      <c r="M16" s="131"/>
      <c r="N16" s="131"/>
      <c r="O16" s="131"/>
      <c r="P16" s="131"/>
      <c r="Q16" s="131"/>
      <c r="R16" s="131"/>
      <c r="S16" s="131"/>
      <c r="T16" s="131"/>
      <c r="U16" s="131"/>
      <c r="V16" s="131"/>
      <c r="W16" s="131"/>
      <c r="X16" s="131"/>
      <c r="Y16" s="131"/>
      <c r="Z16" s="131"/>
    </row>
    <row r="17" spans="1:26" ht="18.75" customHeight="1" x14ac:dyDescent="0.3">
      <c r="A17" s="131"/>
      <c r="B17" s="135"/>
      <c r="C17" s="138">
        <v>13</v>
      </c>
      <c r="D17" s="139" t="s">
        <v>123</v>
      </c>
      <c r="E17" s="140" t="s">
        <v>106</v>
      </c>
      <c r="F17" s="141" t="s">
        <v>124</v>
      </c>
      <c r="G17" s="131"/>
      <c r="H17" s="135"/>
      <c r="I17" s="131"/>
      <c r="J17" s="131"/>
      <c r="K17" s="131"/>
      <c r="L17" s="131"/>
      <c r="M17" s="131"/>
      <c r="N17" s="131"/>
      <c r="O17" s="131"/>
      <c r="P17" s="131"/>
      <c r="Q17" s="131"/>
      <c r="R17" s="131"/>
      <c r="S17" s="131"/>
      <c r="T17" s="131"/>
      <c r="U17" s="131"/>
      <c r="V17" s="131"/>
      <c r="W17" s="131"/>
      <c r="X17" s="131"/>
      <c r="Y17" s="131"/>
      <c r="Z17" s="131"/>
    </row>
    <row r="18" spans="1:26" ht="18.75" customHeight="1" x14ac:dyDescent="0.3">
      <c r="A18" s="131"/>
      <c r="B18" s="135"/>
      <c r="C18" s="138">
        <v>14</v>
      </c>
      <c r="D18" s="139" t="s">
        <v>125</v>
      </c>
      <c r="E18" s="140" t="s">
        <v>106</v>
      </c>
      <c r="F18" s="141" t="s">
        <v>126</v>
      </c>
      <c r="G18" s="131"/>
      <c r="H18" s="135"/>
      <c r="I18" s="131"/>
      <c r="J18" s="131"/>
      <c r="K18" s="131"/>
      <c r="L18" s="131"/>
      <c r="M18" s="131"/>
      <c r="N18" s="131"/>
      <c r="O18" s="131"/>
      <c r="P18" s="131"/>
      <c r="Q18" s="131"/>
      <c r="R18" s="131"/>
      <c r="S18" s="131"/>
      <c r="T18" s="131"/>
      <c r="U18" s="131"/>
      <c r="V18" s="131"/>
      <c r="W18" s="131"/>
      <c r="X18" s="131"/>
      <c r="Y18" s="131"/>
      <c r="Z18" s="131"/>
    </row>
    <row r="19" spans="1:26" ht="18.75" customHeight="1" x14ac:dyDescent="0.3">
      <c r="A19" s="131"/>
      <c r="B19" s="135"/>
      <c r="C19" s="138">
        <v>15</v>
      </c>
      <c r="D19" s="139" t="s">
        <v>127</v>
      </c>
      <c r="E19" s="140" t="s">
        <v>106</v>
      </c>
      <c r="F19" s="141" t="s">
        <v>128</v>
      </c>
      <c r="G19" s="131"/>
      <c r="H19" s="135"/>
      <c r="I19" s="131"/>
      <c r="J19" s="131"/>
      <c r="K19" s="131"/>
      <c r="L19" s="131"/>
      <c r="M19" s="131"/>
      <c r="N19" s="131"/>
      <c r="O19" s="131"/>
      <c r="P19" s="131"/>
      <c r="Q19" s="131"/>
      <c r="R19" s="131"/>
      <c r="S19" s="131"/>
      <c r="T19" s="131"/>
      <c r="U19" s="131"/>
      <c r="V19" s="131"/>
      <c r="W19" s="131"/>
      <c r="X19" s="131"/>
      <c r="Y19" s="131"/>
      <c r="Z19" s="131"/>
    </row>
    <row r="20" spans="1:26" ht="18.75" customHeight="1" x14ac:dyDescent="0.3">
      <c r="A20" s="131"/>
      <c r="B20" s="135"/>
      <c r="C20" s="138">
        <v>16</v>
      </c>
      <c r="D20" s="139" t="s">
        <v>129</v>
      </c>
      <c r="E20" s="140" t="s">
        <v>106</v>
      </c>
      <c r="F20" s="141" t="s">
        <v>130</v>
      </c>
      <c r="G20" s="131"/>
      <c r="H20" s="135"/>
      <c r="I20" s="131"/>
      <c r="J20" s="131"/>
      <c r="K20" s="131"/>
      <c r="L20" s="131"/>
      <c r="M20" s="131"/>
      <c r="N20" s="131"/>
      <c r="O20" s="131"/>
      <c r="P20" s="131"/>
      <c r="Q20" s="131"/>
      <c r="R20" s="131"/>
      <c r="S20" s="131"/>
      <c r="T20" s="131"/>
      <c r="U20" s="131"/>
      <c r="V20" s="131"/>
      <c r="W20" s="131"/>
      <c r="X20" s="131"/>
      <c r="Y20" s="131"/>
      <c r="Z20" s="131"/>
    </row>
    <row r="21" spans="1:26" ht="18.75" customHeight="1" x14ac:dyDescent="0.3">
      <c r="A21" s="131"/>
      <c r="B21" s="135"/>
      <c r="C21" s="138">
        <v>17</v>
      </c>
      <c r="D21" s="139" t="s">
        <v>131</v>
      </c>
      <c r="E21" s="140" t="s">
        <v>106</v>
      </c>
      <c r="F21" s="141" t="s">
        <v>132</v>
      </c>
      <c r="G21" s="131"/>
      <c r="H21" s="135"/>
      <c r="I21" s="131"/>
      <c r="J21" s="131"/>
      <c r="K21" s="131"/>
      <c r="L21" s="131"/>
      <c r="M21" s="131"/>
      <c r="N21" s="131"/>
      <c r="O21" s="131"/>
      <c r="P21" s="131"/>
      <c r="Q21" s="131"/>
      <c r="R21" s="131"/>
      <c r="S21" s="131"/>
      <c r="T21" s="131"/>
      <c r="U21" s="131"/>
      <c r="V21" s="131"/>
      <c r="W21" s="131"/>
      <c r="X21" s="131"/>
      <c r="Y21" s="131"/>
      <c r="Z21" s="131"/>
    </row>
    <row r="22" spans="1:26" ht="18.75" customHeight="1" x14ac:dyDescent="0.3">
      <c r="A22" s="131"/>
      <c r="B22" s="135"/>
      <c r="C22" s="138">
        <v>18</v>
      </c>
      <c r="D22" s="139" t="s">
        <v>133</v>
      </c>
      <c r="E22" s="140" t="s">
        <v>106</v>
      </c>
      <c r="F22" s="141" t="s">
        <v>134</v>
      </c>
      <c r="G22" s="131"/>
      <c r="H22" s="135"/>
      <c r="I22" s="131"/>
      <c r="J22" s="131"/>
      <c r="K22" s="131"/>
      <c r="L22" s="131"/>
      <c r="M22" s="131"/>
      <c r="N22" s="131"/>
      <c r="O22" s="131"/>
      <c r="P22" s="131"/>
      <c r="Q22" s="131"/>
      <c r="R22" s="131"/>
      <c r="S22" s="131"/>
      <c r="T22" s="131"/>
      <c r="U22" s="131"/>
      <c r="V22" s="131"/>
      <c r="W22" s="131"/>
      <c r="X22" s="131"/>
      <c r="Y22" s="131"/>
      <c r="Z22" s="131"/>
    </row>
    <row r="23" spans="1:26" ht="18.75" customHeight="1" x14ac:dyDescent="0.3">
      <c r="A23" s="131"/>
      <c r="B23" s="135"/>
      <c r="C23" s="138">
        <v>19</v>
      </c>
      <c r="D23" s="139" t="s">
        <v>135</v>
      </c>
      <c r="E23" s="140" t="s">
        <v>106</v>
      </c>
      <c r="F23" s="141" t="s">
        <v>136</v>
      </c>
      <c r="G23" s="131"/>
      <c r="H23" s="135"/>
      <c r="I23" s="131"/>
      <c r="J23" s="131"/>
      <c r="K23" s="131"/>
      <c r="L23" s="131"/>
      <c r="M23" s="131"/>
      <c r="N23" s="131"/>
      <c r="O23" s="131"/>
      <c r="P23" s="131"/>
      <c r="Q23" s="131"/>
      <c r="R23" s="131"/>
      <c r="S23" s="131"/>
      <c r="T23" s="131"/>
      <c r="U23" s="131"/>
      <c r="V23" s="131"/>
      <c r="W23" s="131"/>
      <c r="X23" s="131"/>
      <c r="Y23" s="131"/>
      <c r="Z23" s="131"/>
    </row>
    <row r="24" spans="1:26" ht="18.75" customHeight="1" x14ac:dyDescent="0.3">
      <c r="A24" s="131"/>
      <c r="B24" s="135"/>
      <c r="C24" s="138">
        <v>20</v>
      </c>
      <c r="D24" s="139" t="s">
        <v>137</v>
      </c>
      <c r="E24" s="140" t="s">
        <v>106</v>
      </c>
      <c r="F24" s="141" t="s">
        <v>138</v>
      </c>
      <c r="G24" s="131"/>
      <c r="H24" s="135"/>
      <c r="I24" s="131"/>
      <c r="J24" s="131"/>
      <c r="K24" s="131"/>
      <c r="L24" s="131"/>
      <c r="M24" s="131"/>
      <c r="N24" s="131"/>
      <c r="O24" s="131"/>
      <c r="P24" s="131"/>
      <c r="Q24" s="131"/>
      <c r="R24" s="131"/>
      <c r="S24" s="131"/>
      <c r="T24" s="131"/>
      <c r="U24" s="131"/>
      <c r="V24" s="131"/>
      <c r="W24" s="131"/>
      <c r="X24" s="131"/>
      <c r="Y24" s="131"/>
      <c r="Z24" s="131"/>
    </row>
    <row r="25" spans="1:26" ht="18.75" customHeight="1" x14ac:dyDescent="0.3">
      <c r="A25" s="131"/>
      <c r="B25" s="135"/>
      <c r="C25" s="138">
        <v>21</v>
      </c>
      <c r="D25" s="139" t="s">
        <v>139</v>
      </c>
      <c r="E25" s="140" t="s">
        <v>106</v>
      </c>
      <c r="F25" s="141" t="s">
        <v>140</v>
      </c>
      <c r="G25" s="131"/>
      <c r="H25" s="135"/>
      <c r="I25" s="131"/>
      <c r="J25" s="131"/>
      <c r="K25" s="131"/>
      <c r="L25" s="131"/>
      <c r="M25" s="131"/>
      <c r="N25" s="131"/>
      <c r="O25" s="131"/>
      <c r="P25" s="131"/>
      <c r="Q25" s="131"/>
      <c r="R25" s="131"/>
      <c r="S25" s="131"/>
      <c r="T25" s="131"/>
      <c r="U25" s="131"/>
      <c r="V25" s="131"/>
      <c r="W25" s="131"/>
      <c r="X25" s="131"/>
      <c r="Y25" s="131"/>
      <c r="Z25" s="131"/>
    </row>
    <row r="26" spans="1:26" ht="18.75" customHeight="1" x14ac:dyDescent="0.3">
      <c r="A26" s="131"/>
      <c r="B26" s="135"/>
      <c r="C26" s="138">
        <v>22</v>
      </c>
      <c r="D26" s="139" t="s">
        <v>141</v>
      </c>
      <c r="E26" s="140" t="s">
        <v>106</v>
      </c>
      <c r="F26" s="141" t="s">
        <v>142</v>
      </c>
      <c r="G26" s="131"/>
      <c r="H26" s="135"/>
      <c r="I26" s="131"/>
      <c r="J26" s="131"/>
      <c r="K26" s="131"/>
      <c r="L26" s="131"/>
      <c r="M26" s="131"/>
      <c r="N26" s="131"/>
      <c r="O26" s="131"/>
      <c r="P26" s="131"/>
      <c r="Q26" s="131"/>
      <c r="R26" s="131"/>
      <c r="S26" s="131"/>
      <c r="T26" s="131"/>
      <c r="U26" s="131"/>
      <c r="V26" s="131"/>
      <c r="W26" s="131"/>
      <c r="X26" s="131"/>
      <c r="Y26" s="131"/>
      <c r="Z26" s="131"/>
    </row>
    <row r="27" spans="1:26" ht="18.75" customHeight="1" x14ac:dyDescent="0.3">
      <c r="A27" s="131"/>
      <c r="B27" s="135"/>
      <c r="C27" s="138">
        <v>23</v>
      </c>
      <c r="D27" s="139" t="s">
        <v>143</v>
      </c>
      <c r="E27" s="140" t="s">
        <v>106</v>
      </c>
      <c r="F27" s="141" t="s">
        <v>144</v>
      </c>
      <c r="G27" s="131"/>
      <c r="H27" s="135"/>
      <c r="I27" s="131"/>
      <c r="J27" s="131"/>
      <c r="K27" s="131"/>
      <c r="L27" s="131"/>
      <c r="M27" s="131"/>
      <c r="N27" s="131"/>
      <c r="O27" s="131"/>
      <c r="P27" s="131"/>
      <c r="Q27" s="131"/>
      <c r="R27" s="131"/>
      <c r="S27" s="131"/>
      <c r="T27" s="131"/>
      <c r="U27" s="131"/>
      <c r="V27" s="131"/>
      <c r="W27" s="131"/>
      <c r="X27" s="131"/>
      <c r="Y27" s="131"/>
      <c r="Z27" s="131"/>
    </row>
    <row r="28" spans="1:26" ht="18.75" customHeight="1" x14ac:dyDescent="0.3">
      <c r="A28" s="131"/>
      <c r="B28" s="135"/>
      <c r="C28" s="138">
        <v>24</v>
      </c>
      <c r="D28" s="139" t="s">
        <v>145</v>
      </c>
      <c r="E28" s="140" t="s">
        <v>106</v>
      </c>
      <c r="F28" s="141" t="s">
        <v>146</v>
      </c>
      <c r="G28" s="131"/>
      <c r="H28" s="135"/>
      <c r="I28" s="131"/>
      <c r="J28" s="131"/>
      <c r="K28" s="131"/>
      <c r="L28" s="131"/>
      <c r="M28" s="131"/>
      <c r="N28" s="131"/>
      <c r="O28" s="131"/>
      <c r="P28" s="131"/>
      <c r="Q28" s="131"/>
      <c r="R28" s="131"/>
      <c r="S28" s="131"/>
      <c r="T28" s="131"/>
      <c r="U28" s="131"/>
      <c r="V28" s="131"/>
      <c r="W28" s="131"/>
      <c r="X28" s="131"/>
      <c r="Y28" s="131"/>
      <c r="Z28" s="131"/>
    </row>
    <row r="29" spans="1:26" ht="18.75" customHeight="1" x14ac:dyDescent="0.3">
      <c r="A29" s="131"/>
      <c r="B29" s="135"/>
      <c r="C29" s="138">
        <v>25</v>
      </c>
      <c r="D29" s="139" t="s">
        <v>147</v>
      </c>
      <c r="E29" s="140" t="s">
        <v>106</v>
      </c>
      <c r="F29" s="141" t="s">
        <v>148</v>
      </c>
      <c r="G29" s="131"/>
      <c r="H29" s="135"/>
      <c r="I29" s="131"/>
      <c r="J29" s="131"/>
      <c r="K29" s="131"/>
      <c r="L29" s="131"/>
      <c r="M29" s="131"/>
      <c r="N29" s="131"/>
      <c r="O29" s="131"/>
      <c r="P29" s="131"/>
      <c r="Q29" s="131"/>
      <c r="R29" s="131"/>
      <c r="S29" s="131"/>
      <c r="T29" s="131"/>
      <c r="U29" s="131"/>
      <c r="V29" s="131"/>
      <c r="W29" s="131"/>
      <c r="X29" s="131"/>
      <c r="Y29" s="131"/>
      <c r="Z29" s="131"/>
    </row>
    <row r="30" spans="1:26" ht="18.75" customHeight="1" x14ac:dyDescent="0.3">
      <c r="A30" s="131"/>
      <c r="B30" s="135"/>
      <c r="C30" s="138">
        <v>26</v>
      </c>
      <c r="D30" s="139" t="s">
        <v>149</v>
      </c>
      <c r="E30" s="140" t="s">
        <v>106</v>
      </c>
      <c r="F30" s="141" t="s">
        <v>150</v>
      </c>
      <c r="G30" s="131"/>
      <c r="H30" s="135"/>
      <c r="I30" s="131"/>
      <c r="J30" s="131"/>
      <c r="K30" s="131"/>
      <c r="L30" s="131"/>
      <c r="M30" s="131"/>
      <c r="N30" s="131"/>
      <c r="O30" s="131"/>
      <c r="P30" s="131"/>
      <c r="Q30" s="131"/>
      <c r="R30" s="131"/>
      <c r="S30" s="131"/>
      <c r="T30" s="131"/>
      <c r="U30" s="131"/>
      <c r="V30" s="131"/>
      <c r="W30" s="131"/>
      <c r="X30" s="131"/>
      <c r="Y30" s="131"/>
      <c r="Z30" s="131"/>
    </row>
    <row r="31" spans="1:26" ht="18.75" customHeight="1" x14ac:dyDescent="0.3">
      <c r="A31" s="131"/>
      <c r="B31" s="135"/>
      <c r="C31" s="138">
        <v>27</v>
      </c>
      <c r="D31" s="139" t="s">
        <v>151</v>
      </c>
      <c r="E31" s="140" t="s">
        <v>106</v>
      </c>
      <c r="F31" s="141" t="s">
        <v>152</v>
      </c>
      <c r="G31" s="131"/>
      <c r="H31" s="135"/>
      <c r="I31" s="131"/>
      <c r="J31" s="131"/>
      <c r="K31" s="131"/>
      <c r="L31" s="131"/>
      <c r="M31" s="131"/>
      <c r="N31" s="131"/>
      <c r="O31" s="131"/>
      <c r="P31" s="131"/>
      <c r="Q31" s="131"/>
      <c r="R31" s="131"/>
      <c r="S31" s="131"/>
      <c r="T31" s="131"/>
      <c r="U31" s="131"/>
      <c r="V31" s="131"/>
      <c r="W31" s="131"/>
      <c r="X31" s="131"/>
      <c r="Y31" s="131"/>
      <c r="Z31" s="131"/>
    </row>
    <row r="32" spans="1:26" ht="18.75" customHeight="1" x14ac:dyDescent="0.3">
      <c r="A32" s="131"/>
      <c r="B32" s="135"/>
      <c r="C32" s="138">
        <v>28</v>
      </c>
      <c r="D32" s="139" t="s">
        <v>153</v>
      </c>
      <c r="E32" s="140" t="s">
        <v>106</v>
      </c>
      <c r="F32" s="141" t="s">
        <v>154</v>
      </c>
      <c r="G32" s="131"/>
      <c r="H32" s="135"/>
      <c r="I32" s="131"/>
      <c r="J32" s="131"/>
      <c r="K32" s="131"/>
      <c r="L32" s="131"/>
      <c r="M32" s="131"/>
      <c r="N32" s="131"/>
      <c r="O32" s="131"/>
      <c r="P32" s="131"/>
      <c r="Q32" s="131"/>
      <c r="R32" s="131"/>
      <c r="S32" s="131"/>
      <c r="T32" s="131"/>
      <c r="U32" s="131"/>
      <c r="V32" s="131"/>
      <c r="W32" s="131"/>
      <c r="X32" s="131"/>
      <c r="Y32" s="131"/>
      <c r="Z32" s="131"/>
    </row>
    <row r="33" spans="1:26" ht="30.15" customHeight="1" x14ac:dyDescent="0.3">
      <c r="A33" s="131"/>
      <c r="B33" s="135"/>
      <c r="C33" s="138">
        <v>29</v>
      </c>
      <c r="D33" s="139" t="s">
        <v>155</v>
      </c>
      <c r="E33" s="140" t="s">
        <v>156</v>
      </c>
      <c r="F33" s="142" t="s">
        <v>157</v>
      </c>
      <c r="G33" s="131"/>
      <c r="H33" s="135"/>
      <c r="I33" s="131"/>
      <c r="J33" s="131"/>
      <c r="K33" s="131"/>
      <c r="L33" s="131"/>
      <c r="M33" s="131"/>
      <c r="N33" s="131"/>
      <c r="O33" s="131"/>
      <c r="P33" s="131"/>
      <c r="Q33" s="131"/>
      <c r="R33" s="131"/>
      <c r="S33" s="131"/>
      <c r="T33" s="131"/>
      <c r="U33" s="131"/>
      <c r="V33" s="131"/>
      <c r="W33" s="131"/>
      <c r="X33" s="131"/>
      <c r="Y33" s="131"/>
      <c r="Z33" s="131"/>
    </row>
    <row r="34" spans="1:26" ht="33.75" customHeight="1" x14ac:dyDescent="0.3">
      <c r="A34" s="131"/>
      <c r="B34" s="135"/>
      <c r="C34" s="138">
        <v>30</v>
      </c>
      <c r="D34" s="139" t="s">
        <v>158</v>
      </c>
      <c r="E34" s="140" t="s">
        <v>156</v>
      </c>
      <c r="F34" s="142" t="s">
        <v>159</v>
      </c>
      <c r="G34" s="131"/>
      <c r="H34" s="135"/>
      <c r="I34" s="131"/>
      <c r="J34" s="131"/>
      <c r="K34" s="131"/>
      <c r="L34" s="131"/>
      <c r="M34" s="131"/>
      <c r="N34" s="131"/>
      <c r="O34" s="131"/>
      <c r="P34" s="131"/>
      <c r="Q34" s="131"/>
      <c r="R34" s="131"/>
      <c r="S34" s="131"/>
      <c r="T34" s="131"/>
      <c r="U34" s="131"/>
      <c r="V34" s="131"/>
      <c r="W34" s="131"/>
      <c r="X34" s="131"/>
      <c r="Y34" s="131"/>
      <c r="Z34" s="131"/>
    </row>
    <row r="35" spans="1:26" ht="21.15" customHeight="1" x14ac:dyDescent="0.3">
      <c r="A35" s="131"/>
      <c r="B35" s="135"/>
      <c r="C35" s="226" t="s">
        <v>160</v>
      </c>
      <c r="D35" s="227"/>
      <c r="E35" s="228"/>
      <c r="F35" s="137"/>
      <c r="G35" s="131"/>
      <c r="H35" s="135"/>
      <c r="I35" s="131"/>
      <c r="J35" s="131"/>
      <c r="K35" s="131"/>
      <c r="L35" s="131"/>
      <c r="M35" s="131"/>
      <c r="N35" s="131"/>
      <c r="O35" s="131"/>
      <c r="P35" s="131"/>
      <c r="Q35" s="131"/>
      <c r="R35" s="131"/>
      <c r="S35" s="131"/>
      <c r="T35" s="131"/>
      <c r="U35" s="131"/>
      <c r="V35" s="131"/>
      <c r="W35" s="131"/>
      <c r="X35" s="131"/>
      <c r="Y35" s="131"/>
      <c r="Z35" s="131"/>
    </row>
    <row r="36" spans="1:26" ht="18.75" customHeight="1" x14ac:dyDescent="0.3">
      <c r="A36" s="131"/>
      <c r="B36" s="135"/>
      <c r="C36" s="138">
        <v>31</v>
      </c>
      <c r="D36" s="139" t="s">
        <v>161</v>
      </c>
      <c r="E36" s="140" t="s">
        <v>106</v>
      </c>
      <c r="F36" s="141" t="s">
        <v>501</v>
      </c>
      <c r="G36" s="131"/>
      <c r="H36" s="135"/>
      <c r="I36" s="131"/>
      <c r="J36" s="131"/>
      <c r="K36" s="131"/>
      <c r="L36" s="131"/>
      <c r="M36" s="131"/>
      <c r="N36" s="131"/>
      <c r="O36" s="131"/>
      <c r="P36" s="131"/>
      <c r="Q36" s="131"/>
      <c r="R36" s="131"/>
      <c r="S36" s="131"/>
      <c r="T36" s="131"/>
      <c r="U36" s="131"/>
      <c r="V36" s="131"/>
      <c r="W36" s="131"/>
      <c r="X36" s="131"/>
      <c r="Y36" s="131"/>
      <c r="Z36" s="131"/>
    </row>
    <row r="37" spans="1:26" ht="57.6" x14ac:dyDescent="0.3">
      <c r="A37" s="131"/>
      <c r="B37" s="135"/>
      <c r="C37" s="138">
        <v>32</v>
      </c>
      <c r="D37" s="139" t="s">
        <v>162</v>
      </c>
      <c r="E37" s="140" t="s">
        <v>106</v>
      </c>
      <c r="F37" s="143" t="s">
        <v>507</v>
      </c>
      <c r="G37" s="131"/>
      <c r="H37" s="135"/>
      <c r="I37" s="131"/>
      <c r="J37" s="131"/>
      <c r="K37" s="131"/>
      <c r="L37" s="131"/>
      <c r="M37" s="131"/>
      <c r="N37" s="131"/>
      <c r="O37" s="131"/>
      <c r="P37" s="131"/>
      <c r="Q37" s="131"/>
      <c r="R37" s="131"/>
      <c r="S37" s="131"/>
      <c r="T37" s="131"/>
      <c r="U37" s="131"/>
      <c r="V37" s="131"/>
      <c r="W37" s="131"/>
      <c r="X37" s="131"/>
      <c r="Y37" s="131"/>
      <c r="Z37" s="131"/>
    </row>
    <row r="38" spans="1:26" ht="22.2" customHeight="1" x14ac:dyDescent="0.3">
      <c r="A38" s="131"/>
      <c r="B38" s="135"/>
      <c r="C38" s="138">
        <v>33</v>
      </c>
      <c r="D38" s="139" t="s">
        <v>163</v>
      </c>
      <c r="E38" s="140" t="s">
        <v>106</v>
      </c>
      <c r="F38" s="141" t="s">
        <v>506</v>
      </c>
      <c r="G38" s="131"/>
      <c r="H38" s="135"/>
      <c r="I38" s="131"/>
      <c r="J38" s="131"/>
      <c r="K38" s="131"/>
      <c r="L38" s="131"/>
      <c r="M38" s="131"/>
      <c r="N38" s="131"/>
      <c r="O38" s="131"/>
      <c r="P38" s="131"/>
      <c r="Q38" s="131"/>
      <c r="R38" s="131"/>
      <c r="S38" s="131"/>
      <c r="T38" s="131"/>
      <c r="U38" s="131"/>
      <c r="V38" s="131"/>
      <c r="W38" s="131"/>
      <c r="X38" s="131"/>
      <c r="Y38" s="131"/>
      <c r="Z38" s="131"/>
    </row>
    <row r="39" spans="1:26" ht="18.75" customHeight="1" x14ac:dyDescent="0.3">
      <c r="A39" s="131"/>
      <c r="B39" s="135"/>
      <c r="C39" s="138">
        <v>34</v>
      </c>
      <c r="D39" s="139" t="s">
        <v>164</v>
      </c>
      <c r="E39" s="140" t="s">
        <v>156</v>
      </c>
      <c r="F39" s="142" t="s">
        <v>165</v>
      </c>
      <c r="G39" s="131"/>
      <c r="H39" s="135"/>
      <c r="I39" s="131"/>
      <c r="J39" s="131"/>
      <c r="K39" s="131"/>
      <c r="L39" s="131"/>
      <c r="M39" s="131"/>
      <c r="N39" s="131"/>
      <c r="O39" s="131"/>
      <c r="P39" s="131"/>
      <c r="Q39" s="131"/>
      <c r="R39" s="131"/>
      <c r="S39" s="131"/>
      <c r="T39" s="131"/>
      <c r="U39" s="131"/>
      <c r="V39" s="131"/>
      <c r="W39" s="131"/>
      <c r="X39" s="131"/>
      <c r="Y39" s="131"/>
      <c r="Z39" s="131"/>
    </row>
    <row r="40" spans="1:26" ht="21.75" customHeight="1" x14ac:dyDescent="0.3">
      <c r="A40" s="131"/>
      <c r="B40" s="135"/>
      <c r="C40" s="226" t="s">
        <v>166</v>
      </c>
      <c r="D40" s="227"/>
      <c r="E40" s="228"/>
      <c r="F40" s="137"/>
      <c r="G40" s="131"/>
      <c r="H40" s="135"/>
      <c r="I40" s="131"/>
      <c r="J40" s="131"/>
      <c r="K40" s="131"/>
      <c r="L40" s="131"/>
      <c r="M40" s="131"/>
      <c r="N40" s="131"/>
      <c r="O40" s="131"/>
      <c r="P40" s="131"/>
      <c r="Q40" s="131"/>
      <c r="R40" s="131"/>
      <c r="S40" s="131"/>
      <c r="T40" s="131"/>
      <c r="U40" s="131"/>
      <c r="V40" s="131"/>
      <c r="W40" s="131"/>
      <c r="X40" s="131"/>
      <c r="Y40" s="131"/>
      <c r="Z40" s="131"/>
    </row>
    <row r="41" spans="1:26" ht="18" customHeight="1" x14ac:dyDescent="0.3">
      <c r="A41" s="131"/>
      <c r="B41" s="135"/>
      <c r="C41" s="138">
        <v>35</v>
      </c>
      <c r="D41" s="139" t="s">
        <v>167</v>
      </c>
      <c r="E41" s="140" t="s">
        <v>156</v>
      </c>
      <c r="F41" s="142" t="s">
        <v>168</v>
      </c>
      <c r="G41" s="131"/>
      <c r="H41" s="135"/>
      <c r="I41" s="131"/>
      <c r="J41" s="131"/>
      <c r="K41" s="131"/>
      <c r="L41" s="131"/>
      <c r="M41" s="131"/>
      <c r="N41" s="131"/>
      <c r="O41" s="131"/>
      <c r="P41" s="131"/>
      <c r="Q41" s="131"/>
      <c r="R41" s="131"/>
      <c r="S41" s="131"/>
      <c r="T41" s="131"/>
      <c r="U41" s="131"/>
      <c r="V41" s="131"/>
      <c r="W41" s="131"/>
      <c r="X41" s="131"/>
      <c r="Y41" s="131"/>
      <c r="Z41" s="131"/>
    </row>
    <row r="42" spans="1:26" ht="51" customHeight="1" x14ac:dyDescent="0.3">
      <c r="A42" s="131"/>
      <c r="B42" s="135"/>
      <c r="C42" s="138">
        <v>36</v>
      </c>
      <c r="D42" s="139" t="s">
        <v>169</v>
      </c>
      <c r="E42" s="140" t="s">
        <v>106</v>
      </c>
      <c r="F42" s="144" t="s">
        <v>505</v>
      </c>
      <c r="G42" s="131"/>
      <c r="H42" s="135"/>
      <c r="I42" s="131"/>
      <c r="J42" s="131"/>
      <c r="K42" s="131"/>
      <c r="L42" s="131"/>
      <c r="M42" s="131"/>
      <c r="N42" s="131"/>
      <c r="O42" s="131"/>
      <c r="P42" s="131"/>
      <c r="Q42" s="131"/>
      <c r="R42" s="131"/>
      <c r="S42" s="131"/>
      <c r="T42" s="131"/>
      <c r="U42" s="131"/>
      <c r="V42" s="131"/>
      <c r="W42" s="131"/>
      <c r="X42" s="131"/>
      <c r="Y42" s="131"/>
      <c r="Z42" s="131"/>
    </row>
    <row r="43" spans="1:26" ht="36" customHeight="1" x14ac:dyDescent="0.3">
      <c r="A43" s="131"/>
      <c r="B43" s="135"/>
      <c r="C43" s="138">
        <v>37</v>
      </c>
      <c r="D43" s="139" t="s">
        <v>170</v>
      </c>
      <c r="E43" s="140" t="s">
        <v>106</v>
      </c>
      <c r="F43" s="144" t="s">
        <v>508</v>
      </c>
      <c r="G43" s="131"/>
      <c r="H43" s="135"/>
      <c r="I43" s="131"/>
      <c r="J43" s="131"/>
      <c r="K43" s="131"/>
      <c r="L43" s="131"/>
      <c r="M43" s="131"/>
      <c r="N43" s="131"/>
      <c r="O43" s="131"/>
      <c r="P43" s="131"/>
      <c r="Q43" s="131"/>
      <c r="R43" s="131"/>
      <c r="S43" s="131"/>
      <c r="T43" s="131"/>
      <c r="U43" s="131"/>
      <c r="V43" s="131"/>
      <c r="W43" s="131"/>
      <c r="X43" s="131"/>
      <c r="Y43" s="131"/>
      <c r="Z43" s="131"/>
    </row>
    <row r="44" spans="1:26" ht="43.5" customHeight="1" x14ac:dyDescent="0.3">
      <c r="A44" s="131"/>
      <c r="B44" s="135"/>
      <c r="C44" s="138">
        <v>38</v>
      </c>
      <c r="D44" s="139" t="s">
        <v>171</v>
      </c>
      <c r="E44" s="140" t="s">
        <v>106</v>
      </c>
      <c r="F44" s="144" t="s">
        <v>502</v>
      </c>
      <c r="G44" s="131"/>
      <c r="H44" s="135"/>
      <c r="I44" s="131"/>
      <c r="J44" s="131"/>
      <c r="K44" s="131"/>
      <c r="L44" s="131"/>
      <c r="M44" s="131"/>
      <c r="N44" s="131"/>
      <c r="O44" s="131"/>
      <c r="P44" s="131"/>
      <c r="Q44" s="131"/>
      <c r="R44" s="131"/>
      <c r="S44" s="131"/>
      <c r="T44" s="131"/>
      <c r="U44" s="131"/>
      <c r="V44" s="131"/>
      <c r="W44" s="131"/>
      <c r="X44" s="131"/>
      <c r="Y44" s="131"/>
      <c r="Z44" s="131"/>
    </row>
    <row r="45" spans="1:26" ht="18.75" customHeight="1" x14ac:dyDescent="0.3">
      <c r="A45" s="131"/>
      <c r="B45" s="135"/>
      <c r="C45" s="226" t="s">
        <v>172</v>
      </c>
      <c r="D45" s="227"/>
      <c r="E45" s="228"/>
      <c r="F45" s="137"/>
      <c r="G45" s="131"/>
      <c r="H45" s="135"/>
      <c r="I45" s="131"/>
      <c r="J45" s="131"/>
      <c r="K45" s="131"/>
      <c r="L45" s="131"/>
      <c r="M45" s="131"/>
      <c r="N45" s="131"/>
      <c r="O45" s="131"/>
      <c r="P45" s="131"/>
      <c r="Q45" s="131"/>
      <c r="R45" s="131"/>
      <c r="S45" s="131"/>
      <c r="T45" s="131"/>
      <c r="U45" s="131"/>
      <c r="V45" s="131"/>
      <c r="W45" s="131"/>
      <c r="X45" s="131"/>
      <c r="Y45" s="131"/>
      <c r="Z45" s="131"/>
    </row>
    <row r="46" spans="1:26" ht="18.75" customHeight="1" x14ac:dyDescent="0.3">
      <c r="A46" s="131"/>
      <c r="B46" s="135"/>
      <c r="C46" s="138">
        <v>39</v>
      </c>
      <c r="D46" s="139" t="s">
        <v>173</v>
      </c>
      <c r="E46" s="140" t="s">
        <v>156</v>
      </c>
      <c r="F46" s="142" t="s">
        <v>174</v>
      </c>
      <c r="G46" s="131"/>
      <c r="H46" s="135"/>
      <c r="I46" s="131"/>
      <c r="J46" s="131"/>
      <c r="K46" s="131"/>
      <c r="L46" s="131"/>
      <c r="M46" s="131"/>
      <c r="N46" s="131"/>
      <c r="O46" s="131"/>
      <c r="P46" s="131"/>
      <c r="Q46" s="131"/>
      <c r="R46" s="131"/>
      <c r="S46" s="131"/>
      <c r="T46" s="131"/>
      <c r="U46" s="131"/>
      <c r="V46" s="131"/>
      <c r="W46" s="131"/>
      <c r="X46" s="131"/>
      <c r="Y46" s="131"/>
      <c r="Z46" s="131"/>
    </row>
    <row r="47" spans="1:26" ht="18.75" customHeight="1" x14ac:dyDescent="0.3">
      <c r="A47" s="131"/>
      <c r="B47" s="135"/>
      <c r="C47" s="226" t="s">
        <v>175</v>
      </c>
      <c r="D47" s="227"/>
      <c r="E47" s="228"/>
      <c r="F47" s="137"/>
      <c r="G47" s="131"/>
      <c r="H47" s="135"/>
      <c r="I47" s="131"/>
      <c r="J47" s="131"/>
      <c r="K47" s="131"/>
      <c r="L47" s="131"/>
      <c r="M47" s="131"/>
      <c r="N47" s="131"/>
      <c r="O47" s="131"/>
      <c r="P47" s="131"/>
      <c r="Q47" s="131"/>
      <c r="R47" s="131"/>
      <c r="S47" s="131"/>
      <c r="T47" s="131"/>
      <c r="U47" s="131"/>
      <c r="V47" s="131"/>
      <c r="W47" s="131"/>
      <c r="X47" s="131"/>
      <c r="Y47" s="131"/>
      <c r="Z47" s="131"/>
    </row>
    <row r="48" spans="1:26" ht="35.4" customHeight="1" x14ac:dyDescent="0.3">
      <c r="A48" s="131"/>
      <c r="B48" s="135"/>
      <c r="C48" s="138">
        <v>40</v>
      </c>
      <c r="D48" s="139" t="s">
        <v>176</v>
      </c>
      <c r="E48" s="140" t="s">
        <v>106</v>
      </c>
      <c r="F48" s="144" t="s">
        <v>503</v>
      </c>
      <c r="G48" s="131"/>
      <c r="H48" s="135"/>
      <c r="I48" s="131"/>
      <c r="J48" s="131"/>
      <c r="K48" s="131"/>
      <c r="L48" s="131"/>
      <c r="M48" s="131"/>
      <c r="N48" s="131"/>
      <c r="O48" s="131"/>
      <c r="P48" s="131"/>
      <c r="Q48" s="131"/>
      <c r="R48" s="131"/>
      <c r="S48" s="131"/>
      <c r="T48" s="131"/>
      <c r="U48" s="131"/>
      <c r="V48" s="131"/>
      <c r="W48" s="131"/>
      <c r="X48" s="131"/>
      <c r="Y48" s="131"/>
      <c r="Z48" s="131"/>
    </row>
    <row r="49" spans="1:26" ht="19.5" customHeight="1" x14ac:dyDescent="0.3">
      <c r="A49" s="131"/>
      <c r="B49" s="135"/>
      <c r="C49" s="138">
        <v>41</v>
      </c>
      <c r="D49" s="139" t="s">
        <v>177</v>
      </c>
      <c r="E49" s="140" t="s">
        <v>106</v>
      </c>
      <c r="F49" s="141" t="s">
        <v>504</v>
      </c>
      <c r="G49" s="131"/>
      <c r="H49" s="135"/>
      <c r="I49" s="131"/>
      <c r="J49" s="131"/>
      <c r="K49" s="131"/>
      <c r="L49" s="131"/>
      <c r="M49" s="131"/>
      <c r="N49" s="131"/>
      <c r="O49" s="131"/>
      <c r="P49" s="131"/>
      <c r="Q49" s="131"/>
      <c r="R49" s="131"/>
      <c r="S49" s="131"/>
      <c r="T49" s="131"/>
      <c r="U49" s="131"/>
      <c r="V49" s="131"/>
      <c r="W49" s="131"/>
      <c r="X49" s="131"/>
      <c r="Y49" s="131"/>
      <c r="Z49" s="131"/>
    </row>
    <row r="50" spans="1:26" ht="14.25" customHeight="1" x14ac:dyDescent="0.3">
      <c r="A50" s="131"/>
      <c r="B50" s="135"/>
      <c r="C50" s="145"/>
      <c r="D50" s="145"/>
      <c r="E50" s="145"/>
      <c r="F50" s="145"/>
      <c r="G50" s="131"/>
      <c r="H50" s="135"/>
      <c r="I50" s="131"/>
      <c r="J50" s="131"/>
      <c r="K50" s="131"/>
      <c r="L50" s="131"/>
      <c r="M50" s="131"/>
      <c r="N50" s="131"/>
      <c r="O50" s="131"/>
      <c r="P50" s="131"/>
      <c r="Q50" s="131"/>
      <c r="R50" s="131"/>
      <c r="S50" s="131"/>
      <c r="T50" s="131"/>
      <c r="U50" s="131"/>
      <c r="V50" s="131"/>
      <c r="W50" s="131"/>
      <c r="X50" s="131"/>
      <c r="Y50" s="131"/>
      <c r="Z50" s="131"/>
    </row>
    <row r="51" spans="1:26" ht="14.25" customHeight="1" x14ac:dyDescent="0.3">
      <c r="A51" s="131"/>
      <c r="B51" s="146"/>
      <c r="C51" s="147"/>
      <c r="D51" s="147"/>
      <c r="E51" s="147"/>
      <c r="F51" s="147"/>
      <c r="G51" s="148"/>
      <c r="H51" s="135"/>
      <c r="I51" s="131"/>
      <c r="J51" s="131"/>
      <c r="K51" s="131"/>
      <c r="L51" s="131"/>
      <c r="M51" s="131"/>
      <c r="N51" s="131"/>
      <c r="O51" s="131"/>
      <c r="P51" s="131"/>
      <c r="Q51" s="131"/>
      <c r="R51" s="131"/>
      <c r="S51" s="131"/>
      <c r="T51" s="131"/>
      <c r="U51" s="131"/>
      <c r="V51" s="131"/>
      <c r="W51" s="131"/>
      <c r="X51" s="131"/>
      <c r="Y51" s="131"/>
      <c r="Z51" s="131"/>
    </row>
    <row r="52" spans="1:26" ht="14.25" customHeight="1" x14ac:dyDescent="0.3">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row>
    <row r="53" spans="1:26" ht="14.25" customHeight="1" x14ac:dyDescent="0.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row>
    <row r="54" spans="1:26" ht="14.25" customHeight="1" x14ac:dyDescent="0.3">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row>
    <row r="55" spans="1:26" ht="14.25" customHeight="1" x14ac:dyDescent="0.3">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row>
    <row r="56" spans="1:26" ht="14.25" customHeight="1" x14ac:dyDescent="0.3">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row>
    <row r="57" spans="1:26" ht="14.25" customHeight="1" x14ac:dyDescent="0.3">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row>
    <row r="58" spans="1:26" ht="14.25" customHeight="1" x14ac:dyDescent="0.3">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row>
    <row r="59" spans="1:26" ht="14.25" customHeight="1" x14ac:dyDescent="0.3">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row>
    <row r="60" spans="1:26" ht="14.25" customHeight="1" x14ac:dyDescent="0.3">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row>
    <row r="61" spans="1:26" ht="14.25" customHeight="1" x14ac:dyDescent="0.3">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row>
    <row r="62" spans="1:26" ht="14.25" customHeight="1" x14ac:dyDescent="0.3">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row>
    <row r="63" spans="1:26" ht="14.25" customHeight="1" x14ac:dyDescent="0.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row>
    <row r="64" spans="1:26" ht="14.2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row>
    <row r="65" spans="1:26" ht="14.2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row>
    <row r="66" spans="1:26" ht="14.25" customHeight="1" x14ac:dyDescent="0.3">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row>
    <row r="67" spans="1:26" ht="14.25" customHeight="1" x14ac:dyDescent="0.3">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row>
    <row r="68" spans="1:26" ht="14.25" customHeight="1" x14ac:dyDescent="0.3">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row>
    <row r="69" spans="1:26" ht="14.25" customHeight="1" x14ac:dyDescent="0.3">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row>
    <row r="70" spans="1:26" ht="14.25" customHeight="1" x14ac:dyDescent="0.3">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row>
    <row r="71" spans="1:26" ht="14.25" customHeight="1" x14ac:dyDescent="0.3">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row>
    <row r="72" spans="1:26" ht="14.25" customHeight="1" x14ac:dyDescent="0.3">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row>
    <row r="73" spans="1:26" ht="14.25" customHeight="1" x14ac:dyDescent="0.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row>
    <row r="74" spans="1:26" ht="14.25"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row>
    <row r="75" spans="1:26" ht="14.25" customHeight="1" x14ac:dyDescent="0.3">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row>
    <row r="76" spans="1:26" ht="14.25" customHeight="1" x14ac:dyDescent="0.3">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row>
    <row r="77" spans="1:26" ht="14.25" customHeight="1" x14ac:dyDescent="0.3">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row>
    <row r="78" spans="1:26" ht="14.25" customHeight="1" x14ac:dyDescent="0.3">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row>
    <row r="79" spans="1:26" ht="14.25" customHeight="1" x14ac:dyDescent="0.3">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row>
    <row r="80" spans="1:26" ht="14.25" customHeight="1" x14ac:dyDescent="0.3">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row>
    <row r="81" spans="1:26" ht="14.25" customHeight="1" x14ac:dyDescent="0.3">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row>
    <row r="82" spans="1:26" ht="14.25" customHeight="1" x14ac:dyDescent="0.3">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row>
    <row r="83" spans="1:26" ht="14.25" customHeight="1" x14ac:dyDescent="0.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row>
    <row r="84" spans="1:26" ht="14.25" customHeight="1" x14ac:dyDescent="0.3">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row>
    <row r="85" spans="1:26" ht="14.25" customHeight="1" x14ac:dyDescent="0.3">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row>
    <row r="86" spans="1:26" ht="14.25" customHeight="1" x14ac:dyDescent="0.3">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row>
    <row r="87" spans="1:26" ht="14.25" customHeight="1" x14ac:dyDescent="0.3">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row>
    <row r="88" spans="1:26" ht="14.25" customHeight="1" x14ac:dyDescent="0.3">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row>
    <row r="89" spans="1:26" ht="14.25" customHeight="1" x14ac:dyDescent="0.3">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row>
    <row r="90" spans="1:26" ht="14.25" customHeight="1" x14ac:dyDescent="0.3">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row>
    <row r="91" spans="1:26" ht="14.25" customHeight="1" x14ac:dyDescent="0.3">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row>
    <row r="92" spans="1:26" ht="14.25"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row>
    <row r="93" spans="1:26" ht="14.25" customHeight="1" x14ac:dyDescent="0.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row>
    <row r="94" spans="1:26" ht="14.25" customHeight="1" x14ac:dyDescent="0.3">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row>
    <row r="95" spans="1:26" ht="14.25" customHeight="1" x14ac:dyDescent="0.3">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row>
    <row r="96" spans="1:26" ht="14.25" customHeight="1" x14ac:dyDescent="0.3">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row>
    <row r="97" spans="1:26" ht="14.25" customHeight="1" x14ac:dyDescent="0.3">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row>
    <row r="98" spans="1:26" ht="14.25" customHeight="1" x14ac:dyDescent="0.3">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row>
    <row r="99" spans="1:26" ht="14.25" customHeight="1" x14ac:dyDescent="0.3">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row>
    <row r="100" spans="1:26" ht="14.25" customHeight="1" x14ac:dyDescent="0.3">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row>
    <row r="101" spans="1:26" ht="14.25" customHeight="1" x14ac:dyDescent="0.3">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row>
    <row r="102" spans="1:26" ht="14.25" customHeight="1" x14ac:dyDescent="0.3">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row>
    <row r="103" spans="1:26" ht="14.25" customHeight="1" x14ac:dyDescent="0.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row>
    <row r="104" spans="1:26" ht="14.25" customHeight="1" x14ac:dyDescent="0.3">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row>
    <row r="105" spans="1:26" ht="14.25" customHeight="1" x14ac:dyDescent="0.3">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row>
    <row r="106" spans="1:26" ht="14.25" customHeight="1" x14ac:dyDescent="0.3">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row>
    <row r="107" spans="1:26" ht="14.25" customHeight="1" x14ac:dyDescent="0.3">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row>
    <row r="108" spans="1:26" ht="14.25" customHeight="1" x14ac:dyDescent="0.3">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row>
    <row r="109" spans="1:26" ht="14.25" customHeight="1" x14ac:dyDescent="0.3">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row>
    <row r="110" spans="1:26" ht="14.25"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row>
    <row r="111" spans="1:26" ht="14.25" customHeight="1" x14ac:dyDescent="0.3">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row>
    <row r="112" spans="1:26" ht="14.25" customHeight="1" x14ac:dyDescent="0.3">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row>
    <row r="113" spans="1:26" ht="14.25" customHeight="1" x14ac:dyDescent="0.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row>
    <row r="114" spans="1:26" ht="14.25" customHeight="1" x14ac:dyDescent="0.3">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row>
    <row r="115" spans="1:26" ht="14.25" customHeight="1" x14ac:dyDescent="0.3">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row>
    <row r="116" spans="1:26" ht="14.25" customHeight="1" x14ac:dyDescent="0.3">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row>
    <row r="117" spans="1:26" ht="14.25" customHeight="1" x14ac:dyDescent="0.3">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row>
    <row r="118" spans="1:26" ht="14.25" customHeight="1" x14ac:dyDescent="0.3">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row>
    <row r="119" spans="1:26" ht="14.25" customHeight="1" x14ac:dyDescent="0.3">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row>
    <row r="120" spans="1:26" ht="14.25" customHeight="1" x14ac:dyDescent="0.3">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row>
    <row r="121" spans="1:26" ht="14.25" customHeight="1" x14ac:dyDescent="0.3">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row>
    <row r="122" spans="1:26" ht="14.25" customHeight="1" x14ac:dyDescent="0.3">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row>
    <row r="123" spans="1:26" ht="14.25" customHeight="1" x14ac:dyDescent="0.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row>
    <row r="124" spans="1:26" ht="14.25" customHeight="1" x14ac:dyDescent="0.3">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row>
    <row r="125" spans="1:26" ht="14.25" customHeight="1" x14ac:dyDescent="0.3">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row>
    <row r="126" spans="1:26" ht="14.25" customHeight="1" x14ac:dyDescent="0.3">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row>
    <row r="127" spans="1:26" ht="14.25" customHeight="1" x14ac:dyDescent="0.3">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row>
    <row r="128" spans="1:26" ht="14.25" customHeight="1" x14ac:dyDescent="0.3">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row>
    <row r="129" spans="1:26" ht="14.25" customHeight="1" x14ac:dyDescent="0.3">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row>
    <row r="130" spans="1:26" ht="14.25" customHeight="1" x14ac:dyDescent="0.3">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row>
    <row r="131" spans="1:26" ht="14.25" customHeight="1" x14ac:dyDescent="0.3">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row>
    <row r="132" spans="1:26" ht="14.25" customHeight="1" x14ac:dyDescent="0.3">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row>
    <row r="133" spans="1:26" ht="14.25" customHeight="1" x14ac:dyDescent="0.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row>
    <row r="134" spans="1:26" ht="14.25" customHeight="1" x14ac:dyDescent="0.3">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row>
    <row r="135" spans="1:26" ht="14.25" customHeight="1" x14ac:dyDescent="0.3">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row>
    <row r="136" spans="1:26" ht="14.25" customHeight="1" x14ac:dyDescent="0.3">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row>
    <row r="137" spans="1:26" ht="14.25" customHeight="1" x14ac:dyDescent="0.3">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row>
    <row r="138" spans="1:26" ht="14.25" customHeight="1" x14ac:dyDescent="0.3">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row>
    <row r="139" spans="1:26" ht="14.25" customHeight="1" x14ac:dyDescent="0.3">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row>
    <row r="140" spans="1:26" ht="14.25" customHeight="1" x14ac:dyDescent="0.3">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row>
    <row r="141" spans="1:26" ht="14.25" customHeight="1" x14ac:dyDescent="0.3">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row>
    <row r="142" spans="1:26" ht="14.25" customHeight="1" x14ac:dyDescent="0.3">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row>
    <row r="143" spans="1:26" ht="14.25" customHeight="1" x14ac:dyDescent="0.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row>
    <row r="144" spans="1:26" ht="14.25" customHeight="1" x14ac:dyDescent="0.3">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row>
    <row r="145" spans="1:26" ht="14.25" customHeight="1" x14ac:dyDescent="0.3">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row>
    <row r="146" spans="1:26" ht="14.25" customHeight="1" x14ac:dyDescent="0.3">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row>
    <row r="147" spans="1:26" ht="14.25" customHeight="1" x14ac:dyDescent="0.3">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row>
    <row r="148" spans="1:26" ht="14.25" customHeight="1" x14ac:dyDescent="0.3">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row>
    <row r="149" spans="1:26" ht="14.25" customHeight="1" x14ac:dyDescent="0.3">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row>
    <row r="150" spans="1:26" ht="14.25" customHeight="1" x14ac:dyDescent="0.3">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row>
    <row r="151" spans="1:26" ht="14.25" customHeight="1" x14ac:dyDescent="0.3">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row>
    <row r="152" spans="1:26" ht="14.25" customHeight="1" x14ac:dyDescent="0.3">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row>
    <row r="153" spans="1:26" ht="14.25" customHeight="1" x14ac:dyDescent="0.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row>
    <row r="154" spans="1:26" ht="14.25" customHeight="1" x14ac:dyDescent="0.3">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row>
    <row r="155" spans="1:26" ht="14.25" customHeight="1" x14ac:dyDescent="0.3">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row>
    <row r="156" spans="1:26" ht="14.25" customHeight="1" x14ac:dyDescent="0.3">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row>
    <row r="157" spans="1:26" ht="14.25" customHeight="1" x14ac:dyDescent="0.3">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row>
    <row r="158" spans="1:26" ht="14.25" customHeight="1" x14ac:dyDescent="0.3">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row>
    <row r="159" spans="1:26" ht="14.25" customHeight="1" x14ac:dyDescent="0.3">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row>
    <row r="160" spans="1:26" ht="14.25" customHeight="1" x14ac:dyDescent="0.3">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row>
    <row r="161" spans="1:26" ht="14.25" customHeight="1" x14ac:dyDescent="0.3">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row>
    <row r="162" spans="1:26" ht="14.25" customHeight="1" x14ac:dyDescent="0.3">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row>
    <row r="163" spans="1:26" ht="14.25" customHeight="1" x14ac:dyDescent="0.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row>
    <row r="164" spans="1:26" ht="14.25" customHeight="1" x14ac:dyDescent="0.3">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row>
    <row r="165" spans="1:26" ht="14.25" customHeight="1" x14ac:dyDescent="0.3">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row>
    <row r="166" spans="1:26" ht="14.25" customHeight="1" x14ac:dyDescent="0.3">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row>
    <row r="167" spans="1:26" ht="14.25" customHeight="1" x14ac:dyDescent="0.3">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row>
    <row r="168" spans="1:26" ht="14.25" customHeight="1" x14ac:dyDescent="0.3">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row>
    <row r="169" spans="1:26" ht="14.25" customHeight="1" x14ac:dyDescent="0.3">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row>
    <row r="170" spans="1:26" ht="14.25" customHeight="1" x14ac:dyDescent="0.3">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row>
    <row r="171" spans="1:26" ht="14.25" customHeight="1" x14ac:dyDescent="0.3">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row>
    <row r="172" spans="1:26" ht="14.25" customHeight="1" x14ac:dyDescent="0.3">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row>
    <row r="173" spans="1:26" ht="14.25" customHeight="1" x14ac:dyDescent="0.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row>
    <row r="174" spans="1:26" ht="14.25" customHeight="1" x14ac:dyDescent="0.3">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row>
    <row r="175" spans="1:26" ht="14.25" customHeight="1" x14ac:dyDescent="0.3">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row>
    <row r="176" spans="1:26" ht="14.25" customHeight="1" x14ac:dyDescent="0.3">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row>
    <row r="177" spans="1:26" ht="14.25" customHeight="1" x14ac:dyDescent="0.3">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row>
    <row r="178" spans="1:26" ht="14.25" customHeight="1" x14ac:dyDescent="0.3">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row>
    <row r="179" spans="1:26" ht="14.25" customHeight="1" x14ac:dyDescent="0.3">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row>
    <row r="180" spans="1:26" ht="14.25" customHeight="1" x14ac:dyDescent="0.3">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row>
    <row r="181" spans="1:26" ht="14.25" customHeight="1" x14ac:dyDescent="0.3">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row>
    <row r="182" spans="1:26" ht="14.25" customHeight="1" x14ac:dyDescent="0.3">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row>
    <row r="183" spans="1:26" ht="14.25" customHeight="1" x14ac:dyDescent="0.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row>
    <row r="184" spans="1:26" ht="14.25" customHeight="1" x14ac:dyDescent="0.3">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row>
    <row r="185" spans="1:26" ht="14.25" customHeight="1" x14ac:dyDescent="0.3">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row>
    <row r="186" spans="1:26" ht="14.25" customHeight="1" x14ac:dyDescent="0.3">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row>
    <row r="187" spans="1:26" ht="14.25" customHeight="1" x14ac:dyDescent="0.3">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row>
    <row r="188" spans="1:26" ht="14.25" customHeight="1" x14ac:dyDescent="0.3">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row>
    <row r="189" spans="1:26" ht="14.25" customHeight="1" x14ac:dyDescent="0.3">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row>
    <row r="190" spans="1:26" ht="14.25" customHeight="1" x14ac:dyDescent="0.3">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row>
    <row r="191" spans="1:26" ht="14.25" customHeight="1" x14ac:dyDescent="0.3">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row>
    <row r="192" spans="1:26" ht="14.25" customHeight="1" x14ac:dyDescent="0.3">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row>
    <row r="193" spans="1:26" ht="14.25" customHeight="1" x14ac:dyDescent="0.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row>
    <row r="194" spans="1:26" ht="14.25" customHeight="1" x14ac:dyDescent="0.3">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row>
    <row r="195" spans="1:26" ht="14.25" customHeight="1" x14ac:dyDescent="0.3">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row>
    <row r="196" spans="1:26" ht="14.25" customHeight="1" x14ac:dyDescent="0.3">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row>
    <row r="197" spans="1:26" ht="14.25" customHeight="1" x14ac:dyDescent="0.3">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row>
    <row r="198" spans="1:26" ht="14.25" customHeight="1" x14ac:dyDescent="0.3">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row>
    <row r="199" spans="1:26" ht="14.25" customHeight="1" x14ac:dyDescent="0.3">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row>
    <row r="200" spans="1:26" ht="14.25" customHeight="1" x14ac:dyDescent="0.3">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row>
    <row r="201" spans="1:26" ht="14.25" customHeight="1" x14ac:dyDescent="0.3">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row>
    <row r="202" spans="1:26" ht="14.25" customHeight="1" x14ac:dyDescent="0.3">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row>
    <row r="203" spans="1:26" ht="14.25" customHeight="1" x14ac:dyDescent="0.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row>
    <row r="204" spans="1:26" ht="14.25" customHeight="1" x14ac:dyDescent="0.3">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row>
    <row r="205" spans="1:26" ht="14.25" customHeight="1" x14ac:dyDescent="0.3">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row>
    <row r="206" spans="1:26" ht="14.25" customHeight="1" x14ac:dyDescent="0.3">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row>
    <row r="207" spans="1:26" ht="14.25" customHeight="1" x14ac:dyDescent="0.3">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row>
    <row r="208" spans="1:26" ht="14.25" customHeight="1" x14ac:dyDescent="0.3">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row>
    <row r="209" spans="1:26" ht="14.25" customHeight="1" x14ac:dyDescent="0.3">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row>
    <row r="210" spans="1:26" ht="14.25" customHeight="1" x14ac:dyDescent="0.3">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row>
    <row r="211" spans="1:26" ht="14.25" customHeight="1" x14ac:dyDescent="0.3">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row>
    <row r="212" spans="1:26" ht="14.25" customHeight="1" x14ac:dyDescent="0.3">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row>
    <row r="213" spans="1:26" ht="14.25" customHeight="1" x14ac:dyDescent="0.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row>
    <row r="214" spans="1:26" ht="14.25" customHeight="1" x14ac:dyDescent="0.3">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row>
    <row r="215" spans="1:26" ht="14.25" customHeight="1" x14ac:dyDescent="0.3">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row>
    <row r="216" spans="1:26" ht="14.25" customHeight="1" x14ac:dyDescent="0.3">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row>
    <row r="217" spans="1:26" ht="14.25" customHeight="1" x14ac:dyDescent="0.3">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row>
    <row r="218" spans="1:26" ht="14.25" customHeight="1" x14ac:dyDescent="0.3">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row>
    <row r="219" spans="1:26" ht="14.25" customHeight="1" x14ac:dyDescent="0.3">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row>
    <row r="220" spans="1:26" ht="14.25" customHeight="1" x14ac:dyDescent="0.3">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row>
    <row r="221" spans="1:26" ht="14.25" customHeight="1" x14ac:dyDescent="0.3">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row>
    <row r="222" spans="1:26" ht="14.25" customHeight="1" x14ac:dyDescent="0.3">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row>
    <row r="223" spans="1:26" ht="14.25" customHeight="1" x14ac:dyDescent="0.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row>
    <row r="224" spans="1:26" ht="14.25" customHeight="1" x14ac:dyDescent="0.3">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row>
    <row r="225" spans="1:26" ht="14.25" customHeight="1" x14ac:dyDescent="0.3">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row>
    <row r="226" spans="1:26" ht="14.25" customHeight="1" x14ac:dyDescent="0.3">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row>
    <row r="227" spans="1:26" ht="14.25" customHeight="1" x14ac:dyDescent="0.3">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row>
    <row r="228" spans="1:26" ht="14.25" customHeight="1" x14ac:dyDescent="0.3">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row>
    <row r="229" spans="1:26" ht="14.25" customHeight="1" x14ac:dyDescent="0.3">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row>
    <row r="230" spans="1:26" ht="14.25" customHeight="1" x14ac:dyDescent="0.3">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row>
    <row r="231" spans="1:26" ht="14.25" customHeight="1" x14ac:dyDescent="0.3">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row>
    <row r="232" spans="1:26" ht="14.25" customHeight="1" x14ac:dyDescent="0.3">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row>
    <row r="233" spans="1:26" ht="14.25" customHeight="1" x14ac:dyDescent="0.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row>
    <row r="234" spans="1:26" ht="14.25" customHeight="1" x14ac:dyDescent="0.3">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row>
    <row r="235" spans="1:26" ht="14.25" customHeight="1" x14ac:dyDescent="0.3">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row>
    <row r="236" spans="1:26" ht="14.25" customHeight="1" x14ac:dyDescent="0.3">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row>
    <row r="237" spans="1:26" ht="14.25" customHeight="1" x14ac:dyDescent="0.3">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row>
    <row r="238" spans="1:26" ht="14.25" customHeight="1" x14ac:dyDescent="0.3">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row>
    <row r="239" spans="1:26" ht="14.25" customHeight="1" x14ac:dyDescent="0.3">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row>
    <row r="240" spans="1:26" ht="14.25" customHeight="1" x14ac:dyDescent="0.3">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row>
    <row r="241" spans="1:26" ht="14.25" customHeight="1" x14ac:dyDescent="0.3">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row>
    <row r="242" spans="1:26" ht="14.25" customHeight="1" x14ac:dyDescent="0.3">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row>
    <row r="243" spans="1:26" ht="14.25" customHeight="1" x14ac:dyDescent="0.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row>
    <row r="244" spans="1:26" ht="14.25" customHeight="1" x14ac:dyDescent="0.3">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row>
    <row r="245" spans="1:26" ht="14.25" customHeight="1" x14ac:dyDescent="0.3">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row>
    <row r="246" spans="1:26" ht="14.25" customHeight="1" x14ac:dyDescent="0.3">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row>
    <row r="247" spans="1:26" ht="14.25" customHeight="1" x14ac:dyDescent="0.3">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row>
    <row r="248" spans="1:26" ht="14.25" customHeight="1" x14ac:dyDescent="0.3">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row>
    <row r="249" spans="1:26" ht="14.25" customHeight="1" x14ac:dyDescent="0.3">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row>
    <row r="250" spans="1:26" ht="14.25" customHeight="1" x14ac:dyDescent="0.3">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row>
    <row r="251" spans="1:26" ht="14.25" customHeight="1" x14ac:dyDescent="0.3">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row>
    <row r="252" spans="1:26" ht="14.25" customHeight="1" x14ac:dyDescent="0.3">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row>
    <row r="253" spans="1:26" ht="14.25" customHeight="1" x14ac:dyDescent="0.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row>
    <row r="254" spans="1:26" ht="14.25" customHeight="1" x14ac:dyDescent="0.3">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row>
    <row r="255" spans="1:26" ht="14.25" customHeight="1" x14ac:dyDescent="0.3">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row>
    <row r="256" spans="1:26" ht="14.25" customHeight="1" x14ac:dyDescent="0.3">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row>
    <row r="257" spans="1:26" ht="14.25" customHeight="1" x14ac:dyDescent="0.3">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row>
    <row r="258" spans="1:26" ht="14.25" customHeight="1" x14ac:dyDescent="0.3">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row>
    <row r="259" spans="1:26" ht="14.25" customHeight="1" x14ac:dyDescent="0.3">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row>
    <row r="260" spans="1:26" ht="14.25" customHeight="1" x14ac:dyDescent="0.3">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row>
    <row r="261" spans="1:26" ht="14.25" customHeight="1" x14ac:dyDescent="0.3">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row>
    <row r="262" spans="1:26" ht="14.25" customHeight="1" x14ac:dyDescent="0.3">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row>
    <row r="263" spans="1:26" ht="14.25" customHeight="1" x14ac:dyDescent="0.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row>
    <row r="264" spans="1:26" ht="14.25" customHeight="1" x14ac:dyDescent="0.3">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row>
    <row r="265" spans="1:26" ht="14.25" customHeight="1" x14ac:dyDescent="0.3">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row>
    <row r="266" spans="1:26" ht="14.25" customHeight="1" x14ac:dyDescent="0.3">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row>
    <row r="267" spans="1:26" ht="14.25" customHeight="1" x14ac:dyDescent="0.3">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row>
    <row r="268" spans="1:26" ht="14.25" customHeight="1" x14ac:dyDescent="0.3">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row>
    <row r="269" spans="1:26" ht="14.25" customHeight="1" x14ac:dyDescent="0.3">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row>
    <row r="270" spans="1:26" ht="14.25" customHeight="1" x14ac:dyDescent="0.3">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row>
    <row r="271" spans="1:26" ht="14.25" customHeight="1" x14ac:dyDescent="0.3">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row>
    <row r="272" spans="1:26" ht="14.25" customHeight="1" x14ac:dyDescent="0.3">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row>
    <row r="273" spans="1:26" ht="14.25" customHeight="1" x14ac:dyDescent="0.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row>
    <row r="274" spans="1:26" ht="14.25" customHeight="1" x14ac:dyDescent="0.3">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row>
    <row r="275" spans="1:26" ht="14.25" customHeight="1" x14ac:dyDescent="0.3">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row>
    <row r="276" spans="1:26" ht="14.25" customHeight="1" x14ac:dyDescent="0.3">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row>
    <row r="277" spans="1:26" ht="14.25" customHeight="1" x14ac:dyDescent="0.3">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row>
    <row r="278" spans="1:26" ht="14.25" customHeight="1" x14ac:dyDescent="0.3">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row>
    <row r="279" spans="1:26" ht="14.25" customHeight="1" x14ac:dyDescent="0.3">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row>
    <row r="280" spans="1:26" ht="14.25" customHeight="1" x14ac:dyDescent="0.3">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row>
    <row r="281" spans="1:26" ht="14.25" customHeight="1" x14ac:dyDescent="0.3">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row>
    <row r="282" spans="1:26" ht="14.25" customHeight="1" x14ac:dyDescent="0.3">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row>
    <row r="283" spans="1:26" ht="14.25" customHeight="1" x14ac:dyDescent="0.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row>
    <row r="284" spans="1:26" ht="14.25" customHeight="1" x14ac:dyDescent="0.3">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row>
    <row r="285" spans="1:26" ht="14.25" customHeight="1" x14ac:dyDescent="0.3">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row>
    <row r="286" spans="1:26" ht="14.25" customHeight="1" x14ac:dyDescent="0.3">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row>
    <row r="287" spans="1:26" ht="14.25" customHeight="1" x14ac:dyDescent="0.3">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row>
    <row r="288" spans="1:26" ht="14.25" customHeight="1" x14ac:dyDescent="0.3">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row>
    <row r="289" spans="1:26" ht="14.25" customHeight="1" x14ac:dyDescent="0.3">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row>
    <row r="290" spans="1:26" ht="14.25" customHeight="1" x14ac:dyDescent="0.3">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row>
    <row r="291" spans="1:26" ht="14.25" customHeight="1" x14ac:dyDescent="0.3">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row>
    <row r="292" spans="1:26" ht="14.25" customHeight="1" x14ac:dyDescent="0.3">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row>
    <row r="293" spans="1:26" ht="14.25" customHeight="1" x14ac:dyDescent="0.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row>
    <row r="294" spans="1:26" ht="14.25" customHeight="1" x14ac:dyDescent="0.3">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row>
    <row r="295" spans="1:26" ht="14.25" customHeight="1" x14ac:dyDescent="0.3">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row>
    <row r="296" spans="1:26" ht="14.25" customHeight="1" x14ac:dyDescent="0.3">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row>
    <row r="297" spans="1:26" ht="14.25" customHeight="1" x14ac:dyDescent="0.3">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row>
    <row r="298" spans="1:26" ht="14.25" customHeight="1" x14ac:dyDescent="0.3">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row>
    <row r="299" spans="1:26" ht="14.25" customHeight="1" x14ac:dyDescent="0.3">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row>
    <row r="300" spans="1:26" ht="14.25" customHeight="1" x14ac:dyDescent="0.3">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row>
    <row r="301" spans="1:26" ht="14.25" customHeight="1" x14ac:dyDescent="0.3">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row>
    <row r="302" spans="1:26" ht="14.25" customHeight="1" x14ac:dyDescent="0.3">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row>
    <row r="303" spans="1:26" ht="14.25" customHeight="1" x14ac:dyDescent="0.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row>
    <row r="304" spans="1:26" ht="14.25" customHeight="1" x14ac:dyDescent="0.3">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row>
    <row r="305" spans="1:26" ht="14.25" customHeight="1" x14ac:dyDescent="0.3">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row>
    <row r="306" spans="1:26" ht="14.25" customHeight="1" x14ac:dyDescent="0.3">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row>
    <row r="307" spans="1:26" ht="14.25" customHeight="1" x14ac:dyDescent="0.3">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row>
    <row r="308" spans="1:26" ht="14.25" customHeight="1" x14ac:dyDescent="0.3">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row>
    <row r="309" spans="1:26" ht="14.25" customHeight="1" x14ac:dyDescent="0.3">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row>
    <row r="310" spans="1:26" ht="14.25" customHeight="1" x14ac:dyDescent="0.3">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row>
    <row r="311" spans="1:26" ht="14.25" customHeight="1" x14ac:dyDescent="0.3">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row>
    <row r="312" spans="1:26" ht="14.25" customHeight="1" x14ac:dyDescent="0.3">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row>
    <row r="313" spans="1:26" ht="14.25" customHeight="1" x14ac:dyDescent="0.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row>
    <row r="314" spans="1:26" ht="14.25" customHeight="1" x14ac:dyDescent="0.3">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row>
    <row r="315" spans="1:26" ht="14.25" customHeight="1" x14ac:dyDescent="0.3">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row>
    <row r="316" spans="1:26" ht="14.25" customHeight="1" x14ac:dyDescent="0.3">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row>
    <row r="317" spans="1:26" ht="14.25" customHeight="1" x14ac:dyDescent="0.3">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row>
    <row r="318" spans="1:26" ht="14.25" customHeight="1" x14ac:dyDescent="0.3">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row>
    <row r="319" spans="1:26" ht="14.25" customHeight="1" x14ac:dyDescent="0.3">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row>
    <row r="320" spans="1:26" ht="14.25" customHeight="1" x14ac:dyDescent="0.3">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row>
    <row r="321" spans="1:26" ht="14.25" customHeight="1" x14ac:dyDescent="0.3">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row>
    <row r="322" spans="1:26" ht="14.25" customHeight="1" x14ac:dyDescent="0.3">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row>
    <row r="323" spans="1:26" ht="14.25" customHeight="1" x14ac:dyDescent="0.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row>
    <row r="324" spans="1:26" ht="14.25" customHeight="1" x14ac:dyDescent="0.3">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row>
    <row r="325" spans="1:26" ht="14.25" customHeight="1" x14ac:dyDescent="0.3">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row>
    <row r="326" spans="1:26" ht="14.25" customHeight="1" x14ac:dyDescent="0.3">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row>
    <row r="327" spans="1:26" ht="14.25" customHeight="1" x14ac:dyDescent="0.3">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row>
    <row r="328" spans="1:26" ht="14.25" customHeight="1" x14ac:dyDescent="0.3">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row>
    <row r="329" spans="1:26" ht="14.25" customHeight="1" x14ac:dyDescent="0.3">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row>
    <row r="330" spans="1:26" ht="14.25" customHeight="1" x14ac:dyDescent="0.3">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row>
    <row r="331" spans="1:26" ht="14.25" customHeight="1" x14ac:dyDescent="0.3">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row>
    <row r="332" spans="1:26" ht="14.25" customHeight="1" x14ac:dyDescent="0.3">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row>
    <row r="333" spans="1:26" ht="14.25" customHeight="1" x14ac:dyDescent="0.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row>
    <row r="334" spans="1:26" ht="14.25" customHeight="1" x14ac:dyDescent="0.3">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row>
    <row r="335" spans="1:26" ht="14.25" customHeight="1" x14ac:dyDescent="0.3">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row>
    <row r="336" spans="1:26" ht="14.25" customHeight="1" x14ac:dyDescent="0.3">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row>
    <row r="337" spans="1:26" ht="14.25" customHeight="1" x14ac:dyDescent="0.3">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row>
    <row r="338" spans="1:26" ht="14.25" customHeight="1" x14ac:dyDescent="0.3">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row>
    <row r="339" spans="1:26" ht="14.25" customHeight="1" x14ac:dyDescent="0.3">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row>
    <row r="340" spans="1:26" ht="14.25" customHeight="1" x14ac:dyDescent="0.3">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row>
    <row r="341" spans="1:26" ht="14.25" customHeight="1" x14ac:dyDescent="0.3">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row>
    <row r="342" spans="1:26" ht="14.25" customHeight="1" x14ac:dyDescent="0.3">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row>
    <row r="343" spans="1:26" ht="14.25" customHeight="1" x14ac:dyDescent="0.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row>
    <row r="344" spans="1:26" ht="14.25" customHeight="1" x14ac:dyDescent="0.3">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row>
    <row r="345" spans="1:26" ht="14.25" customHeight="1" x14ac:dyDescent="0.3">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row>
    <row r="346" spans="1:26" ht="14.25" customHeight="1" x14ac:dyDescent="0.3">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row>
    <row r="347" spans="1:26" ht="14.25" customHeight="1" x14ac:dyDescent="0.3">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row>
    <row r="348" spans="1:26" ht="14.25" customHeight="1" x14ac:dyDescent="0.3">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row>
    <row r="349" spans="1:26" ht="14.25" customHeight="1" x14ac:dyDescent="0.3">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row>
    <row r="350" spans="1:26" ht="14.25" customHeight="1" x14ac:dyDescent="0.3">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row>
    <row r="351" spans="1:26" ht="14.25" customHeight="1" x14ac:dyDescent="0.3">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row>
    <row r="352" spans="1:26" ht="14.25" customHeight="1" x14ac:dyDescent="0.3">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row>
    <row r="353" spans="1:26" ht="14.25" customHeight="1" x14ac:dyDescent="0.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row>
    <row r="354" spans="1:26" ht="14.25" customHeight="1" x14ac:dyDescent="0.3">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row>
    <row r="355" spans="1:26" ht="14.25" customHeight="1" x14ac:dyDescent="0.3">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row>
    <row r="356" spans="1:26" ht="14.25" customHeight="1" x14ac:dyDescent="0.3">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row>
    <row r="357" spans="1:26" ht="14.25" customHeight="1" x14ac:dyDescent="0.3">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row>
    <row r="358" spans="1:26" ht="14.25" customHeight="1" x14ac:dyDescent="0.3">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row>
    <row r="359" spans="1:26" ht="14.25" customHeight="1" x14ac:dyDescent="0.3">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row>
    <row r="360" spans="1:26" ht="14.25" customHeight="1" x14ac:dyDescent="0.3">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row>
    <row r="361" spans="1:26" ht="14.25" customHeight="1" x14ac:dyDescent="0.3">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row>
    <row r="362" spans="1:26" ht="14.25" customHeight="1" x14ac:dyDescent="0.3">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row>
    <row r="363" spans="1:26" ht="14.25" customHeight="1" x14ac:dyDescent="0.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row>
    <row r="364" spans="1:26" ht="14.25" customHeight="1" x14ac:dyDescent="0.3">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row>
    <row r="365" spans="1:26" ht="14.25" customHeight="1" x14ac:dyDescent="0.3">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row>
    <row r="366" spans="1:26" ht="14.25" customHeight="1" x14ac:dyDescent="0.3">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row>
    <row r="367" spans="1:26" ht="14.25" customHeight="1" x14ac:dyDescent="0.3">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row>
    <row r="368" spans="1:26" ht="14.25" customHeight="1" x14ac:dyDescent="0.3">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row>
    <row r="369" spans="1:26" ht="14.25" customHeight="1" x14ac:dyDescent="0.3">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row>
    <row r="370" spans="1:26" ht="14.25" customHeight="1" x14ac:dyDescent="0.3">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row>
    <row r="371" spans="1:26" ht="14.25" customHeight="1" x14ac:dyDescent="0.3">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row>
    <row r="372" spans="1:26" ht="14.25" customHeight="1" x14ac:dyDescent="0.3">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row>
    <row r="373" spans="1:26" ht="14.25" customHeight="1" x14ac:dyDescent="0.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row>
    <row r="374" spans="1:26" ht="14.25" customHeight="1" x14ac:dyDescent="0.3">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row>
    <row r="375" spans="1:26" ht="14.25" customHeight="1" x14ac:dyDescent="0.3">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row>
    <row r="376" spans="1:26" ht="14.25" customHeight="1" x14ac:dyDescent="0.3">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row>
    <row r="377" spans="1:26" ht="14.25" customHeight="1" x14ac:dyDescent="0.3">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row>
    <row r="378" spans="1:26" ht="14.25" customHeight="1" x14ac:dyDescent="0.3">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row>
    <row r="379" spans="1:26" ht="14.25" customHeight="1" x14ac:dyDescent="0.3">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row>
    <row r="380" spans="1:26" ht="14.25" customHeight="1" x14ac:dyDescent="0.3">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row>
    <row r="381" spans="1:26" ht="14.25" customHeight="1" x14ac:dyDescent="0.3">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row>
    <row r="382" spans="1:26" ht="14.25" customHeight="1" x14ac:dyDescent="0.3">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row>
    <row r="383" spans="1:26" ht="14.25" customHeight="1" x14ac:dyDescent="0.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row>
    <row r="384" spans="1:26" ht="14.25" customHeight="1" x14ac:dyDescent="0.3">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row>
    <row r="385" spans="1:26" ht="14.25" customHeight="1" x14ac:dyDescent="0.3">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row>
    <row r="386" spans="1:26" ht="14.25" customHeight="1" x14ac:dyDescent="0.3">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row>
    <row r="387" spans="1:26" ht="14.25" customHeight="1" x14ac:dyDescent="0.3">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row>
    <row r="388" spans="1:26" ht="14.25" customHeight="1" x14ac:dyDescent="0.3">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row>
    <row r="389" spans="1:26" ht="14.25" customHeight="1" x14ac:dyDescent="0.3">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row>
    <row r="390" spans="1:26" ht="14.25" customHeight="1" x14ac:dyDescent="0.3">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row>
    <row r="391" spans="1:26" ht="14.25" customHeight="1" x14ac:dyDescent="0.3">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row>
    <row r="392" spans="1:26" ht="14.25" customHeight="1" x14ac:dyDescent="0.3">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row>
    <row r="393" spans="1:26" ht="14.25" customHeight="1" x14ac:dyDescent="0.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row>
    <row r="394" spans="1:26" ht="14.25" customHeight="1" x14ac:dyDescent="0.3">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row>
    <row r="395" spans="1:26" ht="14.25" customHeight="1" x14ac:dyDescent="0.3">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row>
    <row r="396" spans="1:26" ht="14.25" customHeight="1" x14ac:dyDescent="0.3">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row>
    <row r="397" spans="1:26" ht="14.25" customHeight="1" x14ac:dyDescent="0.3">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row>
    <row r="398" spans="1:26" ht="14.25" customHeight="1" x14ac:dyDescent="0.3">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row>
    <row r="399" spans="1:26" ht="14.25" customHeight="1" x14ac:dyDescent="0.3">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row>
    <row r="400" spans="1:26" ht="14.25" customHeight="1" x14ac:dyDescent="0.3">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row>
    <row r="401" spans="1:26" ht="14.25" customHeight="1" x14ac:dyDescent="0.3">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row>
    <row r="402" spans="1:26" ht="14.25" customHeight="1" x14ac:dyDescent="0.3">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row>
    <row r="403" spans="1:26" ht="14.25" customHeight="1" x14ac:dyDescent="0.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row>
    <row r="404" spans="1:26" ht="14.25" customHeight="1" x14ac:dyDescent="0.3">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row>
    <row r="405" spans="1:26" ht="14.25" customHeight="1" x14ac:dyDescent="0.3">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row>
    <row r="406" spans="1:26" ht="14.25" customHeight="1" x14ac:dyDescent="0.3">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row>
    <row r="407" spans="1:26" ht="14.25" customHeight="1" x14ac:dyDescent="0.3">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row>
    <row r="408" spans="1:26" ht="14.25" customHeight="1" x14ac:dyDescent="0.3">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row>
    <row r="409" spans="1:26" ht="14.25" customHeight="1" x14ac:dyDescent="0.3">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row>
    <row r="410" spans="1:26" ht="14.25" customHeight="1" x14ac:dyDescent="0.3">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row>
    <row r="411" spans="1:26" ht="14.25" customHeight="1" x14ac:dyDescent="0.3">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row>
    <row r="412" spans="1:26" ht="14.25" customHeight="1" x14ac:dyDescent="0.3">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row>
    <row r="413" spans="1:26" ht="14.25" customHeight="1" x14ac:dyDescent="0.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row>
    <row r="414" spans="1:26" ht="14.25" customHeight="1" x14ac:dyDescent="0.3">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row>
    <row r="415" spans="1:26" ht="14.25" customHeight="1" x14ac:dyDescent="0.3">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row>
    <row r="416" spans="1:26" ht="14.25" customHeight="1" x14ac:dyDescent="0.3">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row>
    <row r="417" spans="1:26" ht="14.25" customHeight="1" x14ac:dyDescent="0.3">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row>
    <row r="418" spans="1:26" ht="14.25" customHeight="1" x14ac:dyDescent="0.3">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row>
    <row r="419" spans="1:26" ht="14.25" customHeight="1" x14ac:dyDescent="0.3">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row>
    <row r="420" spans="1:26" ht="14.25" customHeight="1" x14ac:dyDescent="0.3">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row>
    <row r="421" spans="1:26" ht="14.25" customHeight="1" x14ac:dyDescent="0.3">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row>
    <row r="422" spans="1:26" ht="14.25" customHeight="1" x14ac:dyDescent="0.3">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row>
    <row r="423" spans="1:26" ht="14.25" customHeight="1" x14ac:dyDescent="0.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row>
    <row r="424" spans="1:26" ht="14.25" customHeight="1" x14ac:dyDescent="0.3">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row>
    <row r="425" spans="1:26" ht="14.25" customHeight="1" x14ac:dyDescent="0.3">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row>
    <row r="426" spans="1:26" ht="14.25" customHeight="1" x14ac:dyDescent="0.3">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row>
    <row r="427" spans="1:26" ht="14.25" customHeight="1" x14ac:dyDescent="0.3">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row>
    <row r="428" spans="1:26" ht="14.25" customHeight="1" x14ac:dyDescent="0.3">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row>
    <row r="429" spans="1:26" ht="14.25" customHeight="1" x14ac:dyDescent="0.3">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row>
    <row r="430" spans="1:26" ht="14.25" customHeight="1" x14ac:dyDescent="0.3">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row>
    <row r="431" spans="1:26" ht="14.25" customHeight="1" x14ac:dyDescent="0.3">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row>
    <row r="432" spans="1:26" ht="14.25" customHeight="1" x14ac:dyDescent="0.3">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row>
    <row r="433" spans="1:26" ht="14.25" customHeight="1" x14ac:dyDescent="0.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row>
    <row r="434" spans="1:26" ht="14.25" customHeight="1" x14ac:dyDescent="0.3">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row>
    <row r="435" spans="1:26" ht="14.25" customHeight="1" x14ac:dyDescent="0.3">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row>
    <row r="436" spans="1:26" ht="14.25" customHeight="1" x14ac:dyDescent="0.3">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row>
    <row r="437" spans="1:26" ht="14.25" customHeight="1" x14ac:dyDescent="0.3">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row>
    <row r="438" spans="1:26" ht="14.25" customHeight="1" x14ac:dyDescent="0.3">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row>
    <row r="439" spans="1:26" ht="14.25" customHeight="1" x14ac:dyDescent="0.3">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row>
    <row r="440" spans="1:26" ht="14.25" customHeight="1" x14ac:dyDescent="0.3">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row>
    <row r="441" spans="1:26" ht="14.25" customHeight="1" x14ac:dyDescent="0.3">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row>
    <row r="442" spans="1:26" ht="14.25" customHeight="1" x14ac:dyDescent="0.3">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row>
    <row r="443" spans="1:26" ht="14.25" customHeight="1" x14ac:dyDescent="0.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row>
    <row r="444" spans="1:26" ht="14.25" customHeight="1" x14ac:dyDescent="0.3">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row>
    <row r="445" spans="1:26" ht="14.25" customHeight="1" x14ac:dyDescent="0.3">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row>
    <row r="446" spans="1:26" ht="14.25" customHeight="1" x14ac:dyDescent="0.3">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row>
    <row r="447" spans="1:26" ht="14.25" customHeight="1" x14ac:dyDescent="0.3">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row>
    <row r="448" spans="1:26" ht="14.25" customHeight="1" x14ac:dyDescent="0.3">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row>
    <row r="449" spans="1:26" ht="14.25" customHeight="1" x14ac:dyDescent="0.3">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row>
    <row r="450" spans="1:26" ht="14.25" customHeight="1" x14ac:dyDescent="0.3">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row>
    <row r="451" spans="1:26" ht="14.25" customHeight="1" x14ac:dyDescent="0.3">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row>
    <row r="452" spans="1:26" ht="14.25" customHeight="1" x14ac:dyDescent="0.3">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row>
    <row r="453" spans="1:26" ht="14.25" customHeight="1" x14ac:dyDescent="0.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row>
    <row r="454" spans="1:26" ht="14.25" customHeight="1" x14ac:dyDescent="0.3">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row>
    <row r="455" spans="1:26" ht="14.25" customHeight="1" x14ac:dyDescent="0.3">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row>
    <row r="456" spans="1:26" ht="14.25" customHeight="1" x14ac:dyDescent="0.3">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row>
    <row r="457" spans="1:26" ht="14.25" customHeight="1" x14ac:dyDescent="0.3">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row>
    <row r="458" spans="1:26" ht="14.25" customHeight="1" x14ac:dyDescent="0.3">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row>
    <row r="459" spans="1:26" ht="14.25" customHeight="1" x14ac:dyDescent="0.3">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row>
    <row r="460" spans="1:26" ht="14.25" customHeight="1" x14ac:dyDescent="0.3">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row>
    <row r="461" spans="1:26" ht="14.25" customHeight="1" x14ac:dyDescent="0.3">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row>
    <row r="462" spans="1:26" ht="14.25" customHeight="1" x14ac:dyDescent="0.3">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row>
    <row r="463" spans="1:26" ht="14.25" customHeight="1" x14ac:dyDescent="0.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row>
    <row r="464" spans="1:26" ht="14.25" customHeight="1" x14ac:dyDescent="0.3">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row>
    <row r="465" spans="1:26" ht="14.25" customHeight="1" x14ac:dyDescent="0.3">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row>
    <row r="466" spans="1:26" ht="14.25" customHeight="1" x14ac:dyDescent="0.3">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row>
    <row r="467" spans="1:26" ht="14.25" customHeight="1" x14ac:dyDescent="0.3">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row>
    <row r="468" spans="1:26" ht="14.25" customHeight="1" x14ac:dyDescent="0.3">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row>
    <row r="469" spans="1:26" ht="14.25" customHeight="1" x14ac:dyDescent="0.3">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row>
    <row r="470" spans="1:26" ht="14.25" customHeight="1" x14ac:dyDescent="0.3">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row>
    <row r="471" spans="1:26" ht="14.25" customHeight="1" x14ac:dyDescent="0.3">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row>
    <row r="472" spans="1:26" ht="14.25" customHeight="1" x14ac:dyDescent="0.3">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row>
    <row r="473" spans="1:26" ht="14.25" customHeight="1" x14ac:dyDescent="0.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row>
    <row r="474" spans="1:26" ht="14.25" customHeight="1" x14ac:dyDescent="0.3">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row>
    <row r="475" spans="1:26" ht="14.25" customHeight="1" x14ac:dyDescent="0.3">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row>
    <row r="476" spans="1:26" ht="14.25" customHeight="1" x14ac:dyDescent="0.3">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row>
    <row r="477" spans="1:26" ht="14.25" customHeight="1" x14ac:dyDescent="0.3">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row>
    <row r="478" spans="1:26" ht="14.25" customHeight="1" x14ac:dyDescent="0.3">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row>
    <row r="479" spans="1:26" ht="14.25" customHeight="1" x14ac:dyDescent="0.3">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row>
    <row r="480" spans="1:26" ht="14.25" customHeight="1" x14ac:dyDescent="0.3">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row>
    <row r="481" spans="1:26" ht="14.25" customHeight="1" x14ac:dyDescent="0.3">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row>
    <row r="482" spans="1:26" ht="14.25" customHeight="1" x14ac:dyDescent="0.3">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row>
    <row r="483" spans="1:26" ht="14.25" customHeight="1" x14ac:dyDescent="0.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row>
    <row r="484" spans="1:26" ht="14.25" customHeight="1" x14ac:dyDescent="0.3">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row>
    <row r="485" spans="1:26" ht="14.25" customHeight="1" x14ac:dyDescent="0.3">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row>
    <row r="486" spans="1:26" ht="14.25" customHeight="1" x14ac:dyDescent="0.3">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row>
    <row r="487" spans="1:26" ht="14.25" customHeight="1" x14ac:dyDescent="0.3">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row>
    <row r="488" spans="1:26" ht="14.25" customHeight="1" x14ac:dyDescent="0.3">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row>
    <row r="489" spans="1:26" ht="14.25" customHeight="1" x14ac:dyDescent="0.3">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row>
    <row r="490" spans="1:26" ht="14.25" customHeight="1" x14ac:dyDescent="0.3">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row>
    <row r="491" spans="1:26" ht="14.25" customHeight="1" x14ac:dyDescent="0.3">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row>
    <row r="492" spans="1:26" ht="14.25" customHeight="1" x14ac:dyDescent="0.3">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row>
    <row r="493" spans="1:26" ht="14.25" customHeight="1" x14ac:dyDescent="0.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row>
    <row r="494" spans="1:26" ht="14.25" customHeight="1" x14ac:dyDescent="0.3">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row>
    <row r="495" spans="1:26" ht="14.25" customHeight="1" x14ac:dyDescent="0.3">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row>
    <row r="496" spans="1:26" ht="14.25" customHeight="1" x14ac:dyDescent="0.3">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row>
    <row r="497" spans="1:26" ht="14.25" customHeight="1" x14ac:dyDescent="0.3">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row>
    <row r="498" spans="1:26" ht="14.25" customHeight="1" x14ac:dyDescent="0.3">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row>
    <row r="499" spans="1:26" ht="14.25" customHeight="1" x14ac:dyDescent="0.3">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row>
    <row r="500" spans="1:26" ht="14.25" customHeight="1" x14ac:dyDescent="0.3">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row>
    <row r="501" spans="1:26" ht="14.25" customHeight="1" x14ac:dyDescent="0.3">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row>
    <row r="502" spans="1:26" ht="14.25" customHeight="1" x14ac:dyDescent="0.3">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row>
    <row r="503" spans="1:26" ht="14.25" customHeight="1" x14ac:dyDescent="0.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row>
    <row r="504" spans="1:26" ht="14.25" customHeight="1" x14ac:dyDescent="0.3">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row>
    <row r="505" spans="1:26" ht="14.25" customHeight="1" x14ac:dyDescent="0.3">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row>
    <row r="506" spans="1:26" ht="14.25" customHeight="1" x14ac:dyDescent="0.3">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row>
    <row r="507" spans="1:26" ht="14.25" customHeight="1" x14ac:dyDescent="0.3">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row>
    <row r="508" spans="1:26" ht="14.25" customHeight="1" x14ac:dyDescent="0.3">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row>
    <row r="509" spans="1:26" ht="14.25" customHeight="1" x14ac:dyDescent="0.3">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row>
    <row r="510" spans="1:26" ht="14.25" customHeight="1" x14ac:dyDescent="0.3">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row>
    <row r="511" spans="1:26" ht="14.25" customHeight="1" x14ac:dyDescent="0.3">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row>
    <row r="512" spans="1:26" ht="14.25" customHeight="1" x14ac:dyDescent="0.3">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row>
    <row r="513" spans="1:26" ht="14.25" customHeight="1" x14ac:dyDescent="0.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row>
    <row r="514" spans="1:26" ht="14.25" customHeight="1" x14ac:dyDescent="0.3">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row>
    <row r="515" spans="1:26" ht="14.25" customHeight="1" x14ac:dyDescent="0.3">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row>
    <row r="516" spans="1:26" ht="14.25" customHeight="1" x14ac:dyDescent="0.3">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row>
    <row r="517" spans="1:26" ht="14.25" customHeight="1" x14ac:dyDescent="0.3">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row>
    <row r="518" spans="1:26" ht="14.25" customHeight="1" x14ac:dyDescent="0.3">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row>
    <row r="519" spans="1:26" ht="14.25" customHeight="1" x14ac:dyDescent="0.3">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row>
    <row r="520" spans="1:26" ht="14.25" customHeight="1" x14ac:dyDescent="0.3">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row>
    <row r="521" spans="1:26" ht="14.25" customHeight="1" x14ac:dyDescent="0.3">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row>
    <row r="522" spans="1:26" ht="14.25" customHeight="1" x14ac:dyDescent="0.3">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row>
    <row r="523" spans="1:26" ht="14.25" customHeight="1" x14ac:dyDescent="0.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row>
    <row r="524" spans="1:26" ht="14.25" customHeight="1" x14ac:dyDescent="0.3">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row>
    <row r="525" spans="1:26" ht="14.25" customHeight="1" x14ac:dyDescent="0.3">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row>
    <row r="526" spans="1:26" ht="14.25" customHeight="1" x14ac:dyDescent="0.3">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row>
    <row r="527" spans="1:26" ht="14.25" customHeight="1" x14ac:dyDescent="0.3">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row>
    <row r="528" spans="1:26" ht="14.25" customHeight="1" x14ac:dyDescent="0.3">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row>
    <row r="529" spans="1:26" ht="14.25" customHeight="1" x14ac:dyDescent="0.3">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row>
    <row r="530" spans="1:26" ht="14.25" customHeight="1" x14ac:dyDescent="0.3">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row>
    <row r="531" spans="1:26" ht="14.25" customHeight="1" x14ac:dyDescent="0.3">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row>
    <row r="532" spans="1:26" ht="14.25" customHeight="1" x14ac:dyDescent="0.3">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row>
    <row r="533" spans="1:26" ht="14.25" customHeight="1" x14ac:dyDescent="0.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row>
    <row r="534" spans="1:26" ht="14.25" customHeight="1" x14ac:dyDescent="0.3">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row>
    <row r="535" spans="1:26" ht="14.25" customHeight="1" x14ac:dyDescent="0.3">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row>
    <row r="536" spans="1:26" ht="14.25" customHeight="1" x14ac:dyDescent="0.3">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row>
    <row r="537" spans="1:26" ht="14.25" customHeight="1" x14ac:dyDescent="0.3">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row>
    <row r="538" spans="1:26" ht="14.25" customHeight="1" x14ac:dyDescent="0.3">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row>
    <row r="539" spans="1:26" ht="14.25" customHeight="1" x14ac:dyDescent="0.3">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row>
    <row r="540" spans="1:26" ht="14.25" customHeight="1" x14ac:dyDescent="0.3">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row>
    <row r="541" spans="1:26" ht="14.25" customHeight="1" x14ac:dyDescent="0.3">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row>
    <row r="542" spans="1:26" ht="14.25" customHeight="1" x14ac:dyDescent="0.3">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row>
    <row r="543" spans="1:26" ht="14.25" customHeight="1" x14ac:dyDescent="0.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row>
    <row r="544" spans="1:26" ht="14.25" customHeight="1" x14ac:dyDescent="0.3">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row>
    <row r="545" spans="1:26" ht="14.25" customHeight="1" x14ac:dyDescent="0.3">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row>
    <row r="546" spans="1:26" ht="14.25" customHeight="1" x14ac:dyDescent="0.3">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row>
    <row r="547" spans="1:26" ht="14.25" customHeight="1" x14ac:dyDescent="0.3">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row>
    <row r="548" spans="1:26" ht="14.25" customHeight="1" x14ac:dyDescent="0.3">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row>
    <row r="549" spans="1:26" ht="14.25" customHeight="1" x14ac:dyDescent="0.3">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row>
    <row r="550" spans="1:26" ht="14.25" customHeight="1" x14ac:dyDescent="0.3">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row>
    <row r="551" spans="1:26" ht="14.25" customHeight="1" x14ac:dyDescent="0.3">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row>
    <row r="552" spans="1:26" ht="14.25" customHeight="1" x14ac:dyDescent="0.3">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row>
    <row r="553" spans="1:26" ht="14.25" customHeight="1" x14ac:dyDescent="0.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row>
    <row r="554" spans="1:26" ht="14.25" customHeight="1" x14ac:dyDescent="0.3">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row>
    <row r="555" spans="1:26" ht="14.25" customHeight="1" x14ac:dyDescent="0.3">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row>
    <row r="556" spans="1:26" ht="14.25" customHeight="1" x14ac:dyDescent="0.3">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row>
    <row r="557" spans="1:26" ht="14.25" customHeight="1" x14ac:dyDescent="0.3">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row>
    <row r="558" spans="1:26" ht="14.25" customHeight="1" x14ac:dyDescent="0.3">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row>
    <row r="559" spans="1:26" ht="14.25" customHeight="1" x14ac:dyDescent="0.3">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row>
    <row r="560" spans="1:26" ht="14.25" customHeight="1" x14ac:dyDescent="0.3">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row>
    <row r="561" spans="1:26" ht="14.25" customHeight="1" x14ac:dyDescent="0.3">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row>
    <row r="562" spans="1:26" ht="14.25" customHeight="1" x14ac:dyDescent="0.3">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row>
    <row r="563" spans="1:26" ht="14.25" customHeight="1" x14ac:dyDescent="0.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row>
    <row r="564" spans="1:26" ht="14.25" customHeight="1" x14ac:dyDescent="0.3">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row>
    <row r="565" spans="1:26" ht="14.25" customHeight="1" x14ac:dyDescent="0.3">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row>
    <row r="566" spans="1:26" ht="14.25" customHeight="1" x14ac:dyDescent="0.3">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row>
    <row r="567" spans="1:26" ht="14.25" customHeight="1" x14ac:dyDescent="0.3">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row>
    <row r="568" spans="1:26" ht="14.25" customHeight="1" x14ac:dyDescent="0.3">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row>
    <row r="569" spans="1:26" ht="14.25" customHeight="1" x14ac:dyDescent="0.3">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row>
    <row r="570" spans="1:26" ht="14.25" customHeight="1" x14ac:dyDescent="0.3">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row>
    <row r="571" spans="1:26" ht="14.25" customHeight="1" x14ac:dyDescent="0.3">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row>
    <row r="572" spans="1:26" ht="14.25" customHeight="1" x14ac:dyDescent="0.3">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row>
    <row r="573" spans="1:26" ht="14.25" customHeight="1" x14ac:dyDescent="0.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row>
    <row r="574" spans="1:26" ht="14.25" customHeight="1" x14ac:dyDescent="0.3">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row>
    <row r="575" spans="1:26" ht="14.25" customHeight="1" x14ac:dyDescent="0.3">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row>
    <row r="576" spans="1:26" ht="14.25" customHeight="1" x14ac:dyDescent="0.3">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row>
    <row r="577" spans="1:26" ht="14.25" customHeight="1" x14ac:dyDescent="0.3">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row>
    <row r="578" spans="1:26" ht="14.25" customHeight="1" x14ac:dyDescent="0.3">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row>
    <row r="579" spans="1:26" ht="14.25" customHeight="1" x14ac:dyDescent="0.3">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row>
    <row r="580" spans="1:26" ht="14.25" customHeight="1" x14ac:dyDescent="0.3">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row>
    <row r="581" spans="1:26" ht="14.25" customHeight="1" x14ac:dyDescent="0.3">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row>
    <row r="582" spans="1:26" ht="14.25" customHeight="1" x14ac:dyDescent="0.3">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row>
    <row r="583" spans="1:26" ht="14.25" customHeight="1" x14ac:dyDescent="0.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row>
    <row r="584" spans="1:26" ht="14.25" customHeight="1" x14ac:dyDescent="0.3">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row>
    <row r="585" spans="1:26" ht="14.25" customHeight="1" x14ac:dyDescent="0.3">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row>
    <row r="586" spans="1:26" ht="14.25" customHeight="1" x14ac:dyDescent="0.3">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row>
    <row r="587" spans="1:26" ht="14.25" customHeight="1" x14ac:dyDescent="0.3">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row>
    <row r="588" spans="1:26" ht="14.25" customHeight="1" x14ac:dyDescent="0.3">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row>
    <row r="589" spans="1:26" ht="14.25" customHeight="1" x14ac:dyDescent="0.3">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row>
    <row r="590" spans="1:26" ht="14.25" customHeight="1" x14ac:dyDescent="0.3">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row>
    <row r="591" spans="1:26" ht="14.25" customHeight="1" x14ac:dyDescent="0.3">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row>
    <row r="592" spans="1:26" ht="14.25" customHeight="1" x14ac:dyDescent="0.3">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row>
    <row r="593" spans="1:26" ht="14.25" customHeight="1" x14ac:dyDescent="0.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row>
    <row r="594" spans="1:26" ht="14.25" customHeight="1" x14ac:dyDescent="0.3">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row>
    <row r="595" spans="1:26" ht="14.25" customHeight="1" x14ac:dyDescent="0.3">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row>
    <row r="596" spans="1:26" ht="14.25" customHeight="1" x14ac:dyDescent="0.3">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row>
    <row r="597" spans="1:26" ht="14.25" customHeight="1" x14ac:dyDescent="0.3">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row>
    <row r="598" spans="1:26" ht="14.25" customHeight="1" x14ac:dyDescent="0.3">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row>
    <row r="599" spans="1:26" ht="14.25" customHeight="1" x14ac:dyDescent="0.3">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row>
    <row r="600" spans="1:26" ht="14.25" customHeight="1" x14ac:dyDescent="0.3">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row>
    <row r="601" spans="1:26" ht="14.25" customHeight="1" x14ac:dyDescent="0.3">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row>
    <row r="602" spans="1:26" ht="14.25" customHeight="1" x14ac:dyDescent="0.3">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row>
    <row r="603" spans="1:26" ht="14.25" customHeight="1" x14ac:dyDescent="0.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row>
    <row r="604" spans="1:26" ht="14.25" customHeight="1" x14ac:dyDescent="0.3">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row>
    <row r="605" spans="1:26" ht="14.25" customHeight="1" x14ac:dyDescent="0.3">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row>
    <row r="606" spans="1:26" ht="14.25" customHeight="1" x14ac:dyDescent="0.3">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row>
    <row r="607" spans="1:26" ht="14.25" customHeight="1" x14ac:dyDescent="0.3">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row>
    <row r="608" spans="1:26" ht="14.25" customHeight="1" x14ac:dyDescent="0.3">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row>
    <row r="609" spans="1:26" ht="14.25" customHeight="1" x14ac:dyDescent="0.3">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row>
    <row r="610" spans="1:26" ht="14.25" customHeight="1" x14ac:dyDescent="0.3">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row>
    <row r="611" spans="1:26" ht="14.25" customHeight="1" x14ac:dyDescent="0.3">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row>
    <row r="612" spans="1:26" ht="14.25" customHeight="1" x14ac:dyDescent="0.3">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row>
    <row r="613" spans="1:26" ht="14.25" customHeight="1" x14ac:dyDescent="0.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row>
    <row r="614" spans="1:26" ht="14.25" customHeight="1" x14ac:dyDescent="0.3">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row>
    <row r="615" spans="1:26" ht="14.25" customHeight="1" x14ac:dyDescent="0.3">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row>
    <row r="616" spans="1:26" ht="14.25" customHeight="1" x14ac:dyDescent="0.3">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row>
    <row r="617" spans="1:26" ht="14.25" customHeight="1" x14ac:dyDescent="0.3">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row>
    <row r="618" spans="1:26" ht="14.25" customHeight="1" x14ac:dyDescent="0.3">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row>
    <row r="619" spans="1:26" ht="14.25" customHeight="1" x14ac:dyDescent="0.3">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row>
    <row r="620" spans="1:26" ht="14.25" customHeight="1" x14ac:dyDescent="0.3">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row>
    <row r="621" spans="1:26" ht="14.25" customHeight="1" x14ac:dyDescent="0.3">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row>
    <row r="622" spans="1:26" ht="14.25" customHeight="1" x14ac:dyDescent="0.3">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row>
    <row r="623" spans="1:26" ht="14.25" customHeight="1" x14ac:dyDescent="0.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row>
    <row r="624" spans="1:26" ht="14.25" customHeight="1" x14ac:dyDescent="0.3">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row>
    <row r="625" spans="1:26" ht="14.25" customHeight="1" x14ac:dyDescent="0.3">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row>
    <row r="626" spans="1:26" ht="14.25" customHeight="1" x14ac:dyDescent="0.3">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row>
    <row r="627" spans="1:26" ht="14.25" customHeight="1" x14ac:dyDescent="0.3">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row>
    <row r="628" spans="1:26" ht="14.25" customHeight="1" x14ac:dyDescent="0.3">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row>
    <row r="629" spans="1:26" ht="14.25" customHeight="1" x14ac:dyDescent="0.3">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row>
    <row r="630" spans="1:26" ht="14.25" customHeight="1" x14ac:dyDescent="0.3">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row>
    <row r="631" spans="1:26" ht="14.25" customHeight="1" x14ac:dyDescent="0.3">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row>
    <row r="632" spans="1:26" ht="14.25" customHeight="1" x14ac:dyDescent="0.3">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row>
    <row r="633" spans="1:26" ht="14.25" customHeight="1" x14ac:dyDescent="0.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row>
    <row r="634" spans="1:26" ht="14.25" customHeight="1" x14ac:dyDescent="0.3">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row>
    <row r="635" spans="1:26" ht="14.25" customHeight="1" x14ac:dyDescent="0.3">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row>
    <row r="636" spans="1:26" ht="14.25" customHeight="1" x14ac:dyDescent="0.3">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row>
    <row r="637" spans="1:26" ht="14.25" customHeight="1" x14ac:dyDescent="0.3">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row>
    <row r="638" spans="1:26" ht="14.25" customHeight="1" x14ac:dyDescent="0.3">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row>
    <row r="639" spans="1:26" ht="14.25" customHeight="1" x14ac:dyDescent="0.3">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row>
    <row r="640" spans="1:26" ht="14.25" customHeight="1" x14ac:dyDescent="0.3">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row>
    <row r="641" spans="1:26" ht="14.25" customHeight="1" x14ac:dyDescent="0.3">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row>
    <row r="642" spans="1:26" ht="14.25" customHeight="1" x14ac:dyDescent="0.3">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row>
    <row r="643" spans="1:26" ht="14.25" customHeight="1" x14ac:dyDescent="0.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row>
    <row r="644" spans="1:26" ht="14.25" customHeight="1" x14ac:dyDescent="0.3">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row>
    <row r="645" spans="1:26" ht="14.25" customHeight="1" x14ac:dyDescent="0.3">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row>
    <row r="646" spans="1:26" ht="14.25" customHeight="1" x14ac:dyDescent="0.3">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row>
    <row r="647" spans="1:26" ht="14.25" customHeight="1" x14ac:dyDescent="0.3">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row>
    <row r="648" spans="1:26" ht="14.25" customHeight="1" x14ac:dyDescent="0.3">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row>
    <row r="649" spans="1:26" ht="14.25" customHeight="1" x14ac:dyDescent="0.3">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row>
    <row r="650" spans="1:26" ht="14.25" customHeight="1" x14ac:dyDescent="0.3">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row>
    <row r="651" spans="1:26" ht="14.25" customHeight="1" x14ac:dyDescent="0.3">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row>
    <row r="652" spans="1:26" ht="14.25" customHeight="1" x14ac:dyDescent="0.3">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row>
    <row r="653" spans="1:26" ht="14.25" customHeight="1" x14ac:dyDescent="0.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row>
    <row r="654" spans="1:26" ht="14.25" customHeight="1" x14ac:dyDescent="0.3">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row>
    <row r="655" spans="1:26" ht="14.25" customHeight="1" x14ac:dyDescent="0.3">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row>
    <row r="656" spans="1:26" ht="14.25" customHeight="1" x14ac:dyDescent="0.3">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row>
    <row r="657" spans="1:26" ht="14.25" customHeight="1" x14ac:dyDescent="0.3">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row>
    <row r="658" spans="1:26" ht="14.25" customHeight="1" x14ac:dyDescent="0.3">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row>
    <row r="659" spans="1:26" ht="14.25" customHeight="1" x14ac:dyDescent="0.3">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row>
    <row r="660" spans="1:26" ht="14.25" customHeight="1" x14ac:dyDescent="0.3">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row>
    <row r="661" spans="1:26" ht="14.25" customHeight="1" x14ac:dyDescent="0.3">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row>
    <row r="662" spans="1:26" ht="14.25" customHeight="1" x14ac:dyDescent="0.3">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row>
    <row r="663" spans="1:26" ht="14.25" customHeight="1" x14ac:dyDescent="0.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row>
    <row r="664" spans="1:26" ht="14.25" customHeight="1" x14ac:dyDescent="0.3">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row>
    <row r="665" spans="1:26" ht="14.25" customHeight="1" x14ac:dyDescent="0.3">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row>
    <row r="666" spans="1:26" ht="14.25" customHeight="1" x14ac:dyDescent="0.3">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row>
    <row r="667" spans="1:26" ht="14.25" customHeight="1" x14ac:dyDescent="0.3">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row>
    <row r="668" spans="1:26" ht="14.25" customHeight="1" x14ac:dyDescent="0.3">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row>
    <row r="669" spans="1:26" ht="14.25" customHeight="1" x14ac:dyDescent="0.3">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row>
    <row r="670" spans="1:26" ht="14.25" customHeight="1" x14ac:dyDescent="0.3">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row>
    <row r="671" spans="1:26" ht="14.25" customHeight="1" x14ac:dyDescent="0.3">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row>
    <row r="672" spans="1:26" ht="14.25" customHeight="1" x14ac:dyDescent="0.3">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row>
    <row r="673" spans="1:26" ht="14.25" customHeight="1" x14ac:dyDescent="0.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row>
    <row r="674" spans="1:26" ht="14.25" customHeight="1" x14ac:dyDescent="0.3">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row>
    <row r="675" spans="1:26" ht="14.25" customHeight="1" x14ac:dyDescent="0.3">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row>
    <row r="676" spans="1:26" ht="14.25" customHeight="1" x14ac:dyDescent="0.3">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row>
    <row r="677" spans="1:26" ht="14.25" customHeight="1" x14ac:dyDescent="0.3">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row>
    <row r="678" spans="1:26" ht="14.25" customHeight="1" x14ac:dyDescent="0.3">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row>
    <row r="679" spans="1:26" ht="14.25" customHeight="1" x14ac:dyDescent="0.3">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row>
    <row r="680" spans="1:26" ht="14.25" customHeight="1" x14ac:dyDescent="0.3">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row>
    <row r="681" spans="1:26" ht="14.25" customHeight="1" x14ac:dyDescent="0.3">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row>
    <row r="682" spans="1:26" ht="14.25" customHeight="1" x14ac:dyDescent="0.3">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row>
    <row r="683" spans="1:26" ht="14.25" customHeight="1" x14ac:dyDescent="0.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row>
    <row r="684" spans="1:26" ht="14.25" customHeight="1" x14ac:dyDescent="0.3">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row>
    <row r="685" spans="1:26" ht="14.25" customHeight="1" x14ac:dyDescent="0.3">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row>
    <row r="686" spans="1:26" ht="14.25" customHeight="1" x14ac:dyDescent="0.3">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row>
    <row r="687" spans="1:26" ht="14.25" customHeight="1" x14ac:dyDescent="0.3">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row>
    <row r="688" spans="1:26" ht="14.25" customHeight="1" x14ac:dyDescent="0.3">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row>
    <row r="689" spans="1:26" ht="14.25" customHeight="1" x14ac:dyDescent="0.3">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row>
    <row r="690" spans="1:26" ht="14.25" customHeight="1" x14ac:dyDescent="0.3">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row>
    <row r="691" spans="1:26" ht="14.25" customHeight="1" x14ac:dyDescent="0.3">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row>
    <row r="692" spans="1:26" ht="14.25" customHeight="1" x14ac:dyDescent="0.3">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row>
    <row r="693" spans="1:26" ht="14.25" customHeight="1" x14ac:dyDescent="0.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row>
    <row r="694" spans="1:26" ht="14.25" customHeight="1" x14ac:dyDescent="0.3">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row>
    <row r="695" spans="1:26" ht="14.25" customHeight="1" x14ac:dyDescent="0.3">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row>
    <row r="696" spans="1:26" ht="14.25" customHeight="1" x14ac:dyDescent="0.3">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row>
    <row r="697" spans="1:26" ht="14.25" customHeight="1" x14ac:dyDescent="0.3">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row>
    <row r="698" spans="1:26" ht="14.25" customHeight="1" x14ac:dyDescent="0.3">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row>
    <row r="699" spans="1:26" ht="14.25" customHeight="1" x14ac:dyDescent="0.3">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row>
    <row r="700" spans="1:26" ht="14.25" customHeight="1" x14ac:dyDescent="0.3">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row>
    <row r="701" spans="1:26" ht="14.25" customHeight="1" x14ac:dyDescent="0.3">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row>
    <row r="702" spans="1:26" ht="14.25" customHeight="1" x14ac:dyDescent="0.3">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row>
    <row r="703" spans="1:26" ht="14.25" customHeight="1" x14ac:dyDescent="0.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row>
    <row r="704" spans="1:26" ht="14.25" customHeight="1" x14ac:dyDescent="0.3">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row>
    <row r="705" spans="1:26" ht="14.25" customHeight="1" x14ac:dyDescent="0.3">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row>
    <row r="706" spans="1:26" ht="14.25" customHeight="1" x14ac:dyDescent="0.3">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row>
    <row r="707" spans="1:26" ht="14.25" customHeight="1" x14ac:dyDescent="0.3">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row>
    <row r="708" spans="1:26" ht="14.25" customHeight="1" x14ac:dyDescent="0.3">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row>
    <row r="709" spans="1:26" ht="14.25" customHeight="1" x14ac:dyDescent="0.3">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row>
    <row r="710" spans="1:26" ht="14.25" customHeight="1" x14ac:dyDescent="0.3">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row>
    <row r="711" spans="1:26" ht="14.25" customHeight="1" x14ac:dyDescent="0.3">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row>
    <row r="712" spans="1:26" ht="14.25" customHeight="1" x14ac:dyDescent="0.3">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row>
    <row r="713" spans="1:26" ht="14.25" customHeight="1" x14ac:dyDescent="0.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row>
    <row r="714" spans="1:26" ht="14.25" customHeight="1" x14ac:dyDescent="0.3">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row>
    <row r="715" spans="1:26" ht="14.25" customHeight="1" x14ac:dyDescent="0.3">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row>
    <row r="716" spans="1:26" ht="14.25" customHeight="1" x14ac:dyDescent="0.3">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row>
    <row r="717" spans="1:26" ht="14.25" customHeight="1" x14ac:dyDescent="0.3">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row>
    <row r="718" spans="1:26" ht="14.25" customHeight="1" x14ac:dyDescent="0.3">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row>
    <row r="719" spans="1:26" ht="14.25" customHeight="1" x14ac:dyDescent="0.3">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row>
    <row r="720" spans="1:26" ht="14.25" customHeight="1" x14ac:dyDescent="0.3">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row>
    <row r="721" spans="1:26" ht="14.25" customHeight="1" x14ac:dyDescent="0.3">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row>
    <row r="722" spans="1:26" ht="14.25" customHeight="1" x14ac:dyDescent="0.3">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row>
    <row r="723" spans="1:26" ht="14.25" customHeight="1" x14ac:dyDescent="0.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row>
    <row r="724" spans="1:26" ht="14.25" customHeight="1" x14ac:dyDescent="0.3">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row>
    <row r="725" spans="1:26" ht="14.25" customHeight="1" x14ac:dyDescent="0.3">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row>
    <row r="726" spans="1:26" ht="14.25" customHeight="1" x14ac:dyDescent="0.3">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row>
    <row r="727" spans="1:26" ht="14.25" customHeight="1" x14ac:dyDescent="0.3">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row>
    <row r="728" spans="1:26" ht="14.25" customHeight="1" x14ac:dyDescent="0.3">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row>
    <row r="729" spans="1:26" ht="14.25" customHeight="1" x14ac:dyDescent="0.3">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row>
    <row r="730" spans="1:26" ht="14.25" customHeight="1" x14ac:dyDescent="0.3">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row>
    <row r="731" spans="1:26" ht="14.25" customHeight="1" x14ac:dyDescent="0.3">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row>
    <row r="732" spans="1:26" ht="14.25" customHeight="1" x14ac:dyDescent="0.3">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row>
    <row r="733" spans="1:26" ht="14.25" customHeight="1" x14ac:dyDescent="0.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row>
    <row r="734" spans="1:26" ht="14.25" customHeight="1" x14ac:dyDescent="0.3">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row>
    <row r="735" spans="1:26" ht="14.25" customHeight="1" x14ac:dyDescent="0.3">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row>
    <row r="736" spans="1:26" ht="14.25" customHeight="1" x14ac:dyDescent="0.3">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row>
    <row r="737" spans="1:26" ht="14.25" customHeight="1" x14ac:dyDescent="0.3">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row>
    <row r="738" spans="1:26" ht="14.25" customHeight="1" x14ac:dyDescent="0.3">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row>
    <row r="739" spans="1:26" ht="14.25" customHeight="1" x14ac:dyDescent="0.3">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row>
    <row r="740" spans="1:26" ht="14.25" customHeight="1" x14ac:dyDescent="0.3">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row>
    <row r="741" spans="1:26" ht="14.25" customHeight="1" x14ac:dyDescent="0.3">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row>
    <row r="742" spans="1:26" ht="14.25" customHeight="1" x14ac:dyDescent="0.3">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row>
    <row r="743" spans="1:26" ht="14.25" customHeight="1" x14ac:dyDescent="0.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row>
    <row r="744" spans="1:26" ht="14.25" customHeight="1" x14ac:dyDescent="0.3">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row>
    <row r="745" spans="1:26" ht="14.25" customHeight="1" x14ac:dyDescent="0.3">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row>
    <row r="746" spans="1:26" ht="14.25" customHeight="1" x14ac:dyDescent="0.3">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row>
    <row r="747" spans="1:26" ht="14.25" customHeight="1" x14ac:dyDescent="0.3">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row>
    <row r="748" spans="1:26" ht="14.25" customHeight="1" x14ac:dyDescent="0.3">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row>
    <row r="749" spans="1:26" ht="14.25" customHeight="1" x14ac:dyDescent="0.3">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row>
    <row r="750" spans="1:26" ht="14.25" customHeight="1" x14ac:dyDescent="0.3">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row>
    <row r="751" spans="1:26" ht="14.25" customHeight="1" x14ac:dyDescent="0.3">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row>
    <row r="752" spans="1:26" ht="14.25" customHeight="1" x14ac:dyDescent="0.3">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row>
    <row r="753" spans="1:26" ht="14.25" customHeight="1" x14ac:dyDescent="0.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row>
    <row r="754" spans="1:26" ht="14.25" customHeight="1" x14ac:dyDescent="0.3">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row>
    <row r="755" spans="1:26" ht="14.25" customHeight="1" x14ac:dyDescent="0.3">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row>
    <row r="756" spans="1:26" ht="14.25" customHeight="1" x14ac:dyDescent="0.3">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row>
    <row r="757" spans="1:26" ht="14.25" customHeight="1" x14ac:dyDescent="0.3">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row>
    <row r="758" spans="1:26" ht="14.25" customHeight="1" x14ac:dyDescent="0.3">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row>
    <row r="759" spans="1:26" ht="14.25" customHeight="1" x14ac:dyDescent="0.3">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row>
    <row r="760" spans="1:26" ht="14.25" customHeight="1" x14ac:dyDescent="0.3">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row>
    <row r="761" spans="1:26" ht="14.25" customHeight="1" x14ac:dyDescent="0.3">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row>
    <row r="762" spans="1:26" ht="14.25" customHeight="1" x14ac:dyDescent="0.3">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row>
    <row r="763" spans="1:26" ht="14.25" customHeight="1" x14ac:dyDescent="0.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row>
    <row r="764" spans="1:26" ht="14.25" customHeight="1" x14ac:dyDescent="0.3">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row>
    <row r="765" spans="1:26" ht="14.25" customHeight="1" x14ac:dyDescent="0.3">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row>
    <row r="766" spans="1:26" ht="14.25" customHeight="1" x14ac:dyDescent="0.3">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row>
    <row r="767" spans="1:26" ht="14.25" customHeight="1" x14ac:dyDescent="0.3">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row>
    <row r="768" spans="1:26" ht="14.25" customHeight="1" x14ac:dyDescent="0.3">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row>
    <row r="769" spans="1:26" ht="14.25" customHeight="1" x14ac:dyDescent="0.3">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row>
    <row r="770" spans="1:26" ht="14.25" customHeight="1" x14ac:dyDescent="0.3">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row>
    <row r="771" spans="1:26" ht="14.25" customHeight="1" x14ac:dyDescent="0.3">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row>
    <row r="772" spans="1:26" ht="14.25" customHeight="1" x14ac:dyDescent="0.3">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row>
    <row r="773" spans="1:26" ht="14.25" customHeight="1" x14ac:dyDescent="0.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row>
    <row r="774" spans="1:26" ht="14.25" customHeight="1" x14ac:dyDescent="0.3">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row>
    <row r="775" spans="1:26" ht="14.25" customHeight="1" x14ac:dyDescent="0.3">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row>
    <row r="776" spans="1:26" ht="14.25" customHeight="1" x14ac:dyDescent="0.3">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row>
    <row r="777" spans="1:26" ht="14.25" customHeight="1" x14ac:dyDescent="0.3">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row>
    <row r="778" spans="1:26" ht="14.25" customHeight="1" x14ac:dyDescent="0.3">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row>
    <row r="779" spans="1:26" ht="14.25" customHeight="1" x14ac:dyDescent="0.3">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row>
    <row r="780" spans="1:26" ht="14.25" customHeight="1" x14ac:dyDescent="0.3">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row>
    <row r="781" spans="1:26" ht="14.25" customHeight="1" x14ac:dyDescent="0.3">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row>
    <row r="782" spans="1:26" ht="14.25" customHeight="1" x14ac:dyDescent="0.3">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row>
    <row r="783" spans="1:26" ht="14.25" customHeight="1" x14ac:dyDescent="0.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row>
    <row r="784" spans="1:26" ht="14.25" customHeight="1" x14ac:dyDescent="0.3">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row>
    <row r="785" spans="1:26" ht="14.25" customHeight="1" x14ac:dyDescent="0.3">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row>
    <row r="786" spans="1:26" ht="14.25" customHeight="1" x14ac:dyDescent="0.3">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row>
    <row r="787" spans="1:26" ht="14.25" customHeight="1" x14ac:dyDescent="0.3">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row>
    <row r="788" spans="1:26" ht="14.25" customHeight="1" x14ac:dyDescent="0.3">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row>
    <row r="789" spans="1:26" ht="14.25" customHeight="1" x14ac:dyDescent="0.3">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row>
    <row r="790" spans="1:26" ht="14.25" customHeight="1" x14ac:dyDescent="0.3">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row>
    <row r="791" spans="1:26" ht="14.25" customHeight="1" x14ac:dyDescent="0.3">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row>
    <row r="792" spans="1:26" ht="14.25" customHeight="1" x14ac:dyDescent="0.3">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row>
    <row r="793" spans="1:26" ht="14.25" customHeight="1" x14ac:dyDescent="0.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row>
    <row r="794" spans="1:26" ht="14.25" customHeight="1" x14ac:dyDescent="0.3">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row>
    <row r="795" spans="1:26" ht="14.25" customHeight="1" x14ac:dyDescent="0.3">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row>
    <row r="796" spans="1:26" ht="14.25" customHeight="1" x14ac:dyDescent="0.3">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row>
    <row r="797" spans="1:26" ht="14.25" customHeight="1" x14ac:dyDescent="0.3">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row>
    <row r="798" spans="1:26" ht="14.25" customHeight="1" x14ac:dyDescent="0.3">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row>
    <row r="799" spans="1:26" ht="14.25" customHeight="1" x14ac:dyDescent="0.3">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row>
    <row r="800" spans="1:26" ht="14.25" customHeight="1" x14ac:dyDescent="0.3">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row>
    <row r="801" spans="1:26" ht="14.25" customHeight="1" x14ac:dyDescent="0.3">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row>
    <row r="802" spans="1:26" ht="14.25" customHeight="1" x14ac:dyDescent="0.3">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row>
    <row r="803" spans="1:26" ht="14.25" customHeight="1" x14ac:dyDescent="0.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row>
    <row r="804" spans="1:26" ht="14.25" customHeight="1" x14ac:dyDescent="0.3">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row>
    <row r="805" spans="1:26" ht="14.25" customHeight="1" x14ac:dyDescent="0.3">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row>
    <row r="806" spans="1:26" ht="14.25" customHeight="1" x14ac:dyDescent="0.3">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row>
    <row r="807" spans="1:26" ht="14.25" customHeight="1" x14ac:dyDescent="0.3">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row>
    <row r="808" spans="1:26" ht="14.25" customHeight="1" x14ac:dyDescent="0.3">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row>
    <row r="809" spans="1:26" ht="14.25" customHeight="1" x14ac:dyDescent="0.3">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row>
    <row r="810" spans="1:26" ht="14.25" customHeight="1" x14ac:dyDescent="0.3">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row>
    <row r="811" spans="1:26" ht="14.25" customHeight="1" x14ac:dyDescent="0.3">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row>
    <row r="812" spans="1:26" ht="14.25" customHeight="1" x14ac:dyDescent="0.3">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row>
    <row r="813" spans="1:26" ht="14.25" customHeight="1" x14ac:dyDescent="0.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row>
    <row r="814" spans="1:26" ht="14.25" customHeight="1" x14ac:dyDescent="0.3">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row>
    <row r="815" spans="1:26" ht="14.25" customHeight="1" x14ac:dyDescent="0.3">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row>
    <row r="816" spans="1:26" ht="14.25" customHeight="1" x14ac:dyDescent="0.3">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row>
    <row r="817" spans="1:26" ht="14.25" customHeight="1" x14ac:dyDescent="0.3">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row>
    <row r="818" spans="1:26" ht="14.25" customHeight="1" x14ac:dyDescent="0.3">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row>
    <row r="819" spans="1:26" ht="14.25" customHeight="1" x14ac:dyDescent="0.3">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row>
    <row r="820" spans="1:26" ht="14.25" customHeight="1" x14ac:dyDescent="0.3">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row>
    <row r="821" spans="1:26" ht="14.25" customHeight="1" x14ac:dyDescent="0.3">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row>
    <row r="822" spans="1:26" ht="14.25" customHeight="1" x14ac:dyDescent="0.3">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row>
    <row r="823" spans="1:26" ht="14.25" customHeight="1" x14ac:dyDescent="0.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row>
    <row r="824" spans="1:26" ht="14.25" customHeight="1" x14ac:dyDescent="0.3">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row>
    <row r="825" spans="1:26" ht="14.25" customHeight="1" x14ac:dyDescent="0.3">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row>
    <row r="826" spans="1:26" ht="14.25" customHeight="1" x14ac:dyDescent="0.3">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row>
    <row r="827" spans="1:26" ht="14.25" customHeight="1" x14ac:dyDescent="0.3">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row>
    <row r="828" spans="1:26" ht="14.25" customHeight="1" x14ac:dyDescent="0.3">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row>
    <row r="829" spans="1:26" ht="14.25" customHeight="1" x14ac:dyDescent="0.3">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row>
    <row r="830" spans="1:26" ht="14.25" customHeight="1" x14ac:dyDescent="0.3">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row>
    <row r="831" spans="1:26" ht="14.25" customHeight="1" x14ac:dyDescent="0.3">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row>
    <row r="832" spans="1:26" ht="14.25" customHeight="1" x14ac:dyDescent="0.3">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row>
    <row r="833" spans="1:26" ht="14.25" customHeight="1" x14ac:dyDescent="0.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row>
    <row r="834" spans="1:26" ht="14.25" customHeight="1" x14ac:dyDescent="0.3">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row>
    <row r="835" spans="1:26" ht="14.25" customHeight="1" x14ac:dyDescent="0.3">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row>
    <row r="836" spans="1:26" ht="14.25" customHeight="1" x14ac:dyDescent="0.3">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row>
    <row r="837" spans="1:26" ht="14.25" customHeight="1" x14ac:dyDescent="0.3">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row>
    <row r="838" spans="1:26" ht="14.25" customHeight="1" x14ac:dyDescent="0.3">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row>
    <row r="839" spans="1:26" ht="14.25" customHeight="1" x14ac:dyDescent="0.3">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row>
    <row r="840" spans="1:26" ht="14.25" customHeight="1" x14ac:dyDescent="0.3">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row>
    <row r="841" spans="1:26" ht="14.25" customHeight="1" x14ac:dyDescent="0.3">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row>
    <row r="842" spans="1:26" ht="14.25" customHeight="1" x14ac:dyDescent="0.3">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row>
    <row r="843" spans="1:26" ht="14.25" customHeight="1" x14ac:dyDescent="0.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row>
    <row r="844" spans="1:26" ht="14.25" customHeight="1" x14ac:dyDescent="0.3">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row>
    <row r="845" spans="1:26" ht="14.25" customHeight="1" x14ac:dyDescent="0.3">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row>
    <row r="846" spans="1:26" ht="14.25" customHeight="1" x14ac:dyDescent="0.3">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row>
    <row r="847" spans="1:26" ht="14.25" customHeight="1" x14ac:dyDescent="0.3">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row>
    <row r="848" spans="1:26" ht="14.25" customHeight="1" x14ac:dyDescent="0.3">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row>
    <row r="849" spans="1:26" ht="14.25" customHeight="1" x14ac:dyDescent="0.3">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row>
    <row r="850" spans="1:26" ht="14.25" customHeight="1" x14ac:dyDescent="0.3">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row>
    <row r="851" spans="1:26" ht="14.25" customHeight="1" x14ac:dyDescent="0.3">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row>
    <row r="852" spans="1:26" ht="14.25" customHeight="1" x14ac:dyDescent="0.3">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row>
    <row r="853" spans="1:26" ht="14.25" customHeight="1" x14ac:dyDescent="0.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row>
    <row r="854" spans="1:26" ht="14.25" customHeight="1" x14ac:dyDescent="0.3">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row>
    <row r="855" spans="1:26" ht="14.25" customHeight="1" x14ac:dyDescent="0.3">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row>
    <row r="856" spans="1:26" ht="14.25" customHeight="1" x14ac:dyDescent="0.3">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row>
    <row r="857" spans="1:26" ht="14.25" customHeight="1" x14ac:dyDescent="0.3">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row>
    <row r="858" spans="1:26" ht="14.25" customHeight="1" x14ac:dyDescent="0.3">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row>
    <row r="859" spans="1:26" ht="14.25" customHeight="1" x14ac:dyDescent="0.3">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row>
    <row r="860" spans="1:26" ht="14.25" customHeight="1" x14ac:dyDescent="0.3">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row>
    <row r="861" spans="1:26" ht="14.25" customHeight="1" x14ac:dyDescent="0.3">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row>
    <row r="862" spans="1:26" ht="14.25" customHeight="1" x14ac:dyDescent="0.3">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row>
    <row r="863" spans="1:26" ht="14.25" customHeight="1" x14ac:dyDescent="0.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row>
    <row r="864" spans="1:26" ht="14.25" customHeight="1" x14ac:dyDescent="0.3">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row>
    <row r="865" spans="1:26" ht="14.25" customHeight="1" x14ac:dyDescent="0.3">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row>
    <row r="866" spans="1:26" ht="14.25" customHeight="1" x14ac:dyDescent="0.3">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row>
    <row r="867" spans="1:26" ht="14.25" customHeight="1" x14ac:dyDescent="0.3">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row>
    <row r="868" spans="1:26" ht="14.25" customHeight="1" x14ac:dyDescent="0.3">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row>
    <row r="869" spans="1:26" ht="14.25" customHeight="1" x14ac:dyDescent="0.3">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row>
    <row r="870" spans="1:26" ht="14.25" customHeight="1" x14ac:dyDescent="0.3">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row>
    <row r="871" spans="1:26" ht="14.25" customHeight="1" x14ac:dyDescent="0.3">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row>
    <row r="872" spans="1:26" ht="14.25" customHeight="1" x14ac:dyDescent="0.3">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row>
    <row r="873" spans="1:26" ht="14.25" customHeight="1" x14ac:dyDescent="0.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row>
    <row r="874" spans="1:26" ht="14.25" customHeight="1" x14ac:dyDescent="0.3">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row>
    <row r="875" spans="1:26" ht="14.25" customHeight="1" x14ac:dyDescent="0.3">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row>
    <row r="876" spans="1:26" ht="14.25" customHeight="1" x14ac:dyDescent="0.3">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row>
    <row r="877" spans="1:26" ht="14.25" customHeight="1" x14ac:dyDescent="0.3">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row>
    <row r="878" spans="1:26" ht="14.25" customHeight="1" x14ac:dyDescent="0.3">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row>
    <row r="879" spans="1:26" ht="14.25" customHeight="1" x14ac:dyDescent="0.3">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row>
    <row r="880" spans="1:26" ht="14.25" customHeight="1" x14ac:dyDescent="0.3">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row>
    <row r="881" spans="1:26" ht="14.25" customHeight="1" x14ac:dyDescent="0.3">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row>
    <row r="882" spans="1:26" ht="14.25" customHeight="1" x14ac:dyDescent="0.3">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row>
    <row r="883" spans="1:26" ht="14.25" customHeight="1" x14ac:dyDescent="0.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row>
    <row r="884" spans="1:26" ht="14.25" customHeight="1" x14ac:dyDescent="0.3">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row>
    <row r="885" spans="1:26" ht="14.25" customHeight="1" x14ac:dyDescent="0.3">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row>
    <row r="886" spans="1:26" ht="14.25" customHeight="1" x14ac:dyDescent="0.3">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row>
    <row r="887" spans="1:26" ht="14.25" customHeight="1" x14ac:dyDescent="0.3">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row>
    <row r="888" spans="1:26" ht="14.25" customHeight="1" x14ac:dyDescent="0.3">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row>
    <row r="889" spans="1:26" ht="14.25" customHeight="1" x14ac:dyDescent="0.3">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row>
    <row r="890" spans="1:26" ht="14.25" customHeight="1" x14ac:dyDescent="0.3">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row>
    <row r="891" spans="1:26" ht="14.25" customHeight="1" x14ac:dyDescent="0.3">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row>
    <row r="892" spans="1:26" ht="14.25" customHeight="1" x14ac:dyDescent="0.3">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row>
    <row r="893" spans="1:26" ht="14.25" customHeight="1" x14ac:dyDescent="0.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row>
    <row r="894" spans="1:26" ht="14.25" customHeight="1" x14ac:dyDescent="0.3">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row>
    <row r="895" spans="1:26" ht="14.25" customHeight="1" x14ac:dyDescent="0.3">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row>
    <row r="896" spans="1:26" ht="14.25" customHeight="1" x14ac:dyDescent="0.3">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row>
    <row r="897" spans="1:26" ht="14.25" customHeight="1" x14ac:dyDescent="0.3">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row>
    <row r="898" spans="1:26" ht="14.25" customHeight="1" x14ac:dyDescent="0.3">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row>
    <row r="899" spans="1:26" ht="14.25" customHeight="1" x14ac:dyDescent="0.3">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row>
    <row r="900" spans="1:26" ht="14.25" customHeight="1" x14ac:dyDescent="0.3">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row>
    <row r="901" spans="1:26" ht="14.25" customHeight="1" x14ac:dyDescent="0.3">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row>
    <row r="902" spans="1:26" ht="14.25" customHeight="1" x14ac:dyDescent="0.3">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row>
    <row r="903" spans="1:26" ht="14.25" customHeight="1" x14ac:dyDescent="0.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row>
    <row r="904" spans="1:26" ht="14.25" customHeight="1" x14ac:dyDescent="0.3">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row>
    <row r="905" spans="1:26" ht="14.25" customHeight="1" x14ac:dyDescent="0.3">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row>
    <row r="906" spans="1:26" ht="14.25" customHeight="1" x14ac:dyDescent="0.3">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row>
    <row r="907" spans="1:26" ht="14.25" customHeight="1" x14ac:dyDescent="0.3">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row>
    <row r="908" spans="1:26" ht="14.25" customHeight="1" x14ac:dyDescent="0.3">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row>
    <row r="909" spans="1:26" ht="14.25" customHeight="1" x14ac:dyDescent="0.3">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row>
    <row r="910" spans="1:26" ht="14.25" customHeight="1" x14ac:dyDescent="0.3">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row>
    <row r="911" spans="1:26" ht="14.25" customHeight="1" x14ac:dyDescent="0.3">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row>
    <row r="912" spans="1:26" ht="14.25" customHeight="1" x14ac:dyDescent="0.3">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row>
    <row r="913" spans="1:26" ht="14.25" customHeight="1" x14ac:dyDescent="0.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row>
    <row r="914" spans="1:26" ht="14.25" customHeight="1" x14ac:dyDescent="0.3">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row>
    <row r="915" spans="1:26" ht="14.25" customHeight="1" x14ac:dyDescent="0.3">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row>
    <row r="916" spans="1:26" ht="14.25" customHeight="1" x14ac:dyDescent="0.3">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row>
    <row r="917" spans="1:26" ht="14.25" customHeight="1" x14ac:dyDescent="0.3">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row>
    <row r="918" spans="1:26" ht="14.25" customHeight="1" x14ac:dyDescent="0.3">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row>
    <row r="919" spans="1:26" ht="14.25" customHeight="1" x14ac:dyDescent="0.3">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row>
    <row r="920" spans="1:26" ht="14.25" customHeight="1" x14ac:dyDescent="0.3">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row>
    <row r="921" spans="1:26" ht="14.25" customHeight="1" x14ac:dyDescent="0.3">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row>
    <row r="922" spans="1:26" ht="14.25" customHeight="1" x14ac:dyDescent="0.3">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row>
    <row r="923" spans="1:26" ht="14.25" customHeight="1" x14ac:dyDescent="0.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row>
    <row r="924" spans="1:26" ht="14.25" customHeight="1" x14ac:dyDescent="0.3">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row>
    <row r="925" spans="1:26" ht="14.25" customHeight="1" x14ac:dyDescent="0.3">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row>
    <row r="926" spans="1:26" ht="14.25" customHeight="1" x14ac:dyDescent="0.3">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row>
    <row r="927" spans="1:26" ht="14.25" customHeight="1" x14ac:dyDescent="0.3">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row>
    <row r="928" spans="1:26" ht="14.25" customHeight="1" x14ac:dyDescent="0.3">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row>
    <row r="929" spans="1:26" ht="14.25" customHeight="1" x14ac:dyDescent="0.3">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row>
    <row r="930" spans="1:26" ht="14.25" customHeight="1" x14ac:dyDescent="0.3">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row>
    <row r="931" spans="1:26" ht="14.25" customHeight="1" x14ac:dyDescent="0.3">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row>
    <row r="932" spans="1:26" ht="14.25" customHeight="1" x14ac:dyDescent="0.3">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row>
    <row r="933" spans="1:26" ht="14.25" customHeight="1" x14ac:dyDescent="0.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row>
    <row r="934" spans="1:26" ht="14.25" customHeight="1" x14ac:dyDescent="0.3">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row>
    <row r="935" spans="1:26" ht="14.25" customHeight="1" x14ac:dyDescent="0.3">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row>
    <row r="936" spans="1:26" ht="14.25" customHeight="1" x14ac:dyDescent="0.3">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row>
    <row r="937" spans="1:26" ht="14.25" customHeight="1" x14ac:dyDescent="0.3">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row>
    <row r="938" spans="1:26" ht="14.25" customHeight="1" x14ac:dyDescent="0.3">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row>
    <row r="939" spans="1:26" ht="14.25" customHeight="1" x14ac:dyDescent="0.3">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row>
    <row r="940" spans="1:26" ht="14.25" customHeight="1" x14ac:dyDescent="0.3">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row>
    <row r="941" spans="1:26" ht="14.25" customHeight="1" x14ac:dyDescent="0.3">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row>
    <row r="942" spans="1:26" ht="14.25" customHeight="1" x14ac:dyDescent="0.3">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row>
    <row r="943" spans="1:26" ht="14.25" customHeight="1" x14ac:dyDescent="0.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row>
    <row r="944" spans="1:26" ht="14.25" customHeight="1" x14ac:dyDescent="0.3">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row>
    <row r="945" spans="1:26" ht="14.25" customHeight="1" x14ac:dyDescent="0.3">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row>
    <row r="946" spans="1:26" ht="14.25" customHeight="1" x14ac:dyDescent="0.3">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row>
    <row r="947" spans="1:26" ht="14.25" customHeight="1" x14ac:dyDescent="0.3">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row>
    <row r="948" spans="1:26" ht="14.25" customHeight="1" x14ac:dyDescent="0.3">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row>
    <row r="949" spans="1:26" ht="14.25" customHeight="1" x14ac:dyDescent="0.3">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row>
    <row r="950" spans="1:26" ht="14.25" customHeight="1" x14ac:dyDescent="0.3">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row>
    <row r="951" spans="1:26" ht="14.25" customHeight="1" x14ac:dyDescent="0.3">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row>
    <row r="952" spans="1:26" ht="14.25" customHeight="1" x14ac:dyDescent="0.3">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row>
    <row r="953" spans="1:26" ht="14.25" customHeight="1" x14ac:dyDescent="0.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row>
    <row r="954" spans="1:26" ht="14.25" customHeight="1" x14ac:dyDescent="0.3">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row>
    <row r="955" spans="1:26" ht="14.25" customHeight="1" x14ac:dyDescent="0.3">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row>
    <row r="956" spans="1:26" ht="14.25" customHeight="1" x14ac:dyDescent="0.3">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row>
    <row r="957" spans="1:26" ht="14.25" customHeight="1" x14ac:dyDescent="0.3">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row>
    <row r="958" spans="1:26" ht="14.25" customHeight="1" x14ac:dyDescent="0.3">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row>
    <row r="959" spans="1:26" ht="14.25" customHeight="1" x14ac:dyDescent="0.3">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row>
    <row r="960" spans="1:26" ht="14.25" customHeight="1" x14ac:dyDescent="0.3">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row>
    <row r="961" spans="1:26" ht="14.25" customHeight="1" x14ac:dyDescent="0.3">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row>
    <row r="962" spans="1:26" ht="14.25" customHeight="1" x14ac:dyDescent="0.3">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row>
    <row r="963" spans="1:26" ht="14.25" customHeight="1" x14ac:dyDescent="0.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row>
    <row r="964" spans="1:26" ht="14.25" customHeight="1" x14ac:dyDescent="0.3">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row>
    <row r="965" spans="1:26" ht="14.25" customHeight="1" x14ac:dyDescent="0.3">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row>
    <row r="966" spans="1:26" ht="14.25" customHeight="1" x14ac:dyDescent="0.3">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row>
    <row r="967" spans="1:26" ht="14.25" customHeight="1" x14ac:dyDescent="0.3">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row>
    <row r="968" spans="1:26" ht="14.25" customHeight="1" x14ac:dyDescent="0.3">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row>
    <row r="969" spans="1:26" ht="14.25" customHeight="1" x14ac:dyDescent="0.3">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row>
    <row r="970" spans="1:26" ht="14.25" customHeight="1" x14ac:dyDescent="0.3">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row>
    <row r="971" spans="1:26" ht="14.25" customHeight="1" x14ac:dyDescent="0.3">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row>
    <row r="972" spans="1:26" ht="14.25" customHeight="1" x14ac:dyDescent="0.3">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row>
    <row r="973" spans="1:26" ht="14.25" customHeight="1" x14ac:dyDescent="0.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row>
    <row r="974" spans="1:26" ht="14.25" customHeight="1" x14ac:dyDescent="0.3">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row>
    <row r="975" spans="1:26" ht="14.25" customHeight="1" x14ac:dyDescent="0.3">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row>
    <row r="976" spans="1:26" ht="14.25" customHeight="1" x14ac:dyDescent="0.3">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row>
    <row r="977" spans="1:26" ht="14.25" customHeight="1" x14ac:dyDescent="0.3">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row>
    <row r="978" spans="1:26" ht="14.25" customHeight="1" x14ac:dyDescent="0.3">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row>
    <row r="979" spans="1:26" ht="14.25" customHeight="1" x14ac:dyDescent="0.3">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row>
    <row r="980" spans="1:26" ht="14.25" customHeight="1" x14ac:dyDescent="0.3">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row>
    <row r="981" spans="1:26" ht="14.25" customHeight="1" x14ac:dyDescent="0.3">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row>
    <row r="982" spans="1:26" ht="14.25" customHeight="1" x14ac:dyDescent="0.3">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row>
    <row r="983" spans="1:26" ht="14.25" customHeight="1" x14ac:dyDescent="0.3">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row>
    <row r="984" spans="1:26" ht="14.25" customHeight="1" x14ac:dyDescent="0.3">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row>
    <row r="985" spans="1:26" ht="14.25" customHeight="1" x14ac:dyDescent="0.3">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row>
    <row r="986" spans="1:26" ht="14.25" customHeight="1" x14ac:dyDescent="0.3">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row>
    <row r="987" spans="1:26" ht="14.25" customHeight="1" x14ac:dyDescent="0.3">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row>
    <row r="988" spans="1:26" ht="14.25" customHeight="1" x14ac:dyDescent="0.3">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row>
    <row r="989" spans="1:26" ht="14.25" customHeight="1" x14ac:dyDescent="0.3">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row>
    <row r="990" spans="1:26" ht="14.25" customHeight="1" x14ac:dyDescent="0.3">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row>
    <row r="991" spans="1:26" ht="14.25" customHeight="1" x14ac:dyDescent="0.3">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row>
    <row r="992" spans="1:26" ht="14.25" customHeight="1" x14ac:dyDescent="0.3">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row>
    <row r="993" spans="1:26" ht="14.25" customHeight="1" x14ac:dyDescent="0.3">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row>
    <row r="994" spans="1:26" ht="14.25" customHeight="1" x14ac:dyDescent="0.3">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row>
    <row r="995" spans="1:26" ht="14.25" customHeight="1" x14ac:dyDescent="0.3">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row>
    <row r="996" spans="1:26" ht="14.25" customHeight="1" x14ac:dyDescent="0.3">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row>
    <row r="997" spans="1:26" ht="14.25" customHeight="1" x14ac:dyDescent="0.3">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row>
    <row r="998" spans="1:26" ht="14.25" customHeight="1" x14ac:dyDescent="0.3">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row>
    <row r="999" spans="1:26" ht="14.25" customHeight="1" x14ac:dyDescent="0.3">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row>
  </sheetData>
  <mergeCells count="9">
    <mergeCell ref="B1:F1"/>
    <mergeCell ref="C40:E40"/>
    <mergeCell ref="C45:E45"/>
    <mergeCell ref="C47:E47"/>
    <mergeCell ref="C3:D4"/>
    <mergeCell ref="C6:D6"/>
    <mergeCell ref="C7:E7"/>
    <mergeCell ref="C15:E15"/>
    <mergeCell ref="C35:E35"/>
  </mergeCells>
  <conditionalFormatting sqref="E8:E14">
    <cfRule type="beginsWith" dxfId="157" priority="1" operator="beginsWith" text="Extrapolado">
      <formula>LEFT((E8),LEN("Extrapolado"))=("Extrapolado")</formula>
    </cfRule>
    <cfRule type="containsText" dxfId="156" priority="2" operator="containsText" text="Aplica">
      <formula>NOT(ISERROR(SEARCH(("Aplica"),(E8))))</formula>
    </cfRule>
    <cfRule type="cellIs" dxfId="155" priority="3" operator="equal">
      <formula>"n.a."</formula>
    </cfRule>
  </conditionalFormatting>
  <conditionalFormatting sqref="E16:E34">
    <cfRule type="beginsWith" dxfId="154" priority="4" operator="beginsWith" text="Extrapolado">
      <formula>LEFT((E16),LEN("Extrapolado"))=("Extrapolado")</formula>
    </cfRule>
    <cfRule type="containsText" dxfId="153" priority="5" operator="containsText" text="Aplica">
      <formula>NOT(ISERROR(SEARCH(("Aplica"),(E16))))</formula>
    </cfRule>
    <cfRule type="cellIs" dxfId="152" priority="6" operator="equal">
      <formula>"n.a."</formula>
    </cfRule>
  </conditionalFormatting>
  <conditionalFormatting sqref="E36:E39">
    <cfRule type="beginsWith" dxfId="151" priority="7" operator="beginsWith" text="Extrapolado">
      <formula>LEFT((E36),LEN("Extrapolado"))=("Extrapolado")</formula>
    </cfRule>
    <cfRule type="containsText" dxfId="150" priority="8" operator="containsText" text="Aplica">
      <formula>NOT(ISERROR(SEARCH(("Aplica"),(E36))))</formula>
    </cfRule>
    <cfRule type="cellIs" dxfId="149" priority="9" operator="equal">
      <formula>"n.a."</formula>
    </cfRule>
  </conditionalFormatting>
  <conditionalFormatting sqref="E41:E44">
    <cfRule type="beginsWith" dxfId="148" priority="10" operator="beginsWith" text="Extrapolado">
      <formula>LEFT((E41),LEN("Extrapolado"))=("Extrapolado")</formula>
    </cfRule>
    <cfRule type="containsText" dxfId="147" priority="11" operator="containsText" text="Aplica">
      <formula>NOT(ISERROR(SEARCH(("Aplica"),(E41))))</formula>
    </cfRule>
    <cfRule type="cellIs" dxfId="146" priority="12" operator="equal">
      <formula>"n.a."</formula>
    </cfRule>
  </conditionalFormatting>
  <conditionalFormatting sqref="E46">
    <cfRule type="beginsWith" dxfId="145" priority="13" operator="beginsWith" text="Extrapolado">
      <formula>LEFT((E46),LEN("Extrapolado"))=("Extrapolado")</formula>
    </cfRule>
    <cfRule type="containsText" dxfId="144" priority="14" operator="containsText" text="Aplica">
      <formula>NOT(ISERROR(SEARCH(("Aplica"),(E46))))</formula>
    </cfRule>
    <cfRule type="cellIs" dxfId="143" priority="15" operator="equal">
      <formula>"n.a."</formula>
    </cfRule>
  </conditionalFormatting>
  <conditionalFormatting sqref="E48:E49">
    <cfRule type="beginsWith" dxfId="142" priority="16" operator="beginsWith" text="Extrapolado">
      <formula>LEFT((E48),LEN("Extrapolado"))=("Extrapolado")</formula>
    </cfRule>
    <cfRule type="containsText" dxfId="141" priority="17" operator="containsText" text="Aplica">
      <formula>NOT(ISERROR(SEARCH(("Aplica"),(E48))))</formula>
    </cfRule>
    <cfRule type="cellIs" dxfId="140" priority="18" operator="equal">
      <formula>"n.a."</formula>
    </cfRule>
  </conditionalFormatting>
  <conditionalFormatting sqref="E35:F35 E40:F40 E45:F45">
    <cfRule type="beginsWith" dxfId="139" priority="19" operator="beginsWith" text="Extrapolado">
      <formula>LEFT((E35),LEN("Extrapolado"))=("Extrapolado")</formula>
    </cfRule>
  </conditionalFormatting>
  <pageMargins left="0.7" right="0.7" top="0.75" bottom="0.75" header="0" footer="0"/>
  <pageSetup paperSize="9" scale="6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8055-360D-4185-8B7D-5D7D693C171B}">
  <sheetPr codeName="Full4">
    <pageSetUpPr fitToPage="1"/>
  </sheetPr>
  <dimension ref="B1:AD100"/>
  <sheetViews>
    <sheetView tabSelected="1" zoomScale="76" zoomScaleNormal="76" workbookViewId="0">
      <pane xSplit="5" ySplit="8" topLeftCell="F9" activePane="bottomRight" state="frozen"/>
      <selection pane="topRight" activeCell="C4" sqref="C4:D4"/>
      <selection pane="bottomLeft" activeCell="C4" sqref="C4:D4"/>
      <selection pane="bottomRight" activeCell="N83" sqref="N83"/>
    </sheetView>
  </sheetViews>
  <sheetFormatPr defaultColWidth="11.44140625" defaultRowHeight="14.4" x14ac:dyDescent="0.3"/>
  <cols>
    <col min="1" max="1" width="3.88671875" style="7" customWidth="1"/>
    <col min="2" max="2" width="6.109375" style="7" customWidth="1"/>
    <col min="3" max="4" width="11.44140625" style="7" customWidth="1"/>
    <col min="5" max="5" width="25.44140625" style="124" customWidth="1"/>
    <col min="6" max="6" width="19.33203125" style="7" customWidth="1"/>
    <col min="7" max="7" width="27" style="7" customWidth="1"/>
    <col min="8" max="8" width="25.6640625" style="7" customWidth="1"/>
    <col min="9" max="9" width="31.33203125" style="7" customWidth="1"/>
    <col min="10" max="10" width="12.88671875" style="7" customWidth="1"/>
    <col min="11" max="11" width="14.109375" style="7" customWidth="1"/>
    <col min="12" max="12" width="13.109375" style="7" customWidth="1"/>
    <col min="13" max="13" width="13.44140625" style="7" customWidth="1"/>
    <col min="14" max="14" width="78" style="42" customWidth="1"/>
    <col min="15" max="15" width="44.33203125" style="7" customWidth="1"/>
    <col min="16" max="16" width="15.33203125" style="62" customWidth="1"/>
    <col min="17" max="17" width="11.44140625" style="62" customWidth="1"/>
    <col min="18" max="18" width="11.44140625" style="125" customWidth="1"/>
    <col min="19" max="19" width="11.88671875" style="7" hidden="1" customWidth="1"/>
    <col min="20" max="20" width="11.33203125" style="7" hidden="1" customWidth="1"/>
    <col min="21" max="21" width="9.33203125" style="7" hidden="1" customWidth="1"/>
    <col min="22" max="22" width="8.44140625" style="7" hidden="1" customWidth="1"/>
    <col min="23" max="23" width="3.44140625" style="7" hidden="1" customWidth="1"/>
    <col min="24" max="24" width="14.6640625" style="7" hidden="1" customWidth="1"/>
    <col min="25" max="30" width="11.44140625" style="7" hidden="1" customWidth="1"/>
    <col min="31" max="16384" width="11.44140625" style="7"/>
  </cols>
  <sheetData>
    <row r="1" spans="2:30" s="42" customFormat="1" ht="64.5" customHeight="1" x14ac:dyDescent="0.3">
      <c r="B1" s="248" t="s">
        <v>178</v>
      </c>
      <c r="C1" s="248"/>
      <c r="D1" s="248"/>
      <c r="E1" s="248"/>
      <c r="F1" s="248"/>
      <c r="G1" s="248"/>
      <c r="H1" s="248"/>
      <c r="I1" s="248"/>
      <c r="J1" s="248"/>
      <c r="K1" s="248"/>
      <c r="L1" s="248"/>
      <c r="M1" s="248"/>
      <c r="N1" s="248"/>
      <c r="O1" s="54"/>
      <c r="P1" s="54"/>
      <c r="Q1" s="54"/>
      <c r="R1" s="55"/>
      <c r="S1" s="43"/>
      <c r="T1" s="43"/>
      <c r="U1" s="43"/>
      <c r="V1" s="43"/>
      <c r="W1" s="43"/>
      <c r="X1" s="43"/>
      <c r="Y1" s="56"/>
      <c r="Z1" s="56"/>
      <c r="AA1" s="56"/>
      <c r="AB1" s="56"/>
      <c r="AC1" s="57"/>
    </row>
    <row r="2" spans="2:30" ht="17.399999999999999" customHeight="1" x14ac:dyDescent="0.3">
      <c r="B2" s="19"/>
      <c r="C2" s="20"/>
      <c r="D2" s="20"/>
      <c r="E2" s="58"/>
      <c r="F2" s="20"/>
      <c r="G2" s="20"/>
      <c r="H2" s="20"/>
      <c r="I2" s="20"/>
      <c r="J2" s="20"/>
      <c r="K2" s="20"/>
      <c r="L2" s="20"/>
      <c r="M2" s="20"/>
      <c r="N2" s="59"/>
      <c r="O2" s="20"/>
      <c r="P2" s="60"/>
      <c r="Q2" s="60"/>
      <c r="R2" s="61"/>
      <c r="S2" s="20"/>
      <c r="T2" s="20"/>
      <c r="U2" s="20"/>
      <c r="V2" s="20"/>
      <c r="W2" s="21"/>
      <c r="X2" s="5"/>
      <c r="Y2" s="249" t="s">
        <v>179</v>
      </c>
      <c r="Z2" s="249"/>
      <c r="AA2" s="249"/>
      <c r="AB2" s="3"/>
      <c r="AC2" s="6"/>
    </row>
    <row r="3" spans="2:30" ht="19.2" customHeight="1" x14ac:dyDescent="0.3">
      <c r="B3" s="2"/>
      <c r="C3" s="250" t="s">
        <v>180</v>
      </c>
      <c r="D3" s="251"/>
      <c r="E3" s="251"/>
      <c r="F3" s="251"/>
      <c r="G3" s="255">
        <v>54</v>
      </c>
      <c r="H3" s="165" t="s">
        <v>62</v>
      </c>
      <c r="I3" s="165" t="s">
        <v>59</v>
      </c>
      <c r="J3" s="165" t="s">
        <v>65</v>
      </c>
      <c r="K3" s="165" t="s">
        <v>38</v>
      </c>
      <c r="L3" s="165" t="s">
        <v>181</v>
      </c>
      <c r="M3" s="165" t="s">
        <v>182</v>
      </c>
      <c r="Q3" s="165" t="s">
        <v>183</v>
      </c>
      <c r="R3" s="171" t="s">
        <v>184</v>
      </c>
      <c r="S3" s="3" t="s">
        <v>185</v>
      </c>
      <c r="T3" s="3" t="s">
        <v>186</v>
      </c>
      <c r="U3" s="3" t="s">
        <v>187</v>
      </c>
      <c r="V3" s="3" t="s">
        <v>55</v>
      </c>
      <c r="W3" s="4"/>
      <c r="X3" s="5"/>
      <c r="Y3" s="197" t="s">
        <v>38</v>
      </c>
      <c r="Z3" s="197">
        <v>1</v>
      </c>
      <c r="AA3" s="197" t="s">
        <v>38</v>
      </c>
      <c r="AB3" s="197" t="s">
        <v>38</v>
      </c>
      <c r="AC3" s="197">
        <v>1</v>
      </c>
      <c r="AD3" s="197" t="s">
        <v>38</v>
      </c>
    </row>
    <row r="4" spans="2:30" s="42" customFormat="1" ht="19.649999999999999" customHeight="1" x14ac:dyDescent="0.3">
      <c r="B4" s="63"/>
      <c r="C4" s="251"/>
      <c r="D4" s="251"/>
      <c r="E4" s="251"/>
      <c r="F4" s="251"/>
      <c r="G4" s="255"/>
      <c r="H4" s="23" t="s">
        <v>35</v>
      </c>
      <c r="I4" s="23" t="s">
        <v>35</v>
      </c>
      <c r="J4" s="23" t="s">
        <v>35</v>
      </c>
      <c r="K4" s="23" t="s">
        <v>35</v>
      </c>
      <c r="L4" s="23" t="s">
        <v>35</v>
      </c>
      <c r="M4" s="1" t="s">
        <v>35</v>
      </c>
      <c r="P4" s="62"/>
      <c r="Q4" s="65">
        <f>AVERAGE(Q9:Q12,Q15:Q19,Q21:Q26,Q28:Q37,Q39:Q42,Q44,Q46:Q49,Q56:Q62,Q64:Q67,Q69:Q72,Q74:Q77,Q79:Q83,Q85:Q86,Q88:Q93,Q95:Q98,Q51:Q53)</f>
        <v>80.370370370370367</v>
      </c>
      <c r="R4" s="66">
        <f>AVERAGE(R9:R12,R15:R19,R21:R26,R28:R37,R39:R42,R44,R46:R49,R56:R62,R64:R67,R69:R72,R74:R77,R79:R83,R85:R86,R88:R93,R95:R98,R51:R53)</f>
        <v>100</v>
      </c>
      <c r="S4" s="67" t="str">
        <f>VLOOKUP(MIN(VLOOKUP(K4,$AB$3:$AC$6,2,0),VLOOKUP(L4,$AB$3:$AC$6,2,0)),$AC$3:$AD$6,2,0)</f>
        <v>M</v>
      </c>
      <c r="T4" s="68" t="str">
        <f>VLOOKUP(MIN(VLOOKUP(I4,$AB$3:$AC$6,2,0),VLOOKUP(L4,$AB$3:$AC$6,2,0),VLOOKUP(H4,AB3:AC6,2,0),VLOOKUP(K4,AB3:AC6,2,0)),$AC$3:$AD$6,2,0)</f>
        <v>M</v>
      </c>
      <c r="U4" s="68" t="str">
        <f>VLOOKUP(MIN(VLOOKUP(I4,$AB$3:$AC$6,2,0),VLOOKUP(K4,AB3:AC6,2,0)),$AC$3:$AD$6,2,0)</f>
        <v>M</v>
      </c>
      <c r="V4" s="68" t="str">
        <f>VLOOKUP(MIN(VLOOKUP(H4,AB3:AC6,2,0),VLOOKUP(I4,AB3:AC6,2,0)),$AC$3:$AD$6,2,0)</f>
        <v>M</v>
      </c>
      <c r="W4" s="69"/>
      <c r="X4" s="70"/>
      <c r="Y4" s="198" t="s">
        <v>35</v>
      </c>
      <c r="Z4" s="198">
        <v>2</v>
      </c>
      <c r="AA4" s="198" t="s">
        <v>35</v>
      </c>
      <c r="AB4" s="198" t="s">
        <v>35</v>
      </c>
      <c r="AC4" s="198">
        <v>2</v>
      </c>
      <c r="AD4" s="198" t="s">
        <v>35</v>
      </c>
    </row>
    <row r="5" spans="2:30" x14ac:dyDescent="0.3">
      <c r="B5" s="2"/>
      <c r="C5" s="3"/>
      <c r="D5" s="3"/>
      <c r="E5" s="71"/>
      <c r="F5" s="3"/>
      <c r="G5" s="3"/>
      <c r="H5" s="3"/>
      <c r="I5" s="3"/>
      <c r="J5" s="3"/>
      <c r="K5" s="3"/>
      <c r="L5" s="3"/>
      <c r="M5" s="3"/>
      <c r="N5" s="64"/>
      <c r="O5" s="3"/>
      <c r="P5" s="11"/>
      <c r="Q5" s="11"/>
      <c r="R5" s="72"/>
      <c r="S5" s="3"/>
      <c r="T5" s="3"/>
      <c r="U5" s="3"/>
      <c r="V5" s="3"/>
      <c r="W5" s="4"/>
      <c r="X5" s="5"/>
      <c r="Y5" s="197" t="s">
        <v>37</v>
      </c>
      <c r="Z5" s="197">
        <v>3</v>
      </c>
      <c r="AA5" s="197" t="s">
        <v>37</v>
      </c>
      <c r="AB5" s="197" t="s">
        <v>37</v>
      </c>
      <c r="AC5" s="197">
        <v>3</v>
      </c>
      <c r="AD5" s="197" t="s">
        <v>37</v>
      </c>
    </row>
    <row r="6" spans="2:30" ht="12.45" customHeight="1" x14ac:dyDescent="0.3">
      <c r="B6" s="2"/>
      <c r="C6" s="3"/>
      <c r="D6" s="3"/>
      <c r="E6" s="71"/>
      <c r="F6" s="73"/>
      <c r="G6" s="73"/>
      <c r="H6" s="73"/>
      <c r="I6" s="73"/>
      <c r="J6" s="3"/>
      <c r="K6" s="3"/>
      <c r="L6" s="3"/>
      <c r="M6" s="3"/>
      <c r="N6" s="252" t="s">
        <v>188</v>
      </c>
      <c r="O6" s="252"/>
      <c r="P6" s="11"/>
      <c r="Q6" s="11"/>
      <c r="R6" s="72"/>
      <c r="S6" s="8"/>
      <c r="T6" s="8"/>
      <c r="U6" s="8"/>
      <c r="V6" s="8"/>
      <c r="W6" s="9"/>
      <c r="X6" s="5"/>
      <c r="Y6" s="197" t="s">
        <v>71</v>
      </c>
      <c r="Z6" s="197">
        <v>4</v>
      </c>
      <c r="AA6" s="197"/>
      <c r="AB6" s="197" t="s">
        <v>71</v>
      </c>
      <c r="AC6" s="197">
        <v>4</v>
      </c>
      <c r="AD6" s="197"/>
    </row>
    <row r="7" spans="2:30" x14ac:dyDescent="0.3">
      <c r="B7" s="2"/>
      <c r="C7" s="166" t="s">
        <v>189</v>
      </c>
      <c r="D7" s="167" t="s">
        <v>190</v>
      </c>
      <c r="E7" s="168"/>
      <c r="F7" s="167" t="s">
        <v>191</v>
      </c>
      <c r="G7" s="167" t="s">
        <v>37</v>
      </c>
      <c r="H7" s="167" t="s">
        <v>35</v>
      </c>
      <c r="I7" s="167" t="s">
        <v>38</v>
      </c>
      <c r="J7" s="253" t="s">
        <v>102</v>
      </c>
      <c r="K7" s="253"/>
      <c r="L7" s="253" t="s">
        <v>192</v>
      </c>
      <c r="M7" s="253"/>
      <c r="N7" s="169" t="s">
        <v>193</v>
      </c>
      <c r="O7" s="169" t="s">
        <v>194</v>
      </c>
      <c r="P7" s="169" t="s">
        <v>195</v>
      </c>
      <c r="Q7" s="169" t="s">
        <v>183</v>
      </c>
      <c r="R7" s="170" t="s">
        <v>184</v>
      </c>
      <c r="S7" s="3"/>
      <c r="T7" s="3"/>
      <c r="U7" s="3"/>
      <c r="V7" s="3"/>
      <c r="W7" s="10"/>
      <c r="X7" s="5"/>
      <c r="Y7" s="16"/>
      <c r="Z7" s="16"/>
      <c r="AA7" s="16"/>
      <c r="AB7" s="22"/>
      <c r="AC7" s="16"/>
    </row>
    <row r="8" spans="2:30" x14ac:dyDescent="0.3">
      <c r="B8" s="2"/>
      <c r="C8" s="74">
        <v>0</v>
      </c>
      <c r="D8" s="75" t="s">
        <v>196</v>
      </c>
      <c r="E8" s="246" t="s">
        <v>197</v>
      </c>
      <c r="F8" s="246"/>
      <c r="G8" s="246"/>
      <c r="H8" s="246"/>
      <c r="I8" s="246"/>
      <c r="J8" s="246"/>
      <c r="K8" s="246"/>
      <c r="L8" s="246"/>
      <c r="M8" s="246"/>
      <c r="N8" s="246"/>
      <c r="O8" s="246"/>
      <c r="P8" s="246"/>
      <c r="Q8" s="246"/>
      <c r="R8" s="246"/>
      <c r="S8" s="3"/>
      <c r="T8" s="3"/>
      <c r="U8" s="3"/>
      <c r="V8" s="3"/>
      <c r="W8" s="10"/>
      <c r="X8" s="5"/>
      <c r="Y8" s="16"/>
      <c r="Z8" s="16"/>
      <c r="AA8" s="16"/>
      <c r="AB8" s="22"/>
      <c r="AC8" s="16"/>
    </row>
    <row r="9" spans="2:30" ht="86.4" x14ac:dyDescent="0.3">
      <c r="B9" s="2"/>
      <c r="C9" s="76">
        <v>1</v>
      </c>
      <c r="D9" s="77" t="s">
        <v>198</v>
      </c>
      <c r="E9" s="78" t="s">
        <v>199</v>
      </c>
      <c r="F9" s="77" t="s">
        <v>182</v>
      </c>
      <c r="G9" s="79" t="s">
        <v>200</v>
      </c>
      <c r="H9" s="79" t="s">
        <v>200</v>
      </c>
      <c r="I9" s="79" t="s">
        <v>200</v>
      </c>
      <c r="J9" s="254" t="str">
        <f>IF(HLOOKUP(HLOOKUP(F9,$H$3:$W$4,2,0),$G$7:$I$104,C9+2,0)="N.A.","",HLOOKUP(HLOOKUP(F9,$H$3:$W$4,2,0),$G$7:$I$104,C9+2,0))</f>
        <v>aplica</v>
      </c>
      <c r="K9" s="254"/>
      <c r="L9" s="238" t="str">
        <f>IF(HLOOKUP(HLOOKUP(F9,$H$3:$W$4,2,0),$G$7:$I$104,C9+2,0)="N.A.","",HLOOKUP(F9,$H$3:$W$4,2,0))</f>
        <v>M</v>
      </c>
      <c r="M9" s="238"/>
      <c r="N9" s="37" t="s">
        <v>201</v>
      </c>
      <c r="O9" s="80"/>
      <c r="P9" s="81" t="s">
        <v>202</v>
      </c>
      <c r="Q9" s="156">
        <f>IF(P9="","-",VLOOKUP(P9,IM,2,FALSE))</f>
        <v>90</v>
      </c>
      <c r="R9" s="82">
        <f>IF(Q9="-","",IF(Q9*100/VLOOKUP($M$4,Nivel_cumplimiento,2,0)&gt;100,100,Q9*100/VLOOKUP($M$4,Nivel_cumplimiento,2,0)))</f>
        <v>100</v>
      </c>
      <c r="S9" s="3"/>
      <c r="T9" s="3"/>
      <c r="U9" s="3"/>
      <c r="V9" s="3"/>
      <c r="W9" s="10"/>
      <c r="X9" s="5"/>
      <c r="Y9" s="16"/>
      <c r="Z9" s="16"/>
      <c r="AA9" s="16"/>
      <c r="AB9" s="22"/>
      <c r="AC9" s="16"/>
    </row>
    <row r="10" spans="2:30" ht="79.95" customHeight="1" x14ac:dyDescent="0.3">
      <c r="B10" s="2"/>
      <c r="C10" s="76">
        <v>2</v>
      </c>
      <c r="D10" s="77" t="s">
        <v>203</v>
      </c>
      <c r="E10" s="78" t="s">
        <v>204</v>
      </c>
      <c r="F10" s="77" t="s">
        <v>182</v>
      </c>
      <c r="G10" s="79" t="s">
        <v>200</v>
      </c>
      <c r="H10" s="79" t="s">
        <v>200</v>
      </c>
      <c r="I10" s="79" t="s">
        <v>200</v>
      </c>
      <c r="J10" s="254" t="str">
        <f>IF(HLOOKUP(HLOOKUP(F10,$H$3:$W$4,2,0),$G$7:$I$104,C10+2,0)="N.A.","",HLOOKUP(HLOOKUP(F10,$H$3:$W$4,2,0),$G$7:$I$104,C10+2,0))</f>
        <v>aplica</v>
      </c>
      <c r="K10" s="254"/>
      <c r="L10" s="238" t="str">
        <f>IF(HLOOKUP(HLOOKUP(F10,$H$3:$W$4,2,0),$G$7:$I$104,C10+2,0)="N.A.","",HLOOKUP(F10,$H$3:$W$4,2,0))</f>
        <v>M</v>
      </c>
      <c r="M10" s="238"/>
      <c r="N10" s="177" t="s">
        <v>205</v>
      </c>
      <c r="O10" s="80"/>
      <c r="P10" s="81" t="s">
        <v>202</v>
      </c>
      <c r="Q10" s="156">
        <f>IF(P10="","-",VLOOKUP(P10,IM,2,FALSE))</f>
        <v>90</v>
      </c>
      <c r="R10" s="82">
        <f>IF(Q10="-","",IF(Q10*100/VLOOKUP($M$4,Nivel_cumplimiento,2,0)&gt;100,100,Q10*100/VLOOKUP($M$4,Nivel_cumplimiento,2,0)))</f>
        <v>100</v>
      </c>
      <c r="S10" s="3"/>
      <c r="T10" s="3"/>
      <c r="U10" s="3"/>
      <c r="V10" s="3"/>
      <c r="W10" s="10"/>
      <c r="X10" s="5"/>
      <c r="Y10" s="16"/>
      <c r="Z10" s="16"/>
      <c r="AA10" s="16"/>
      <c r="AB10" s="22"/>
      <c r="AC10" s="16"/>
    </row>
    <row r="11" spans="2:30" ht="61.95" customHeight="1" x14ac:dyDescent="0.3">
      <c r="B11" s="2"/>
      <c r="C11" s="76">
        <v>3</v>
      </c>
      <c r="D11" s="77" t="s">
        <v>206</v>
      </c>
      <c r="E11" s="78" t="s">
        <v>207</v>
      </c>
      <c r="F11" s="77" t="s">
        <v>182</v>
      </c>
      <c r="G11" s="79" t="s">
        <v>200</v>
      </c>
      <c r="H11" s="79" t="s">
        <v>200</v>
      </c>
      <c r="I11" s="79" t="s">
        <v>200</v>
      </c>
      <c r="J11" s="254" t="str">
        <f>IF(HLOOKUP(HLOOKUP(F11,$H$3:$W$4,2,0),$G$7:$I$104,C11+2,0)="N.A.","",HLOOKUP(HLOOKUP(F11,$H$3:$W$4,2,0),$G$7:$I$104,C11+2,0))</f>
        <v>aplica</v>
      </c>
      <c r="K11" s="254"/>
      <c r="L11" s="238" t="str">
        <f>IF(HLOOKUP(HLOOKUP(F11,$H$3:$W$4,2,0),$G$7:$I$104,C11+2,0)="N.A.","",HLOOKUP(F11,$H$3:$W$4,2,0))</f>
        <v>M</v>
      </c>
      <c r="M11" s="238"/>
      <c r="N11" s="37" t="s">
        <v>208</v>
      </c>
      <c r="O11" s="80"/>
      <c r="P11" s="81" t="s">
        <v>209</v>
      </c>
      <c r="Q11" s="156">
        <f>IF(P11="","-",VLOOKUP(P11,IM,2,FALSE))</f>
        <v>80</v>
      </c>
      <c r="R11" s="82">
        <f>IF(Q11="-","",IF(Q11*100/VLOOKUP($M$4,Nivel_cumplimiento,2,0)&gt;100,100,Q11*100/VLOOKUP($M$4,Nivel_cumplimiento,2,0)))</f>
        <v>100</v>
      </c>
      <c r="S11" s="3"/>
      <c r="T11" s="3"/>
      <c r="U11" s="3"/>
      <c r="V11" s="3"/>
      <c r="W11" s="10"/>
      <c r="X11" s="5"/>
      <c r="Y11" s="16"/>
      <c r="Z11" s="16"/>
      <c r="AA11" s="16"/>
      <c r="AB11" s="22"/>
      <c r="AC11" s="16"/>
    </row>
    <row r="12" spans="2:30" ht="29.25" customHeight="1" x14ac:dyDescent="0.3">
      <c r="B12" s="2"/>
      <c r="C12" s="76">
        <v>4</v>
      </c>
      <c r="D12" s="77" t="s">
        <v>210</v>
      </c>
      <c r="E12" s="78" t="s">
        <v>211</v>
      </c>
      <c r="F12" s="77" t="s">
        <v>182</v>
      </c>
      <c r="G12" s="79" t="s">
        <v>200</v>
      </c>
      <c r="H12" s="79" t="s">
        <v>200</v>
      </c>
      <c r="I12" s="79" t="s">
        <v>200</v>
      </c>
      <c r="J12" s="254" t="str">
        <f>IF(HLOOKUP(HLOOKUP(F12,$H$3:$W$4,2,0),$G$7:$I$104,C12+2,0)="N.A.","",HLOOKUP(HLOOKUP(F12,$H$3:$W$4,2,0),$G$7:$I$104,C12+2,0))</f>
        <v>aplica</v>
      </c>
      <c r="K12" s="254"/>
      <c r="L12" s="238" t="str">
        <f>IF(HLOOKUP(HLOOKUP(F12,$H$3:$W$4,2,0),$G$7:$I$104,C12+2,0)="N.A.","",HLOOKUP(F12,$H$3:$W$4,2,0))</f>
        <v>M</v>
      </c>
      <c r="M12" s="238"/>
      <c r="N12" s="37" t="s">
        <v>212</v>
      </c>
      <c r="O12" s="80"/>
      <c r="P12" s="81" t="s">
        <v>209</v>
      </c>
      <c r="Q12" s="156">
        <f>IF(P12="","-",VLOOKUP(P12,IM,2,FALSE))</f>
        <v>80</v>
      </c>
      <c r="R12" s="82">
        <f>IF(Q12="-","",IF(Q12*100/VLOOKUP($M$4,Nivel_cumplimiento,2,0)&gt;100,100,Q12*100/VLOOKUP($M$4,Nivel_cumplimiento,2,0)))</f>
        <v>100</v>
      </c>
      <c r="S12" s="3"/>
      <c r="T12" s="3"/>
      <c r="U12" s="3"/>
      <c r="V12" s="3"/>
      <c r="W12" s="10"/>
      <c r="X12" s="5"/>
      <c r="Y12" s="16"/>
      <c r="Z12" s="16"/>
      <c r="AA12" s="16"/>
      <c r="AB12" s="22"/>
      <c r="AC12" s="16"/>
    </row>
    <row r="13" spans="2:30" ht="22.95" customHeight="1" x14ac:dyDescent="0.3">
      <c r="B13" s="2"/>
      <c r="C13" s="74">
        <v>5</v>
      </c>
      <c r="D13" s="75" t="s">
        <v>213</v>
      </c>
      <c r="E13" s="246" t="s">
        <v>214</v>
      </c>
      <c r="F13" s="246"/>
      <c r="G13" s="246"/>
      <c r="H13" s="246"/>
      <c r="I13" s="246"/>
      <c r="J13" s="246"/>
      <c r="K13" s="246"/>
      <c r="L13" s="246"/>
      <c r="M13" s="246"/>
      <c r="N13" s="246"/>
      <c r="O13" s="246"/>
      <c r="P13" s="246"/>
      <c r="Q13" s="246"/>
      <c r="R13" s="246"/>
      <c r="S13" s="3"/>
      <c r="T13" s="3"/>
      <c r="U13" s="3"/>
      <c r="V13" s="3"/>
      <c r="W13" s="10"/>
      <c r="X13" s="5"/>
      <c r="Y13" s="16"/>
      <c r="Z13" s="16"/>
      <c r="AA13" s="16"/>
      <c r="AB13" s="22"/>
      <c r="AC13" s="16"/>
    </row>
    <row r="14" spans="2:30" ht="24.6" customHeight="1" x14ac:dyDescent="0.3">
      <c r="B14" s="2"/>
      <c r="C14" s="84">
        <v>6</v>
      </c>
      <c r="D14" s="85" t="s">
        <v>215</v>
      </c>
      <c r="E14" s="237" t="s">
        <v>216</v>
      </c>
      <c r="F14" s="237"/>
      <c r="G14" s="237"/>
      <c r="H14" s="237"/>
      <c r="I14" s="237"/>
      <c r="J14" s="237"/>
      <c r="K14" s="237"/>
      <c r="L14" s="237"/>
      <c r="M14" s="237"/>
      <c r="N14" s="237"/>
      <c r="O14" s="237"/>
      <c r="P14" s="237"/>
      <c r="Q14" s="237"/>
      <c r="R14" s="237"/>
      <c r="S14" s="3"/>
      <c r="T14" s="3"/>
      <c r="U14" s="3"/>
      <c r="V14" s="3"/>
      <c r="W14" s="10"/>
      <c r="X14" s="5"/>
      <c r="Y14" s="16"/>
      <c r="Z14" s="16"/>
      <c r="AA14" s="16"/>
      <c r="AB14" s="22"/>
      <c r="AC14" s="16"/>
    </row>
    <row r="15" spans="2:30" ht="49.65" customHeight="1" x14ac:dyDescent="0.3">
      <c r="B15" s="2"/>
      <c r="C15" s="76">
        <v>7</v>
      </c>
      <c r="D15" s="77" t="s">
        <v>217</v>
      </c>
      <c r="E15" s="83" t="s">
        <v>218</v>
      </c>
      <c r="F15" s="77" t="s">
        <v>182</v>
      </c>
      <c r="G15" s="79" t="s">
        <v>200</v>
      </c>
      <c r="H15" s="86" t="s">
        <v>219</v>
      </c>
      <c r="I15" s="87" t="s">
        <v>220</v>
      </c>
      <c r="J15" s="236" t="str">
        <f>IF(HLOOKUP(HLOOKUP(F15,$H$3:$W$4,2,0),$G$7:$I$104,C15+2,0)="N.A.","",HLOOKUP(HLOOKUP(F15,$H$3:$W$4,2,0),$G$7:$I$104,C15+2,0))</f>
        <v>aplica + R1</v>
      </c>
      <c r="K15" s="236"/>
      <c r="L15" s="238" t="str">
        <f>IF(HLOOKUP(HLOOKUP(F15,$H$3:$W$4,2,0),$G$7:$I$104,C15+2,0)="N.A.","",HLOOKUP(F15,$H$3:$W$4,2,0))</f>
        <v>M</v>
      </c>
      <c r="M15" s="238"/>
      <c r="N15" s="37" t="s">
        <v>221</v>
      </c>
      <c r="O15" s="80"/>
      <c r="P15" s="81" t="s">
        <v>209</v>
      </c>
      <c r="Q15" s="156">
        <f>IF(P15="","-",VLOOKUP(P15,IM,2,FALSE))</f>
        <v>80</v>
      </c>
      <c r="R15" s="82">
        <f>IF(Q15="-","",IF(Q15*100/VLOOKUP($M$4,Nivel_cumplimiento,2,0)&gt;100,100,Q15*100/VLOOKUP($M$4,Nivel_cumplimiento,2,0)))</f>
        <v>100</v>
      </c>
      <c r="S15" s="3"/>
      <c r="T15" s="3"/>
      <c r="U15" s="3"/>
      <c r="V15" s="3"/>
      <c r="W15" s="10"/>
      <c r="X15" s="5"/>
      <c r="Y15" s="17"/>
      <c r="Z15" s="16"/>
      <c r="AA15" s="16"/>
      <c r="AB15" s="22"/>
      <c r="AC15" s="16"/>
    </row>
    <row r="16" spans="2:30" ht="85.95" customHeight="1" x14ac:dyDescent="0.3">
      <c r="B16" s="2"/>
      <c r="C16" s="76">
        <v>8</v>
      </c>
      <c r="D16" s="77" t="s">
        <v>222</v>
      </c>
      <c r="E16" s="83" t="s">
        <v>223</v>
      </c>
      <c r="F16" s="77" t="s">
        <v>182</v>
      </c>
      <c r="G16" s="79" t="s">
        <v>200</v>
      </c>
      <c r="H16" s="86" t="s">
        <v>219</v>
      </c>
      <c r="I16" s="88" t="s">
        <v>224</v>
      </c>
      <c r="J16" s="239" t="str">
        <f>IF(HLOOKUP(HLOOKUP(F16,$H$3:$W$4,2,0),$G$7:$I$104,C16+2,0)="N.A.","",HLOOKUP(HLOOKUP(F16,$H$3:$W$4,2,0),$G$7:$I$104,C16+2,0))</f>
        <v>aplica + R1</v>
      </c>
      <c r="K16" s="240"/>
      <c r="L16" s="244" t="str">
        <f>IF(HLOOKUP(HLOOKUP(F16,$H$3:$W$4,2,0),$G$7:$I$104,C16+2,0)="N.A.","",HLOOKUP(F16,$H$3:$W$4,2,0))</f>
        <v>M</v>
      </c>
      <c r="M16" s="245"/>
      <c r="N16" s="37" t="s">
        <v>225</v>
      </c>
      <c r="O16" s="80"/>
      <c r="P16" s="81" t="s">
        <v>209</v>
      </c>
      <c r="Q16" s="156">
        <f>IF(P16="","-",VLOOKUP(P16,IM,2,FALSE))</f>
        <v>80</v>
      </c>
      <c r="R16" s="82">
        <f>IF(Q16="-","",IF(Q16*100/VLOOKUP($M$4,Nivel_cumplimiento,2,0)&gt;100,100,Q16*100/VLOOKUP($M$4,Nivel_cumplimiento,2,0)))</f>
        <v>100</v>
      </c>
      <c r="S16" s="3"/>
      <c r="T16" s="3"/>
      <c r="U16" s="3"/>
      <c r="V16" s="3"/>
      <c r="W16" s="10"/>
      <c r="X16" s="5"/>
      <c r="Y16" s="16"/>
      <c r="Z16" s="16"/>
      <c r="AA16" s="16"/>
      <c r="AB16" s="22"/>
      <c r="AC16" s="16"/>
    </row>
    <row r="17" spans="2:29" ht="52.95" customHeight="1" x14ac:dyDescent="0.3">
      <c r="B17" s="2"/>
      <c r="C17" s="76">
        <v>9</v>
      </c>
      <c r="D17" s="77" t="s">
        <v>226</v>
      </c>
      <c r="E17" s="83" t="s">
        <v>227</v>
      </c>
      <c r="F17" s="77" t="s">
        <v>182</v>
      </c>
      <c r="G17" s="79" t="s">
        <v>200</v>
      </c>
      <c r="H17" s="79" t="s">
        <v>200</v>
      </c>
      <c r="I17" s="79" t="s">
        <v>200</v>
      </c>
      <c r="J17" s="236" t="str">
        <f>IF(HLOOKUP(HLOOKUP(F17,$H$3:$W$4,2,0),$G$7:$I$104,C17+2,0)="N.A.","",HLOOKUP(HLOOKUP(F17,$H$3:$W$4,2,0),$G$7:$I$104,C17+2,0))</f>
        <v>aplica</v>
      </c>
      <c r="K17" s="236"/>
      <c r="L17" s="238" t="str">
        <f>IF(HLOOKUP(HLOOKUP(F17,$H$3:$W$4,2,0),$G$7:$I$104,C17+2,0)="N.A.","",HLOOKUP(F17,$H$3:$W$4,2,0))</f>
        <v>M</v>
      </c>
      <c r="M17" s="238"/>
      <c r="N17" s="37" t="s">
        <v>228</v>
      </c>
      <c r="O17" s="80"/>
      <c r="P17" s="81" t="s">
        <v>209</v>
      </c>
      <c r="Q17" s="156">
        <f>IF(P17="","-",VLOOKUP(P17,IM,2,FALSE))</f>
        <v>80</v>
      </c>
      <c r="R17" s="82">
        <f>IF(Q17="-","",IF(Q17*100/VLOOKUP($M$4,Nivel_cumplimiento,2,0)&gt;100,100,Q17*100/VLOOKUP($M$4,Nivel_cumplimiento,2,0)))</f>
        <v>100</v>
      </c>
      <c r="S17" s="3"/>
      <c r="T17" s="3"/>
      <c r="U17" s="3"/>
      <c r="V17" s="3"/>
      <c r="W17" s="10"/>
      <c r="X17" s="5"/>
      <c r="Y17" s="16"/>
      <c r="Z17" s="16"/>
      <c r="AA17" s="16"/>
      <c r="AB17" s="22"/>
    </row>
    <row r="18" spans="2:29" ht="80.400000000000006" customHeight="1" x14ac:dyDescent="0.3">
      <c r="B18" s="2"/>
      <c r="C18" s="76">
        <v>10</v>
      </c>
      <c r="D18" s="77" t="s">
        <v>229</v>
      </c>
      <c r="E18" s="83" t="s">
        <v>230</v>
      </c>
      <c r="F18" s="77" t="s">
        <v>65</v>
      </c>
      <c r="G18" s="79" t="s">
        <v>200</v>
      </c>
      <c r="H18" s="86" t="s">
        <v>219</v>
      </c>
      <c r="I18" s="86" t="s">
        <v>219</v>
      </c>
      <c r="J18" s="236" t="str">
        <f>IF(HLOOKUP(HLOOKUP(F18,$H$3:$W$4,2,0),$G$7:$I$104,C18+2,0)="N.A.","",HLOOKUP(HLOOKUP(F18,$H$3:$W$4,2,0),$G$7:$I$104,C18+2,0))</f>
        <v>aplica + R1</v>
      </c>
      <c r="K18" s="236"/>
      <c r="L18" s="238" t="str">
        <f>IF(HLOOKUP(HLOOKUP(F18,$H$3:$W$4,2,0),$G$7:$I$104,C18+2,0)="N.A.","",HLOOKUP(F18,$H$3:$W$4,2,0))</f>
        <v>M</v>
      </c>
      <c r="M18" s="238"/>
      <c r="N18" s="37" t="s">
        <v>231</v>
      </c>
      <c r="O18" s="80"/>
      <c r="P18" s="81" t="s">
        <v>209</v>
      </c>
      <c r="Q18" s="156">
        <f>IF(P18="","-",VLOOKUP(P18,IM,2,FALSE))</f>
        <v>80</v>
      </c>
      <c r="R18" s="82">
        <f>IF(Q18="-","",IF(Q18*100/VLOOKUP($M$4,Nivel_cumplimiento,2,0)&gt;100,100,Q18*100/VLOOKUP($M$4,Nivel_cumplimiento,2,0)))</f>
        <v>100</v>
      </c>
      <c r="S18" s="3"/>
      <c r="T18" s="3"/>
      <c r="U18" s="3"/>
      <c r="V18" s="3"/>
      <c r="W18" s="10"/>
      <c r="X18" s="5"/>
      <c r="Y18" s="16"/>
      <c r="Z18" s="16"/>
      <c r="AA18" s="16"/>
      <c r="AB18" s="22"/>
    </row>
    <row r="19" spans="2:29" ht="37.200000000000003" customHeight="1" x14ac:dyDescent="0.3">
      <c r="B19" s="2"/>
      <c r="C19" s="76">
        <v>11</v>
      </c>
      <c r="D19" s="77" t="s">
        <v>232</v>
      </c>
      <c r="E19" s="83" t="s">
        <v>233</v>
      </c>
      <c r="F19" s="77" t="s">
        <v>182</v>
      </c>
      <c r="G19" s="51" t="s">
        <v>156</v>
      </c>
      <c r="H19" s="86" t="s">
        <v>200</v>
      </c>
      <c r="I19" s="86" t="s">
        <v>200</v>
      </c>
      <c r="J19" s="236" t="str">
        <f>IF(HLOOKUP(HLOOKUP(F19,$H$3:$W$4,2,0),$G$7:$I$104,C19+2,0)="N.A.","",HLOOKUP(HLOOKUP(F19,$H$3:$W$4,2,0),$G$7:$I$104,C19+2,0))</f>
        <v>aplica</v>
      </c>
      <c r="K19" s="236"/>
      <c r="L19" s="238" t="str">
        <f>IF(HLOOKUP(HLOOKUP(F19,$H$3:$W$4,2,0),$G$7:$I$104,C19+2,0)="N.A.","",HLOOKUP(F19,$H$3:$W$4,2,0))</f>
        <v>M</v>
      </c>
      <c r="M19" s="238"/>
      <c r="N19" s="89" t="s">
        <v>234</v>
      </c>
      <c r="O19" s="101"/>
      <c r="P19" s="81" t="s">
        <v>209</v>
      </c>
      <c r="Q19" s="156">
        <f>IF(P19="","-",VLOOKUP(P19,IM,2,FALSE))</f>
        <v>80</v>
      </c>
      <c r="R19" s="82">
        <f>IF(Q19="-","",IF(Q19*100/VLOOKUP($M$4,Nivel_cumplimiento,2,0)&gt;100,100,Q19*100/VLOOKUP($M$4,Nivel_cumplimiento,2,0)))</f>
        <v>100</v>
      </c>
      <c r="S19" s="3"/>
      <c r="T19" s="3"/>
      <c r="U19" s="3"/>
      <c r="V19" s="3"/>
      <c r="W19" s="10"/>
      <c r="X19" s="5"/>
      <c r="Y19" s="16"/>
      <c r="Z19" s="16"/>
      <c r="AA19" s="16"/>
      <c r="AB19" s="22"/>
    </row>
    <row r="20" spans="2:29" x14ac:dyDescent="0.3">
      <c r="B20" s="2"/>
      <c r="C20" s="84">
        <v>12</v>
      </c>
      <c r="D20" s="85" t="s">
        <v>235</v>
      </c>
      <c r="E20" s="237" t="s">
        <v>236</v>
      </c>
      <c r="F20" s="237"/>
      <c r="G20" s="237"/>
      <c r="H20" s="237"/>
      <c r="I20" s="237"/>
      <c r="J20" s="237"/>
      <c r="K20" s="237"/>
      <c r="L20" s="237"/>
      <c r="M20" s="237"/>
      <c r="N20" s="237"/>
      <c r="O20" s="237"/>
      <c r="P20" s="237"/>
      <c r="Q20" s="237"/>
      <c r="R20" s="237"/>
      <c r="S20" s="3"/>
      <c r="T20" s="3"/>
      <c r="U20" s="3"/>
      <c r="V20" s="3"/>
      <c r="W20" s="10"/>
      <c r="X20" s="5"/>
      <c r="Y20" s="16"/>
      <c r="Z20" s="16"/>
      <c r="AA20" s="16"/>
      <c r="AB20" s="22"/>
      <c r="AC20" s="16"/>
    </row>
    <row r="21" spans="2:29" ht="94.2" customHeight="1" x14ac:dyDescent="0.3">
      <c r="B21" s="2"/>
      <c r="C21" s="76">
        <v>13</v>
      </c>
      <c r="D21" s="77" t="s">
        <v>237</v>
      </c>
      <c r="E21" s="83" t="s">
        <v>238</v>
      </c>
      <c r="F21" s="77" t="s">
        <v>185</v>
      </c>
      <c r="G21" s="79" t="s">
        <v>200</v>
      </c>
      <c r="H21" s="86" t="s">
        <v>219</v>
      </c>
      <c r="I21" s="86" t="s">
        <v>239</v>
      </c>
      <c r="J21" s="236" t="str">
        <f t="shared" ref="J21:J26" si="0">IF(HLOOKUP(HLOOKUP(F21,$H$3:$W$4,2,0),$G$7:$I$104,C21+2,0)="N.A.","",HLOOKUP(HLOOKUP(F21,$H$3:$W$4,2,0),$G$7:$I$104,C21+2,0))</f>
        <v>aplica + R1</v>
      </c>
      <c r="K21" s="236"/>
      <c r="L21" s="238" t="str">
        <f t="shared" ref="L21:L26" si="1">IF(HLOOKUP(HLOOKUP(F21,$H$3:$W$4,2,0),$G$7:$I$104,C21+2,0)="N.A.","",HLOOKUP(F21,$H$3:$W$4,2,0))</f>
        <v>M</v>
      </c>
      <c r="M21" s="238"/>
      <c r="N21" s="37" t="s">
        <v>240</v>
      </c>
      <c r="O21" s="80"/>
      <c r="P21" s="81" t="s">
        <v>209</v>
      </c>
      <c r="Q21" s="81">
        <f t="shared" ref="Q21:Q26" si="2">IF(P21="","-",VLOOKUP(P21,IM,2,FALSE))</f>
        <v>80</v>
      </c>
      <c r="R21" s="82">
        <f t="shared" ref="R21:R26" si="3">IF(Q21="-","",IF(Q21*100/VLOOKUP($M$4,Nivel_cumplimiento,2,0)&gt;100,100,Q21*100/VLOOKUP($M$4,Nivel_cumplimiento,2,0)))</f>
        <v>100</v>
      </c>
      <c r="S21" s="3"/>
      <c r="T21" s="3"/>
      <c r="U21" s="3"/>
      <c r="V21" s="3"/>
      <c r="W21" s="10"/>
      <c r="X21" s="5"/>
      <c r="Y21" s="16"/>
      <c r="Z21" s="16"/>
      <c r="AA21" s="16"/>
      <c r="AB21" s="22"/>
    </row>
    <row r="22" spans="2:29" ht="82.2" customHeight="1" x14ac:dyDescent="0.3">
      <c r="B22" s="2"/>
      <c r="C22" s="76">
        <v>14</v>
      </c>
      <c r="D22" s="77" t="s">
        <v>241</v>
      </c>
      <c r="E22" s="83" t="s">
        <v>242</v>
      </c>
      <c r="F22" s="77" t="s">
        <v>186</v>
      </c>
      <c r="G22" s="79" t="s">
        <v>200</v>
      </c>
      <c r="H22" s="79" t="s">
        <v>200</v>
      </c>
      <c r="I22" s="87" t="s">
        <v>219</v>
      </c>
      <c r="J22" s="236" t="str">
        <f t="shared" si="0"/>
        <v>aplica</v>
      </c>
      <c r="K22" s="236"/>
      <c r="L22" s="238" t="str">
        <f t="shared" si="1"/>
        <v>M</v>
      </c>
      <c r="M22" s="238"/>
      <c r="N22" s="37" t="s">
        <v>243</v>
      </c>
      <c r="O22" s="92"/>
      <c r="P22" s="81" t="s">
        <v>209</v>
      </c>
      <c r="Q22" s="81">
        <f t="shared" si="2"/>
        <v>80</v>
      </c>
      <c r="R22" s="82">
        <f t="shared" si="3"/>
        <v>100</v>
      </c>
      <c r="S22" s="3"/>
      <c r="T22" s="3"/>
      <c r="U22" s="3"/>
      <c r="V22" s="3"/>
      <c r="W22" s="10"/>
      <c r="X22" s="5"/>
      <c r="Y22" s="16"/>
      <c r="Z22" s="16"/>
      <c r="AA22" s="16"/>
      <c r="AB22" s="22"/>
    </row>
    <row r="23" spans="2:29" ht="58.95" customHeight="1" x14ac:dyDescent="0.3">
      <c r="B23" s="2"/>
      <c r="C23" s="76">
        <v>15</v>
      </c>
      <c r="D23" s="77" t="s">
        <v>244</v>
      </c>
      <c r="E23" s="83" t="s">
        <v>245</v>
      </c>
      <c r="F23" s="77" t="s">
        <v>186</v>
      </c>
      <c r="G23" s="51" t="s">
        <v>156</v>
      </c>
      <c r="H23" s="86" t="s">
        <v>200</v>
      </c>
      <c r="I23" s="87" t="s">
        <v>219</v>
      </c>
      <c r="J23" s="236" t="str">
        <f t="shared" si="0"/>
        <v>aplica</v>
      </c>
      <c r="K23" s="236"/>
      <c r="L23" s="238" t="str">
        <f t="shared" si="1"/>
        <v>M</v>
      </c>
      <c r="M23" s="238"/>
      <c r="N23" s="37" t="s">
        <v>246</v>
      </c>
      <c r="O23" s="80"/>
      <c r="P23" s="81" t="s">
        <v>209</v>
      </c>
      <c r="Q23" s="81">
        <f t="shared" si="2"/>
        <v>80</v>
      </c>
      <c r="R23" s="82">
        <f t="shared" si="3"/>
        <v>100</v>
      </c>
      <c r="S23" s="3"/>
      <c r="T23" s="3"/>
      <c r="U23" s="3"/>
      <c r="V23" s="3"/>
      <c r="W23" s="10"/>
      <c r="X23" s="5"/>
      <c r="Y23" s="16"/>
      <c r="Z23" s="16"/>
      <c r="AA23" s="16"/>
      <c r="AB23" s="22"/>
    </row>
    <row r="24" spans="2:29" ht="136.19999999999999" customHeight="1" x14ac:dyDescent="0.3">
      <c r="B24" s="2"/>
      <c r="C24" s="76">
        <v>16</v>
      </c>
      <c r="D24" s="77" t="s">
        <v>247</v>
      </c>
      <c r="E24" s="83" t="s">
        <v>248</v>
      </c>
      <c r="F24" s="77" t="s">
        <v>186</v>
      </c>
      <c r="G24" s="79" t="s">
        <v>200</v>
      </c>
      <c r="H24" s="79" t="s">
        <v>200</v>
      </c>
      <c r="I24" s="79" t="s">
        <v>200</v>
      </c>
      <c r="J24" s="236" t="str">
        <f t="shared" si="0"/>
        <v>aplica</v>
      </c>
      <c r="K24" s="236"/>
      <c r="L24" s="238" t="str">
        <f t="shared" si="1"/>
        <v>M</v>
      </c>
      <c r="M24" s="238"/>
      <c r="N24" s="37" t="s">
        <v>249</v>
      </c>
      <c r="O24" s="80"/>
      <c r="P24" s="81" t="s">
        <v>209</v>
      </c>
      <c r="Q24" s="81">
        <f t="shared" si="2"/>
        <v>80</v>
      </c>
      <c r="R24" s="82">
        <f t="shared" si="3"/>
        <v>100</v>
      </c>
      <c r="S24" s="3"/>
      <c r="T24" s="3"/>
      <c r="U24" s="3"/>
      <c r="V24" s="3"/>
      <c r="W24" s="10"/>
      <c r="X24" s="5"/>
      <c r="Y24" s="16"/>
      <c r="Z24" s="16"/>
      <c r="AA24" s="16"/>
      <c r="AB24" s="22"/>
    </row>
    <row r="25" spans="2:29" ht="81.599999999999994" customHeight="1" x14ac:dyDescent="0.3">
      <c r="B25" s="2"/>
      <c r="C25" s="76">
        <v>17</v>
      </c>
      <c r="D25" s="77" t="s">
        <v>250</v>
      </c>
      <c r="E25" s="83" t="s">
        <v>251</v>
      </c>
      <c r="F25" s="77" t="s">
        <v>186</v>
      </c>
      <c r="G25" s="79" t="s">
        <v>252</v>
      </c>
      <c r="H25" s="86" t="s">
        <v>253</v>
      </c>
      <c r="I25" s="86" t="s">
        <v>253</v>
      </c>
      <c r="J25" s="236" t="s">
        <v>254</v>
      </c>
      <c r="K25" s="236"/>
      <c r="L25" s="238"/>
      <c r="M25" s="238"/>
      <c r="N25" s="194" t="s">
        <v>255</v>
      </c>
      <c r="O25" s="80"/>
      <c r="P25" s="81"/>
      <c r="Q25" s="81" t="str">
        <f t="shared" si="2"/>
        <v>-</v>
      </c>
      <c r="R25" s="82" t="str">
        <f t="shared" si="3"/>
        <v/>
      </c>
      <c r="S25" s="3"/>
      <c r="T25" s="3"/>
      <c r="U25" s="3"/>
      <c r="V25" s="3"/>
      <c r="W25" s="10"/>
      <c r="X25" s="5"/>
      <c r="Y25" s="16"/>
      <c r="Z25" s="16"/>
      <c r="AA25" s="16"/>
      <c r="AB25" s="22"/>
    </row>
    <row r="26" spans="2:29" ht="202.2" customHeight="1" x14ac:dyDescent="0.3">
      <c r="B26" s="2"/>
      <c r="C26" s="76">
        <v>18</v>
      </c>
      <c r="D26" s="77" t="s">
        <v>256</v>
      </c>
      <c r="E26" s="83" t="s">
        <v>257</v>
      </c>
      <c r="F26" s="77" t="s">
        <v>186</v>
      </c>
      <c r="G26" s="93" t="s">
        <v>258</v>
      </c>
      <c r="H26" s="94" t="s">
        <v>259</v>
      </c>
      <c r="I26" s="95" t="s">
        <v>260</v>
      </c>
      <c r="J26" s="236" t="str">
        <f t="shared" si="0"/>
        <v>aplica + [R1 o R2 o R3 o R4] + R5 + R8 + R9</v>
      </c>
      <c r="K26" s="236"/>
      <c r="L26" s="238" t="str">
        <f t="shared" si="1"/>
        <v>M</v>
      </c>
      <c r="M26" s="238"/>
      <c r="N26" s="190" t="s">
        <v>261</v>
      </c>
      <c r="O26" s="92"/>
      <c r="P26" s="81" t="s">
        <v>209</v>
      </c>
      <c r="Q26" s="81">
        <f t="shared" si="2"/>
        <v>80</v>
      </c>
      <c r="R26" s="82">
        <f t="shared" si="3"/>
        <v>100</v>
      </c>
      <c r="S26" s="3"/>
      <c r="T26" s="3"/>
      <c r="U26" s="3"/>
      <c r="V26" s="3"/>
      <c r="W26" s="10"/>
      <c r="X26" s="5"/>
      <c r="Y26" s="16"/>
      <c r="Z26" s="16"/>
      <c r="AA26" s="16"/>
      <c r="AB26" s="22"/>
    </row>
    <row r="27" spans="2:29" ht="30" customHeight="1" x14ac:dyDescent="0.3">
      <c r="B27" s="2"/>
      <c r="C27" s="84">
        <v>19</v>
      </c>
      <c r="D27" s="179" t="s">
        <v>262</v>
      </c>
      <c r="E27" s="247" t="s">
        <v>263</v>
      </c>
      <c r="F27" s="247"/>
      <c r="G27" s="247"/>
      <c r="H27" s="247"/>
      <c r="I27" s="247"/>
      <c r="J27" s="247"/>
      <c r="K27" s="247"/>
      <c r="L27" s="247"/>
      <c r="M27" s="247"/>
      <c r="N27" s="247"/>
      <c r="O27" s="247"/>
      <c r="P27" s="247"/>
      <c r="Q27" s="247"/>
      <c r="R27" s="247"/>
      <c r="S27" s="3"/>
      <c r="T27" s="3"/>
      <c r="U27" s="3"/>
      <c r="V27" s="3"/>
      <c r="W27" s="10"/>
      <c r="X27" s="5"/>
      <c r="Y27" s="16"/>
      <c r="Z27" s="16"/>
      <c r="AA27" s="16"/>
      <c r="AB27" s="22"/>
      <c r="AC27" s="16"/>
    </row>
    <row r="28" spans="2:29" ht="63.6" customHeight="1" x14ac:dyDescent="0.3">
      <c r="B28" s="2"/>
      <c r="C28" s="76">
        <v>20</v>
      </c>
      <c r="D28" s="77" t="s">
        <v>264</v>
      </c>
      <c r="E28" s="83" t="s">
        <v>265</v>
      </c>
      <c r="F28" s="77" t="s">
        <v>182</v>
      </c>
      <c r="G28" s="79" t="s">
        <v>200</v>
      </c>
      <c r="H28" s="79" t="s">
        <v>200</v>
      </c>
      <c r="I28" s="79" t="s">
        <v>200</v>
      </c>
      <c r="J28" s="236" t="str">
        <f t="shared" ref="J28:J37" si="4">IF(HLOOKUP(HLOOKUP(F28,$H$3:$W$4,2,0),$G$7:$I$104,C28+2,0)="N.A.","",HLOOKUP(HLOOKUP(F28,$H$3:$W$4,2,0),$G$7:$I$104,C28+2,0))</f>
        <v>aplica</v>
      </c>
      <c r="K28" s="236"/>
      <c r="L28" s="238" t="str">
        <f t="shared" ref="L28:L37" si="5">IF(HLOOKUP(HLOOKUP(F28,$H$3:$W$4,2,0),$G$7:$I$104,C28+2,0)="N.A.","",HLOOKUP(F28,$H$3:$W$4,2,0))</f>
        <v>M</v>
      </c>
      <c r="M28" s="238"/>
      <c r="N28" s="37" t="s">
        <v>266</v>
      </c>
      <c r="O28" s="96"/>
      <c r="P28" s="81" t="s">
        <v>209</v>
      </c>
      <c r="Q28" s="81">
        <f t="shared" ref="Q28:Q53" si="6">IF(P28="","-",VLOOKUP(P28,IM,2,FALSE))</f>
        <v>80</v>
      </c>
      <c r="R28" s="82">
        <f t="shared" ref="R28:R37" si="7">IF(Q28="-","",IF(Q28*100/VLOOKUP($M$4,Nivel_cumplimiento,2,0)&gt;100,100,Q28*100/VLOOKUP($M$4,Nivel_cumplimiento,2,0)))</f>
        <v>100</v>
      </c>
      <c r="S28" s="3"/>
      <c r="T28" s="3"/>
      <c r="U28" s="3"/>
      <c r="V28" s="3"/>
      <c r="W28" s="10"/>
      <c r="X28" s="5"/>
      <c r="Y28" s="16"/>
      <c r="Z28" s="16"/>
      <c r="AA28" s="16"/>
      <c r="AB28" s="22"/>
    </row>
    <row r="29" spans="2:29" ht="80.400000000000006" customHeight="1" x14ac:dyDescent="0.3">
      <c r="B29" s="2"/>
      <c r="C29" s="76">
        <v>21</v>
      </c>
      <c r="D29" s="77" t="s">
        <v>267</v>
      </c>
      <c r="E29" s="83" t="s">
        <v>268</v>
      </c>
      <c r="F29" s="77" t="s">
        <v>182</v>
      </c>
      <c r="G29" s="79" t="s">
        <v>200</v>
      </c>
      <c r="H29" s="79" t="s">
        <v>200</v>
      </c>
      <c r="I29" s="79" t="s">
        <v>200</v>
      </c>
      <c r="J29" s="236" t="str">
        <f t="shared" si="4"/>
        <v>aplica</v>
      </c>
      <c r="K29" s="236"/>
      <c r="L29" s="238" t="str">
        <f t="shared" si="5"/>
        <v>M</v>
      </c>
      <c r="M29" s="238"/>
      <c r="N29" s="37" t="s">
        <v>492</v>
      </c>
      <c r="O29" s="96"/>
      <c r="P29" s="81" t="s">
        <v>209</v>
      </c>
      <c r="Q29" s="81">
        <f t="shared" si="6"/>
        <v>80</v>
      </c>
      <c r="R29" s="82">
        <f t="shared" si="7"/>
        <v>100</v>
      </c>
      <c r="S29" s="3"/>
      <c r="T29" s="3"/>
      <c r="U29" s="3"/>
      <c r="V29" s="3"/>
      <c r="W29" s="10"/>
      <c r="X29" s="5"/>
      <c r="Y29" s="16"/>
      <c r="Z29" s="16"/>
      <c r="AA29" s="16"/>
      <c r="AB29" s="22"/>
    </row>
    <row r="30" spans="2:29" ht="123.6" customHeight="1" x14ac:dyDescent="0.3">
      <c r="B30" s="2"/>
      <c r="C30" s="76">
        <v>22</v>
      </c>
      <c r="D30" s="77" t="s">
        <v>269</v>
      </c>
      <c r="E30" s="83" t="s">
        <v>270</v>
      </c>
      <c r="F30" s="77" t="s">
        <v>182</v>
      </c>
      <c r="G30" s="79" t="s">
        <v>200</v>
      </c>
      <c r="H30" s="86" t="s">
        <v>219</v>
      </c>
      <c r="I30" s="88" t="s">
        <v>224</v>
      </c>
      <c r="J30" s="236" t="str">
        <f t="shared" si="4"/>
        <v>aplica + R1</v>
      </c>
      <c r="K30" s="236"/>
      <c r="L30" s="238" t="str">
        <f t="shared" si="5"/>
        <v>M</v>
      </c>
      <c r="M30" s="238"/>
      <c r="N30" s="37" t="s">
        <v>497</v>
      </c>
      <c r="O30" s="96"/>
      <c r="P30" s="81" t="s">
        <v>209</v>
      </c>
      <c r="Q30" s="81">
        <f t="shared" si="6"/>
        <v>80</v>
      </c>
      <c r="R30" s="66">
        <f t="shared" si="7"/>
        <v>100</v>
      </c>
      <c r="S30" s="3"/>
      <c r="T30" s="3"/>
      <c r="U30" s="3"/>
      <c r="V30" s="3"/>
      <c r="W30" s="10"/>
      <c r="X30" s="5"/>
      <c r="Y30" s="16"/>
      <c r="Z30" s="16"/>
      <c r="AA30" s="16"/>
      <c r="AB30" s="22"/>
    </row>
    <row r="31" spans="2:29" ht="43.2" customHeight="1" x14ac:dyDescent="0.3">
      <c r="B31" s="2"/>
      <c r="C31" s="76">
        <v>23</v>
      </c>
      <c r="D31" s="77" t="s">
        <v>271</v>
      </c>
      <c r="E31" s="83" t="s">
        <v>272</v>
      </c>
      <c r="F31" s="77" t="s">
        <v>182</v>
      </c>
      <c r="G31" s="79" t="s">
        <v>200</v>
      </c>
      <c r="H31" s="86" t="s">
        <v>219</v>
      </c>
      <c r="I31" s="88" t="s">
        <v>273</v>
      </c>
      <c r="J31" s="236" t="str">
        <f t="shared" si="4"/>
        <v>aplica + R1</v>
      </c>
      <c r="K31" s="236"/>
      <c r="L31" s="238" t="str">
        <f t="shared" si="5"/>
        <v>M</v>
      </c>
      <c r="M31" s="238"/>
      <c r="N31" s="37" t="s">
        <v>274</v>
      </c>
      <c r="O31" s="96"/>
      <c r="P31" s="81" t="s">
        <v>209</v>
      </c>
      <c r="Q31" s="81">
        <f t="shared" si="6"/>
        <v>80</v>
      </c>
      <c r="R31" s="82">
        <f t="shared" si="7"/>
        <v>100</v>
      </c>
      <c r="S31" s="3"/>
      <c r="T31" s="3"/>
      <c r="U31" s="3"/>
      <c r="V31" s="3"/>
      <c r="W31" s="10"/>
      <c r="X31" s="5"/>
      <c r="Y31" s="16"/>
      <c r="Z31" s="16"/>
      <c r="AA31" s="16"/>
      <c r="AB31" s="22"/>
    </row>
    <row r="32" spans="2:29" ht="51" customHeight="1" x14ac:dyDescent="0.3">
      <c r="B32" s="2"/>
      <c r="C32" s="76">
        <v>24</v>
      </c>
      <c r="D32" s="77" t="s">
        <v>275</v>
      </c>
      <c r="E32" s="83" t="s">
        <v>276</v>
      </c>
      <c r="F32" s="77" t="s">
        <v>182</v>
      </c>
      <c r="G32" s="51" t="s">
        <v>156</v>
      </c>
      <c r="H32" s="86" t="s">
        <v>200</v>
      </c>
      <c r="I32" s="87" t="s">
        <v>200</v>
      </c>
      <c r="J32" s="236" t="str">
        <f t="shared" si="4"/>
        <v>aplica</v>
      </c>
      <c r="K32" s="236"/>
      <c r="L32" s="238" t="str">
        <f t="shared" si="5"/>
        <v>M</v>
      </c>
      <c r="M32" s="238"/>
      <c r="N32" s="40" t="s">
        <v>277</v>
      </c>
      <c r="O32" s="96"/>
      <c r="P32" s="81" t="s">
        <v>209</v>
      </c>
      <c r="Q32" s="81">
        <f t="shared" si="6"/>
        <v>80</v>
      </c>
      <c r="R32" s="82">
        <f t="shared" si="7"/>
        <v>100</v>
      </c>
      <c r="S32" s="3"/>
      <c r="T32" s="3"/>
      <c r="U32" s="3"/>
      <c r="V32" s="3"/>
      <c r="W32" s="10"/>
      <c r="X32" s="5"/>
      <c r="Y32" s="16"/>
      <c r="Z32" s="16"/>
      <c r="AA32" s="16"/>
      <c r="AB32" s="22"/>
    </row>
    <row r="33" spans="2:29" ht="104.4" customHeight="1" x14ac:dyDescent="0.3">
      <c r="B33" s="2"/>
      <c r="C33" s="76">
        <v>25</v>
      </c>
      <c r="D33" s="77" t="s">
        <v>278</v>
      </c>
      <c r="E33" s="83" t="s">
        <v>279</v>
      </c>
      <c r="F33" s="77" t="s">
        <v>182</v>
      </c>
      <c r="G33" s="79" t="s">
        <v>200</v>
      </c>
      <c r="H33" s="86" t="s">
        <v>273</v>
      </c>
      <c r="I33" s="88" t="s">
        <v>280</v>
      </c>
      <c r="J33" s="236" t="str">
        <f t="shared" si="4"/>
        <v>aplica + R1 + R2</v>
      </c>
      <c r="K33" s="236"/>
      <c r="L33" s="238" t="str">
        <f t="shared" si="5"/>
        <v>M</v>
      </c>
      <c r="M33" s="238"/>
      <c r="N33" s="37" t="s">
        <v>281</v>
      </c>
      <c r="O33" s="96"/>
      <c r="P33" s="81" t="s">
        <v>209</v>
      </c>
      <c r="Q33" s="81">
        <f t="shared" si="6"/>
        <v>80</v>
      </c>
      <c r="R33" s="82">
        <f t="shared" si="7"/>
        <v>100</v>
      </c>
      <c r="S33" s="3"/>
      <c r="T33" s="3"/>
      <c r="U33" s="3"/>
      <c r="V33" s="3"/>
      <c r="W33" s="10"/>
      <c r="X33" s="5"/>
      <c r="Y33" s="16"/>
      <c r="Z33" s="16"/>
      <c r="AA33" s="16"/>
      <c r="AB33" s="22"/>
    </row>
    <row r="34" spans="2:29" ht="127.2" customHeight="1" x14ac:dyDescent="0.3">
      <c r="B34" s="2"/>
      <c r="C34" s="76">
        <v>26</v>
      </c>
      <c r="D34" s="77" t="s">
        <v>282</v>
      </c>
      <c r="E34" s="83" t="s">
        <v>283</v>
      </c>
      <c r="F34" s="77" t="s">
        <v>182</v>
      </c>
      <c r="G34" s="97" t="s">
        <v>200</v>
      </c>
      <c r="H34" s="98" t="s">
        <v>273</v>
      </c>
      <c r="I34" s="99" t="s">
        <v>224</v>
      </c>
      <c r="J34" s="236" t="str">
        <f t="shared" si="4"/>
        <v>aplica + R1 + R2</v>
      </c>
      <c r="K34" s="236"/>
      <c r="L34" s="238" t="str">
        <f t="shared" si="5"/>
        <v>M</v>
      </c>
      <c r="M34" s="238"/>
      <c r="N34" s="40" t="s">
        <v>284</v>
      </c>
      <c r="O34" s="91"/>
      <c r="P34" s="81" t="s">
        <v>209</v>
      </c>
      <c r="Q34" s="81">
        <f t="shared" si="6"/>
        <v>80</v>
      </c>
      <c r="R34" s="82">
        <f t="shared" si="7"/>
        <v>100</v>
      </c>
      <c r="S34" s="3"/>
      <c r="T34" s="3"/>
      <c r="U34" s="3"/>
      <c r="V34" s="3"/>
      <c r="W34" s="10"/>
      <c r="X34" s="5"/>
      <c r="Y34" s="16"/>
      <c r="Z34" s="16"/>
      <c r="AA34" s="16"/>
      <c r="AB34" s="22"/>
    </row>
    <row r="35" spans="2:29" ht="46.95" customHeight="1" x14ac:dyDescent="0.3">
      <c r="B35" s="2"/>
      <c r="C35" s="76">
        <v>27</v>
      </c>
      <c r="D35" s="77" t="s">
        <v>285</v>
      </c>
      <c r="E35" s="83" t="s">
        <v>286</v>
      </c>
      <c r="F35" s="77" t="s">
        <v>181</v>
      </c>
      <c r="G35" s="97" t="s">
        <v>200</v>
      </c>
      <c r="H35" s="98" t="s">
        <v>280</v>
      </c>
      <c r="I35" s="99" t="s">
        <v>287</v>
      </c>
      <c r="J35" s="236" t="str">
        <f t="shared" si="4"/>
        <v>aplica + R1 + R2 + R3 + R4</v>
      </c>
      <c r="K35" s="236"/>
      <c r="L35" s="238" t="str">
        <f t="shared" si="5"/>
        <v>M</v>
      </c>
      <c r="M35" s="238"/>
      <c r="N35" s="37" t="s">
        <v>288</v>
      </c>
      <c r="O35" s="96"/>
      <c r="P35" s="81" t="s">
        <v>209</v>
      </c>
      <c r="Q35" s="81">
        <f t="shared" si="6"/>
        <v>80</v>
      </c>
      <c r="R35" s="82">
        <f t="shared" si="7"/>
        <v>100</v>
      </c>
      <c r="S35" s="3"/>
      <c r="T35" s="3"/>
      <c r="U35" s="3"/>
      <c r="V35" s="3"/>
      <c r="W35" s="10"/>
      <c r="X35" s="5"/>
      <c r="Y35" s="16"/>
      <c r="Z35" s="16"/>
      <c r="AA35" s="16"/>
      <c r="AB35" s="22"/>
    </row>
    <row r="36" spans="2:29" ht="55.2" customHeight="1" x14ac:dyDescent="0.3">
      <c r="B36" s="2"/>
      <c r="C36" s="76">
        <v>28</v>
      </c>
      <c r="D36" s="77" t="s">
        <v>289</v>
      </c>
      <c r="E36" s="83" t="s">
        <v>290</v>
      </c>
      <c r="F36" s="77" t="s">
        <v>182</v>
      </c>
      <c r="G36" s="97" t="s">
        <v>200</v>
      </c>
      <c r="H36" s="97" t="s">
        <v>200</v>
      </c>
      <c r="I36" s="97" t="s">
        <v>200</v>
      </c>
      <c r="J36" s="236" t="str">
        <f t="shared" si="4"/>
        <v>aplica</v>
      </c>
      <c r="K36" s="236"/>
      <c r="L36" s="238" t="str">
        <f t="shared" si="5"/>
        <v>M</v>
      </c>
      <c r="M36" s="238"/>
      <c r="N36" s="37" t="s">
        <v>291</v>
      </c>
      <c r="O36" s="96"/>
      <c r="P36" s="81" t="s">
        <v>209</v>
      </c>
      <c r="Q36" s="81">
        <f t="shared" si="6"/>
        <v>80</v>
      </c>
      <c r="R36" s="82">
        <f t="shared" si="7"/>
        <v>100</v>
      </c>
      <c r="S36" s="3"/>
      <c r="T36" s="3"/>
      <c r="U36" s="3"/>
      <c r="V36" s="3"/>
      <c r="W36" s="10"/>
      <c r="X36" s="5"/>
      <c r="Y36" s="16"/>
      <c r="Z36" s="16"/>
      <c r="AA36" s="16"/>
      <c r="AB36" s="22"/>
    </row>
    <row r="37" spans="2:29" ht="46.2" customHeight="1" x14ac:dyDescent="0.3">
      <c r="B37" s="2"/>
      <c r="C37" s="76">
        <v>29</v>
      </c>
      <c r="D37" s="77" t="s">
        <v>292</v>
      </c>
      <c r="E37" s="83" t="s">
        <v>293</v>
      </c>
      <c r="F37" s="77" t="s">
        <v>182</v>
      </c>
      <c r="G37" s="97" t="s">
        <v>200</v>
      </c>
      <c r="H37" s="98" t="s">
        <v>219</v>
      </c>
      <c r="I37" s="98" t="s">
        <v>219</v>
      </c>
      <c r="J37" s="236" t="str">
        <f t="shared" si="4"/>
        <v>aplica + R1</v>
      </c>
      <c r="K37" s="236"/>
      <c r="L37" s="238" t="str">
        <f t="shared" si="5"/>
        <v>M</v>
      </c>
      <c r="M37" s="238"/>
      <c r="N37" s="91" t="s">
        <v>493</v>
      </c>
      <c r="O37" s="96"/>
      <c r="P37" s="81" t="s">
        <v>209</v>
      </c>
      <c r="Q37" s="81">
        <f t="shared" si="6"/>
        <v>80</v>
      </c>
      <c r="R37" s="82">
        <f t="shared" si="7"/>
        <v>100</v>
      </c>
      <c r="S37" s="3"/>
      <c r="T37" s="3"/>
      <c r="U37" s="3"/>
      <c r="V37" s="3"/>
      <c r="W37" s="10"/>
      <c r="X37" s="5"/>
      <c r="Y37" s="16"/>
      <c r="Z37" s="16"/>
      <c r="AA37" s="16"/>
      <c r="AB37" s="22"/>
    </row>
    <row r="38" spans="2:29" ht="24" customHeight="1" x14ac:dyDescent="0.3">
      <c r="B38" s="2"/>
      <c r="C38" s="84">
        <v>30</v>
      </c>
      <c r="D38" s="179" t="s">
        <v>294</v>
      </c>
      <c r="E38" s="247" t="s">
        <v>295</v>
      </c>
      <c r="F38" s="247"/>
      <c r="G38" s="247"/>
      <c r="H38" s="247"/>
      <c r="I38" s="247"/>
      <c r="J38" s="247"/>
      <c r="K38" s="247"/>
      <c r="L38" s="247"/>
      <c r="M38" s="247"/>
      <c r="N38" s="247"/>
      <c r="O38" s="247"/>
      <c r="P38" s="247"/>
      <c r="Q38" s="247"/>
      <c r="R38" s="247"/>
      <c r="S38" s="3"/>
      <c r="T38" s="3"/>
      <c r="U38" s="3"/>
      <c r="V38" s="3"/>
      <c r="W38" s="10"/>
      <c r="X38" s="5"/>
      <c r="Y38" s="16"/>
      <c r="Z38" s="16"/>
      <c r="AA38" s="16"/>
      <c r="AB38" s="22"/>
      <c r="AC38" s="16"/>
    </row>
    <row r="39" spans="2:29" ht="52.2" customHeight="1" x14ac:dyDescent="0.3">
      <c r="B39" s="2"/>
      <c r="C39" s="76">
        <v>31</v>
      </c>
      <c r="D39" s="77" t="s">
        <v>296</v>
      </c>
      <c r="E39" s="83" t="s">
        <v>297</v>
      </c>
      <c r="F39" s="77" t="s">
        <v>182</v>
      </c>
      <c r="G39" s="51" t="s">
        <v>156</v>
      </c>
      <c r="H39" s="98" t="s">
        <v>200</v>
      </c>
      <c r="I39" s="98" t="s">
        <v>200</v>
      </c>
      <c r="J39" s="236" t="str">
        <f>IF(HLOOKUP(HLOOKUP(F39,$H$3:$W$4,2,0),$G$7:$I$104,C39+2,0)="N.A.","",HLOOKUP(HLOOKUP(F39,$H$3:$W$4,2,0),$G$7:$I$104,C39+2,0))</f>
        <v>aplica</v>
      </c>
      <c r="K39" s="236"/>
      <c r="L39" s="238" t="str">
        <f>IF(HLOOKUP(HLOOKUP(F39,$H$3:$W$4,2,0),$G$7:$I$104,C39+2,0)="N.A.","",HLOOKUP(F39,$H$3:$W$4,2,0))</f>
        <v>M</v>
      </c>
      <c r="M39" s="238"/>
      <c r="N39" s="40" t="s">
        <v>298</v>
      </c>
      <c r="O39" s="96"/>
      <c r="P39" s="129" t="s">
        <v>209</v>
      </c>
      <c r="Q39" s="81">
        <f t="shared" si="6"/>
        <v>80</v>
      </c>
      <c r="R39" s="82">
        <f>IF(Q39="-","",IF(Q39*100/VLOOKUP($M$4,Nivel_cumplimiento,2,0)&gt;100,100,Q39*100/VLOOKUP($M$4,Nivel_cumplimiento,2,0)))</f>
        <v>100</v>
      </c>
      <c r="S39" s="3"/>
      <c r="T39" s="3"/>
      <c r="U39" s="3"/>
      <c r="V39" s="3"/>
      <c r="W39" s="10"/>
      <c r="X39" s="5"/>
      <c r="Y39" s="16"/>
      <c r="Z39" s="16"/>
      <c r="AA39" s="16"/>
      <c r="AB39" s="22"/>
    </row>
    <row r="40" spans="2:29" ht="45" customHeight="1" x14ac:dyDescent="0.3">
      <c r="B40" s="2"/>
      <c r="C40" s="76">
        <v>32</v>
      </c>
      <c r="D40" s="77" t="s">
        <v>299</v>
      </c>
      <c r="E40" s="83" t="s">
        <v>300</v>
      </c>
      <c r="F40" s="77" t="s">
        <v>182</v>
      </c>
      <c r="G40" s="51" t="s">
        <v>156</v>
      </c>
      <c r="H40" s="98" t="s">
        <v>200</v>
      </c>
      <c r="I40" s="98" t="s">
        <v>200</v>
      </c>
      <c r="J40" s="236" t="str">
        <f>IF(HLOOKUP(HLOOKUP(F40,$H$3:$W$4,2,0),$G$7:$I$104,C40+2,0)="N.A.","",HLOOKUP(HLOOKUP(F40,$H$3:$W$4,2,0),$G$7:$I$104,C40+2,0))</f>
        <v>aplica</v>
      </c>
      <c r="K40" s="236"/>
      <c r="L40" s="238" t="str">
        <f>IF(HLOOKUP(HLOOKUP(F40,$H$3:$W$4,2,0),$G$7:$I$104,C40+2,0)="N.A.","",HLOOKUP(F40,$H$3:$W$4,2,0))</f>
        <v>M</v>
      </c>
      <c r="M40" s="238"/>
      <c r="N40" s="176" t="s">
        <v>494</v>
      </c>
      <c r="O40" s="96"/>
      <c r="P40" s="129" t="s">
        <v>209</v>
      </c>
      <c r="Q40" s="81">
        <f t="shared" si="6"/>
        <v>80</v>
      </c>
      <c r="R40" s="82">
        <f>IF(Q40="-","",IF(Q40*100/VLOOKUP($M$4,Nivel_cumplimiento,2,0)&gt;100,100,Q40*100/VLOOKUP($M$4,Nivel_cumplimiento,2,0)))</f>
        <v>100</v>
      </c>
      <c r="S40" s="3"/>
      <c r="T40" s="3"/>
      <c r="U40" s="3"/>
      <c r="V40" s="3"/>
      <c r="W40" s="10"/>
      <c r="X40" s="5"/>
      <c r="Y40" s="16"/>
      <c r="Z40" s="16"/>
      <c r="AA40" s="16"/>
      <c r="AB40" s="22"/>
    </row>
    <row r="41" spans="2:29" ht="27.6" customHeight="1" x14ac:dyDescent="0.3">
      <c r="B41" s="2"/>
      <c r="C41" s="76">
        <v>33</v>
      </c>
      <c r="D41" s="77" t="s">
        <v>301</v>
      </c>
      <c r="E41" s="83" t="s">
        <v>302</v>
      </c>
      <c r="F41" s="77" t="s">
        <v>182</v>
      </c>
      <c r="G41" s="51" t="s">
        <v>156</v>
      </c>
      <c r="H41" s="51" t="s">
        <v>156</v>
      </c>
      <c r="I41" s="100" t="s">
        <v>219</v>
      </c>
      <c r="J41" s="236" t="str">
        <f>IF(HLOOKUP(HLOOKUP(F41,$H$3:$W$4,2,0),$G$7:$I$104,C41+2,0)="N.A.","",HLOOKUP(HLOOKUP(F41,$H$3:$W$4,2,0),$G$7:$I$104,C41+2,0))</f>
        <v/>
      </c>
      <c r="K41" s="236"/>
      <c r="L41" s="238" t="str">
        <f>IF(HLOOKUP(HLOOKUP(F41,$H$3:$W$4,2,0),$G$7:$I$104,C41+2,0)="N.A.","",HLOOKUP(F41,$H$3:$W$4,2,0))</f>
        <v/>
      </c>
      <c r="M41" s="238"/>
      <c r="N41" s="90"/>
      <c r="O41" s="96"/>
      <c r="P41" s="129"/>
      <c r="Q41" s="81" t="str">
        <f t="shared" si="6"/>
        <v>-</v>
      </c>
      <c r="R41" s="82" t="str">
        <f>IF(Q41="-","",IF(Q41*100/VLOOKUP($M$4,Nivel_cumplimiento,2,0)&gt;100,100,Q41*100/VLOOKUP($M$4,Nivel_cumplimiento,2,0)))</f>
        <v/>
      </c>
      <c r="S41" s="3"/>
      <c r="T41" s="3"/>
      <c r="U41" s="3"/>
      <c r="V41" s="3"/>
      <c r="W41" s="10"/>
      <c r="X41" s="5"/>
      <c r="Y41" s="16"/>
      <c r="Z41" s="16"/>
      <c r="AA41" s="16"/>
      <c r="AB41" s="22"/>
    </row>
    <row r="42" spans="2:29" ht="54" customHeight="1" x14ac:dyDescent="0.3">
      <c r="B42" s="2"/>
      <c r="C42" s="76">
        <v>34</v>
      </c>
      <c r="D42" s="77" t="s">
        <v>303</v>
      </c>
      <c r="E42" s="83" t="s">
        <v>304</v>
      </c>
      <c r="F42" s="77" t="s">
        <v>182</v>
      </c>
      <c r="G42" s="51" t="s">
        <v>156</v>
      </c>
      <c r="H42" s="98" t="s">
        <v>200</v>
      </c>
      <c r="I42" s="88" t="s">
        <v>200</v>
      </c>
      <c r="J42" s="236" t="str">
        <f>IF(HLOOKUP(HLOOKUP(F42,$H$3:$W$4,2,0),$G$7:$I$104,C42+2,0)="N.A.","",HLOOKUP(HLOOKUP(F42,$H$3:$W$4,2,0),$G$7:$I$104,C42+2,0))</f>
        <v>aplica</v>
      </c>
      <c r="K42" s="236"/>
      <c r="L42" s="238" t="str">
        <f>IF(HLOOKUP(HLOOKUP(F42,$H$3:$W$4,2,0),$G$7:$I$104,C42+2,0)="N.A.","",HLOOKUP(F42,$H$3:$W$4,2,0))</f>
        <v>M</v>
      </c>
      <c r="M42" s="238"/>
      <c r="N42" s="90" t="s">
        <v>305</v>
      </c>
      <c r="O42" s="101"/>
      <c r="P42" s="81" t="s">
        <v>209</v>
      </c>
      <c r="Q42" s="81">
        <f t="shared" si="6"/>
        <v>80</v>
      </c>
      <c r="R42" s="82">
        <f>IF(Q42="-","",IF(Q42*100/VLOOKUP($M$4,Nivel_cumplimiento,2,0)&gt;100,100,Q42*100/VLOOKUP($M$4,Nivel_cumplimiento,2,0)))</f>
        <v>100</v>
      </c>
      <c r="S42" s="3"/>
      <c r="T42" s="3"/>
      <c r="U42" s="3"/>
      <c r="V42" s="3"/>
      <c r="W42" s="10"/>
      <c r="X42" s="5"/>
      <c r="Y42" s="16"/>
      <c r="Z42" s="16"/>
      <c r="AA42" s="16"/>
      <c r="AB42" s="22"/>
    </row>
    <row r="43" spans="2:29" x14ac:dyDescent="0.3">
      <c r="B43" s="2"/>
      <c r="C43" s="84">
        <v>35</v>
      </c>
      <c r="D43" s="85" t="s">
        <v>306</v>
      </c>
      <c r="E43" s="237" t="s">
        <v>307</v>
      </c>
      <c r="F43" s="237"/>
      <c r="G43" s="237"/>
      <c r="H43" s="237"/>
      <c r="I43" s="237"/>
      <c r="J43" s="237"/>
      <c r="K43" s="237"/>
      <c r="L43" s="237"/>
      <c r="M43" s="237"/>
      <c r="N43" s="237"/>
      <c r="O43" s="237"/>
      <c r="P43" s="237"/>
      <c r="Q43" s="237"/>
      <c r="R43" s="237"/>
      <c r="S43" s="3"/>
      <c r="T43" s="3"/>
      <c r="U43" s="3"/>
      <c r="V43" s="3"/>
      <c r="W43" s="10"/>
      <c r="X43" s="5"/>
      <c r="Y43" s="16"/>
      <c r="Z43" s="16"/>
      <c r="AA43" s="16"/>
      <c r="AB43" s="22"/>
      <c r="AC43" s="16"/>
    </row>
    <row r="44" spans="2:29" ht="72.599999999999994" customHeight="1" x14ac:dyDescent="0.3">
      <c r="B44" s="2"/>
      <c r="C44" s="76">
        <v>36</v>
      </c>
      <c r="D44" s="77" t="s">
        <v>308</v>
      </c>
      <c r="E44" s="83" t="s">
        <v>309</v>
      </c>
      <c r="F44" s="77" t="s">
        <v>182</v>
      </c>
      <c r="G44" s="97" t="s">
        <v>200</v>
      </c>
      <c r="H44" s="98" t="s">
        <v>219</v>
      </c>
      <c r="I44" s="88" t="s">
        <v>273</v>
      </c>
      <c r="J44" s="236" t="str">
        <f>IF(HLOOKUP(HLOOKUP(F44,$H$3:$W$4,2,0),$G$7:$I$104,C44+2,0)="N.A.","",HLOOKUP(HLOOKUP(F44,$H$3:$W$4,2,0),$G$7:$I$104,C44+2,0))</f>
        <v>aplica + R1</v>
      </c>
      <c r="K44" s="236"/>
      <c r="L44" s="238" t="str">
        <f>IF(HLOOKUP(HLOOKUP(F44,$H$3:$W$4,2,0),$G$7:$I$104,C44+2,0)="N.A.","",HLOOKUP(F44,$H$3:$W$4,2,0))</f>
        <v>M</v>
      </c>
      <c r="M44" s="238"/>
      <c r="N44" s="90" t="s">
        <v>498</v>
      </c>
      <c r="O44" s="101"/>
      <c r="P44" s="81" t="s">
        <v>209</v>
      </c>
      <c r="Q44" s="81">
        <f t="shared" si="6"/>
        <v>80</v>
      </c>
      <c r="R44" s="82">
        <f>IF(Q44="-","",IF(Q44*100/VLOOKUP($M$4,Nivel_cumplimiento,2,0)&gt;100,100,Q44*100/VLOOKUP($M$4,Nivel_cumplimiento,2,0)))</f>
        <v>100</v>
      </c>
      <c r="S44" s="3"/>
      <c r="T44" s="3"/>
      <c r="U44" s="3"/>
      <c r="V44" s="3"/>
      <c r="W44" s="10"/>
      <c r="X44" s="5"/>
      <c r="Y44" s="16"/>
      <c r="Z44" s="16"/>
      <c r="AA44" s="16"/>
      <c r="AB44" s="22"/>
    </row>
    <row r="45" spans="2:29" x14ac:dyDescent="0.3">
      <c r="B45" s="2"/>
      <c r="C45" s="84">
        <v>37</v>
      </c>
      <c r="D45" s="85" t="s">
        <v>310</v>
      </c>
      <c r="E45" s="237" t="s">
        <v>311</v>
      </c>
      <c r="F45" s="237"/>
      <c r="G45" s="237"/>
      <c r="H45" s="237"/>
      <c r="I45" s="237"/>
      <c r="J45" s="237"/>
      <c r="K45" s="237"/>
      <c r="L45" s="237"/>
      <c r="M45" s="237"/>
      <c r="N45" s="237"/>
      <c r="O45" s="237"/>
      <c r="P45" s="237"/>
      <c r="Q45" s="237"/>
      <c r="R45" s="237"/>
      <c r="S45" s="3"/>
      <c r="T45" s="3"/>
      <c r="U45" s="3"/>
      <c r="V45" s="3"/>
      <c r="W45" s="10"/>
      <c r="X45" s="5"/>
      <c r="Y45" s="16"/>
      <c r="Z45" s="16"/>
      <c r="AA45" s="16"/>
      <c r="AB45" s="22"/>
      <c r="AC45" s="16"/>
    </row>
    <row r="46" spans="2:29" ht="57" customHeight="1" x14ac:dyDescent="0.3">
      <c r="B46" s="2"/>
      <c r="C46" s="76">
        <v>38</v>
      </c>
      <c r="D46" s="77" t="s">
        <v>312</v>
      </c>
      <c r="E46" s="83" t="s">
        <v>313</v>
      </c>
      <c r="F46" s="77" t="s">
        <v>65</v>
      </c>
      <c r="G46" s="51" t="s">
        <v>156</v>
      </c>
      <c r="H46" s="98" t="s">
        <v>200</v>
      </c>
      <c r="I46" s="98" t="s">
        <v>200</v>
      </c>
      <c r="J46" s="236" t="str">
        <f>IF(HLOOKUP(HLOOKUP(F46,$H$3:$W$4,2,0),$G$7:$I$104,C46+2,0)="N.A.","",HLOOKUP(HLOOKUP(F46,$H$3:$W$4,2,0),$G$7:$I$104,C46+2,0))</f>
        <v>aplica</v>
      </c>
      <c r="K46" s="236"/>
      <c r="L46" s="238" t="str">
        <f>IF(HLOOKUP(HLOOKUP(F46,$H$3:$W$4,2,0),$G$7:$I$104,C46+2,0)="N.A.","",HLOOKUP(F46,$H$3:$W$4,2,0))</f>
        <v>M</v>
      </c>
      <c r="M46" s="238"/>
      <c r="N46" s="191" t="s">
        <v>314</v>
      </c>
      <c r="O46" s="101"/>
      <c r="P46" s="81" t="s">
        <v>209</v>
      </c>
      <c r="Q46" s="81">
        <f t="shared" si="6"/>
        <v>80</v>
      </c>
      <c r="R46" s="82">
        <f>IF(Q46="-","",IF(Q46*100/VLOOKUP($M$4,Nivel_cumplimiento,2,0)&gt;100,100,Q46*100/VLOOKUP($M$4,Nivel_cumplimiento,2,0)))</f>
        <v>100</v>
      </c>
      <c r="S46" s="3"/>
      <c r="T46" s="3"/>
      <c r="U46" s="3"/>
      <c r="V46" s="3"/>
      <c r="W46" s="10"/>
      <c r="X46" s="5"/>
      <c r="Y46" s="16"/>
      <c r="Z46" s="16"/>
      <c r="AA46" s="16"/>
      <c r="AB46" s="22"/>
    </row>
    <row r="47" spans="2:29" ht="22.95" customHeight="1" x14ac:dyDescent="0.3">
      <c r="B47" s="2"/>
      <c r="C47" s="76">
        <v>39</v>
      </c>
      <c r="D47" s="77" t="s">
        <v>315</v>
      </c>
      <c r="E47" s="83" t="s">
        <v>316</v>
      </c>
      <c r="F47" s="77" t="s">
        <v>65</v>
      </c>
      <c r="G47" s="51" t="s">
        <v>156</v>
      </c>
      <c r="H47" s="51" t="s">
        <v>156</v>
      </c>
      <c r="I47" s="88" t="s">
        <v>200</v>
      </c>
      <c r="J47" s="236" t="str">
        <f>IF(HLOOKUP(HLOOKUP(F47,$H$3:$W$4,2,0),$G$7:$I$104,C47+2,0)="N.A.","",HLOOKUP(HLOOKUP(F47,$H$3:$W$4,2,0),$G$7:$I$104,C47+2,0))</f>
        <v/>
      </c>
      <c r="K47" s="236"/>
      <c r="L47" s="238" t="str">
        <f>IF(HLOOKUP(HLOOKUP(F47,$H$3:$W$4,2,0),$G$7:$I$104,C47+2,0)="N.A.","",HLOOKUP(F47,$H$3:$W$4,2,0))</f>
        <v/>
      </c>
      <c r="M47" s="238"/>
      <c r="N47" s="90"/>
      <c r="O47" s="101"/>
      <c r="P47" s="130"/>
      <c r="Q47" s="81" t="str">
        <f t="shared" si="6"/>
        <v>-</v>
      </c>
      <c r="R47" s="82" t="str">
        <f>IF(Q47="-","",IF(Q47*100/VLOOKUP($M$4,Nivel_cumplimiento,2,0)&gt;100,100,Q47*100/VLOOKUP($M$4,Nivel_cumplimiento,2,0)))</f>
        <v/>
      </c>
      <c r="S47" s="3"/>
      <c r="T47" s="3"/>
      <c r="U47" s="3"/>
      <c r="V47" s="3"/>
      <c r="W47" s="10"/>
      <c r="X47" s="5"/>
      <c r="Y47" s="16"/>
      <c r="Z47" s="16"/>
      <c r="AA47" s="16"/>
      <c r="AB47" s="22"/>
    </row>
    <row r="48" spans="2:29" ht="22.95" customHeight="1" x14ac:dyDescent="0.3">
      <c r="B48" s="2"/>
      <c r="C48" s="76">
        <v>40</v>
      </c>
      <c r="D48" s="77" t="s">
        <v>317</v>
      </c>
      <c r="E48" s="83" t="s">
        <v>318</v>
      </c>
      <c r="F48" s="77" t="s">
        <v>65</v>
      </c>
      <c r="G48" s="51" t="s">
        <v>156</v>
      </c>
      <c r="H48" s="51" t="s">
        <v>156</v>
      </c>
      <c r="I48" s="88" t="s">
        <v>200</v>
      </c>
      <c r="J48" s="236" t="str">
        <f>IF(HLOOKUP(HLOOKUP(F48,$H$3:$W$4,2,0),$G$7:$I$104,C48+2,0)="N.A.","",HLOOKUP(HLOOKUP(F48,$H$3:$W$4,2,0),$G$7:$I$104,C48+2,0))</f>
        <v/>
      </c>
      <c r="K48" s="236"/>
      <c r="L48" s="238" t="str">
        <f>IF(HLOOKUP(HLOOKUP(F48,$H$3:$W$4,2,0),$G$7:$I$104,C48+1,0)="N.A.","",HLOOKUP(F48,$H$3:$W$4,2,0))</f>
        <v/>
      </c>
      <c r="M48" s="238"/>
      <c r="N48" s="90"/>
      <c r="O48" s="101"/>
      <c r="P48" s="130"/>
      <c r="Q48" s="81" t="str">
        <f t="shared" si="6"/>
        <v>-</v>
      </c>
      <c r="R48" s="82" t="str">
        <f>IF(Q48="-","",IF(Q48*100/VLOOKUP($M$4,Nivel_cumplimiento,2,0)&gt;100,100,Q48*100/VLOOKUP($M$4,Nivel_cumplimiento,2,0)))</f>
        <v/>
      </c>
      <c r="S48" s="3"/>
      <c r="T48" s="3"/>
      <c r="U48" s="3"/>
      <c r="V48" s="3"/>
      <c r="W48" s="10"/>
      <c r="X48" s="5"/>
      <c r="Y48" s="16"/>
      <c r="Z48" s="16"/>
      <c r="AA48" s="16"/>
      <c r="AB48" s="22"/>
    </row>
    <row r="49" spans="2:29" ht="25.2" customHeight="1" x14ac:dyDescent="0.3">
      <c r="B49" s="2"/>
      <c r="C49" s="76">
        <v>41</v>
      </c>
      <c r="D49" s="77" t="s">
        <v>319</v>
      </c>
      <c r="E49" s="83" t="s">
        <v>320</v>
      </c>
      <c r="F49" s="77" t="s">
        <v>65</v>
      </c>
      <c r="G49" s="51" t="s">
        <v>156</v>
      </c>
      <c r="H49" s="51" t="s">
        <v>156</v>
      </c>
      <c r="I49" s="88" t="s">
        <v>200</v>
      </c>
      <c r="J49" s="236" t="str">
        <f>IF(HLOOKUP(HLOOKUP(F49,$H$3:$W$4,2,0),$G$7:$I$104,C49+2,0)="N.A.","",HLOOKUP(HLOOKUP(F49,$H$3:$W$4,2,0),$G$7:$I$104,C49+2,0))</f>
        <v/>
      </c>
      <c r="K49" s="236"/>
      <c r="L49" s="238" t="str">
        <f>IF(HLOOKUP(HLOOKUP(F49,$H$3:$W$4,2,0),$G$7:$I$104,C49+1,0)="N.A.","",HLOOKUP(F49,$H$3:$W$4,2,0))</f>
        <v/>
      </c>
      <c r="M49" s="238"/>
      <c r="N49" s="90"/>
      <c r="O49" s="101"/>
      <c r="P49" s="130"/>
      <c r="Q49" s="81" t="str">
        <f t="shared" si="6"/>
        <v>-</v>
      </c>
      <c r="R49" s="82" t="str">
        <f>IF(Q49="-","",IF(Q49*100/VLOOKUP($M$4,Nivel_cumplimiento,2,0)&gt;100,100,Q49*100/VLOOKUP($M$4,Nivel_cumplimiento,2,0)))</f>
        <v/>
      </c>
      <c r="S49" s="3"/>
      <c r="T49" s="3"/>
      <c r="U49" s="3"/>
      <c r="V49" s="3"/>
      <c r="W49" s="10"/>
      <c r="X49" s="5"/>
      <c r="Y49" s="16"/>
      <c r="Z49" s="16"/>
      <c r="AA49" s="16"/>
      <c r="AB49" s="22"/>
    </row>
    <row r="50" spans="2:29" ht="22.2" customHeight="1" x14ac:dyDescent="0.3">
      <c r="B50" s="2"/>
      <c r="C50" s="84">
        <v>42</v>
      </c>
      <c r="D50" s="85" t="s">
        <v>321</v>
      </c>
      <c r="E50" s="237" t="s">
        <v>322</v>
      </c>
      <c r="F50" s="237"/>
      <c r="G50" s="237"/>
      <c r="H50" s="237"/>
      <c r="I50" s="237"/>
      <c r="J50" s="237"/>
      <c r="K50" s="237"/>
      <c r="L50" s="237"/>
      <c r="M50" s="237"/>
      <c r="N50" s="237"/>
      <c r="O50" s="237"/>
      <c r="P50" s="237"/>
      <c r="Q50" s="237"/>
      <c r="R50" s="237"/>
      <c r="S50" s="3"/>
      <c r="T50" s="3"/>
      <c r="U50" s="3"/>
      <c r="V50" s="3"/>
      <c r="W50" s="10"/>
      <c r="X50" s="5"/>
      <c r="Y50" s="16"/>
      <c r="Z50" s="16"/>
      <c r="AA50" s="16"/>
      <c r="AB50" s="22"/>
      <c r="AC50" s="16"/>
    </row>
    <row r="51" spans="2:29" ht="56.4" customHeight="1" x14ac:dyDescent="0.3">
      <c r="B51" s="2"/>
      <c r="C51" s="76">
        <v>43</v>
      </c>
      <c r="D51" s="77" t="s">
        <v>323</v>
      </c>
      <c r="E51" s="83" t="s">
        <v>324</v>
      </c>
      <c r="F51" s="77" t="s">
        <v>182</v>
      </c>
      <c r="G51" s="97" t="s">
        <v>200</v>
      </c>
      <c r="H51" s="98" t="s">
        <v>219</v>
      </c>
      <c r="I51" s="88" t="s">
        <v>273</v>
      </c>
      <c r="J51" s="236" t="str">
        <f>IF(HLOOKUP(HLOOKUP(F51,$H$3:$W$4,2,0),$G$7:$I$104,C51+2,0)="N.A.","",HLOOKUP(HLOOKUP(F51,$H$3:$W$4,2,0),$G$7:$I$104,C51+2,0))</f>
        <v>aplica + R1</v>
      </c>
      <c r="K51" s="236"/>
      <c r="L51" s="238" t="str">
        <f>IF(HLOOKUP(HLOOKUP(F51,$H$3:$W$4,2,0),$G$7:$I$104,C51+2,0)="N.A.","",HLOOKUP(F51,$H$3:$W$4,2,0))</f>
        <v>M</v>
      </c>
      <c r="M51" s="238"/>
      <c r="N51" s="303" t="s">
        <v>510</v>
      </c>
      <c r="O51" s="102"/>
      <c r="P51" s="81" t="s">
        <v>209</v>
      </c>
      <c r="Q51" s="81">
        <f t="shared" ref="Q51" si="8">IF(P51="","-",VLOOKUP(P51,IM,2,FALSE))</f>
        <v>80</v>
      </c>
      <c r="R51" s="82">
        <f>IF(Q51="-","",IF(Q51*100/VLOOKUP($M$4,Nivel_cumplimiento,2,0)&gt;100,100,Q51*100/VLOOKUP($M$4,Nivel_cumplimiento,2,0)))</f>
        <v>100</v>
      </c>
      <c r="S51" s="3"/>
      <c r="T51" s="3"/>
      <c r="U51" s="3"/>
      <c r="V51" s="3"/>
      <c r="W51" s="10"/>
      <c r="X51" s="5"/>
      <c r="Y51" s="16"/>
      <c r="Z51" s="16"/>
      <c r="AA51" s="16"/>
      <c r="AB51" s="22"/>
    </row>
    <row r="52" spans="2:29" ht="42.75" customHeight="1" x14ac:dyDescent="0.3">
      <c r="B52" s="2"/>
      <c r="C52" s="76">
        <v>44</v>
      </c>
      <c r="D52" s="77" t="s">
        <v>326</v>
      </c>
      <c r="E52" s="83" t="s">
        <v>327</v>
      </c>
      <c r="F52" s="77" t="s">
        <v>182</v>
      </c>
      <c r="G52" s="97" t="s">
        <v>200</v>
      </c>
      <c r="H52" s="86" t="s">
        <v>273</v>
      </c>
      <c r="I52" s="86" t="s">
        <v>273</v>
      </c>
      <c r="J52" s="236" t="str">
        <f>IF(HLOOKUP(HLOOKUP(F52,$H$3:$W$4,2,0),$G$7:$I$104,C52+2,0)="N.A.","",HLOOKUP(HLOOKUP(F52,$H$3:$W$4,2,0),$G$7:$I$104,C52+2,0))</f>
        <v>aplica + R1 + R2</v>
      </c>
      <c r="K52" s="236"/>
      <c r="L52" s="238" t="str">
        <f>IF(HLOOKUP(HLOOKUP(F52,$H$3:$W$4,2,0),$G$7:$I$104,C52+2,0)="N.A.","",HLOOKUP(F52,$H$3:$W$4,2,0))</f>
        <v>M</v>
      </c>
      <c r="M52" s="238"/>
      <c r="N52" s="176" t="s">
        <v>328</v>
      </c>
      <c r="O52" s="102"/>
      <c r="P52" s="81" t="s">
        <v>209</v>
      </c>
      <c r="Q52" s="81">
        <f t="shared" si="6"/>
        <v>80</v>
      </c>
      <c r="R52" s="82">
        <f>IF(Q52="-","",IF(Q52*100/VLOOKUP($M$4,Nivel_cumplimiento,2,0)&gt;100,100,Q52*100/VLOOKUP($M$4,Nivel_cumplimiento,2,0)))</f>
        <v>100</v>
      </c>
      <c r="S52" s="3"/>
      <c r="T52" s="3"/>
      <c r="U52" s="3"/>
      <c r="V52" s="3"/>
      <c r="W52" s="10"/>
      <c r="X52" s="5"/>
      <c r="Y52" s="16"/>
      <c r="Z52" s="16"/>
      <c r="AA52" s="16"/>
      <c r="AB52" s="22"/>
    </row>
    <row r="53" spans="2:29" ht="40.950000000000003" customHeight="1" x14ac:dyDescent="0.3">
      <c r="B53" s="2"/>
      <c r="C53" s="76">
        <v>45</v>
      </c>
      <c r="D53" s="77" t="s">
        <v>329</v>
      </c>
      <c r="E53" s="83" t="s">
        <v>330</v>
      </c>
      <c r="F53" s="77" t="s">
        <v>182</v>
      </c>
      <c r="G53" s="97" t="s">
        <v>200</v>
      </c>
      <c r="H53" s="86" t="s">
        <v>273</v>
      </c>
      <c r="I53" s="99" t="s">
        <v>331</v>
      </c>
      <c r="J53" s="236" t="str">
        <f>IF(HLOOKUP(HLOOKUP(F53,$H$3:$W$4,2,0),$G$7:$I$104,C53+2,0)="N.A.","",HLOOKUP(HLOOKUP(F53,$H$3:$W$4,2,0),$G$7:$I$104,C53+2,0))</f>
        <v>aplica + R1 + R2</v>
      </c>
      <c r="K53" s="236"/>
      <c r="L53" s="238" t="str">
        <f>IF(HLOOKUP(HLOOKUP(F53,$H$3:$W$4,2,0),$G$7:$I$104,C53+2,0)="N.A.","",HLOOKUP(F53,$H$3:$W$4,2,0))</f>
        <v>M</v>
      </c>
      <c r="M53" s="238"/>
      <c r="N53" s="192" t="s">
        <v>490</v>
      </c>
      <c r="O53" s="102"/>
      <c r="P53" s="81" t="s">
        <v>209</v>
      </c>
      <c r="Q53" s="81">
        <f t="shared" si="6"/>
        <v>80</v>
      </c>
      <c r="R53" s="82">
        <f>IF(Q53="-","",IF(Q53*100/VLOOKUP($M$4,Nivel_cumplimiento,2,0)&gt;100,100,Q53*100/VLOOKUP($M$4,Nivel_cumplimiento,2,0)))</f>
        <v>100</v>
      </c>
      <c r="S53" s="3"/>
      <c r="T53" s="3"/>
      <c r="U53" s="3"/>
      <c r="V53" s="3"/>
      <c r="W53" s="10"/>
      <c r="X53" s="5"/>
      <c r="Y53" s="16"/>
      <c r="Z53" s="16"/>
      <c r="AA53" s="16"/>
      <c r="AB53" s="22"/>
    </row>
    <row r="54" spans="2:29" ht="21" customHeight="1" x14ac:dyDescent="0.3">
      <c r="B54" s="2"/>
      <c r="C54" s="74">
        <v>46</v>
      </c>
      <c r="D54" s="75" t="s">
        <v>332</v>
      </c>
      <c r="E54" s="246" t="s">
        <v>333</v>
      </c>
      <c r="F54" s="246"/>
      <c r="G54" s="246"/>
      <c r="H54" s="246"/>
      <c r="I54" s="246"/>
      <c r="J54" s="246"/>
      <c r="K54" s="246"/>
      <c r="L54" s="246"/>
      <c r="M54" s="246"/>
      <c r="N54" s="246"/>
      <c r="O54" s="246"/>
      <c r="P54" s="246"/>
      <c r="Q54" s="246"/>
      <c r="R54" s="246"/>
      <c r="S54" s="3"/>
      <c r="T54" s="3"/>
      <c r="U54" s="3"/>
      <c r="V54" s="3"/>
      <c r="W54" s="10"/>
      <c r="X54" s="5"/>
      <c r="Y54" s="16"/>
      <c r="Z54" s="16"/>
      <c r="AA54" s="16"/>
      <c r="AB54" s="22"/>
      <c r="AC54" s="16"/>
    </row>
    <row r="55" spans="2:29" ht="28.95" customHeight="1" x14ac:dyDescent="0.3">
      <c r="B55" s="2"/>
      <c r="C55" s="84">
        <v>47</v>
      </c>
      <c r="D55" s="179" t="s">
        <v>334</v>
      </c>
      <c r="E55" s="247" t="s">
        <v>335</v>
      </c>
      <c r="F55" s="247"/>
      <c r="G55" s="247"/>
      <c r="H55" s="247"/>
      <c r="I55" s="247"/>
      <c r="J55" s="247"/>
      <c r="K55" s="247"/>
      <c r="L55" s="247"/>
      <c r="M55" s="247"/>
      <c r="N55" s="247"/>
      <c r="O55" s="247"/>
      <c r="P55" s="247"/>
      <c r="Q55" s="247"/>
      <c r="R55" s="247"/>
      <c r="S55" s="3"/>
      <c r="T55" s="3"/>
      <c r="U55" s="3"/>
      <c r="V55" s="3"/>
      <c r="W55" s="10"/>
      <c r="X55" s="5"/>
      <c r="Y55" s="16"/>
      <c r="Z55" s="16"/>
      <c r="AA55" s="16"/>
      <c r="AB55" s="22"/>
      <c r="AC55" s="16"/>
    </row>
    <row r="56" spans="2:29" ht="92.4" customHeight="1" x14ac:dyDescent="0.3">
      <c r="B56" s="2"/>
      <c r="C56" s="76">
        <v>48</v>
      </c>
      <c r="D56" s="77" t="s">
        <v>336</v>
      </c>
      <c r="E56" s="83" t="s">
        <v>337</v>
      </c>
      <c r="F56" s="77" t="s">
        <v>182</v>
      </c>
      <c r="G56" s="97" t="s">
        <v>200</v>
      </c>
      <c r="H56" s="97" t="s">
        <v>200</v>
      </c>
      <c r="I56" s="97" t="s">
        <v>200</v>
      </c>
      <c r="J56" s="235" t="s">
        <v>325</v>
      </c>
      <c r="K56" s="236"/>
      <c r="L56" s="238"/>
      <c r="M56" s="238"/>
      <c r="N56" s="187" t="s">
        <v>338</v>
      </c>
      <c r="O56" s="102"/>
      <c r="P56" s="130"/>
      <c r="Q56" s="81" t="str">
        <f t="shared" ref="Q56:Q77" si="9">IF(P56="","-",VLOOKUP(P56,IM,2,FALSE))</f>
        <v>-</v>
      </c>
      <c r="R56" s="82" t="str">
        <f t="shared" ref="R56:R62" si="10">IF(Q56="-","",IF(Q56*100/VLOOKUP($M$4,Nivel_cumplimiento,2,0)&gt;100,100,Q56*100/VLOOKUP($M$4,Nivel_cumplimiento,2,0)))</f>
        <v/>
      </c>
      <c r="S56" s="3"/>
      <c r="T56" s="3"/>
      <c r="U56" s="3"/>
      <c r="V56" s="3"/>
      <c r="W56" s="10"/>
      <c r="X56" s="5"/>
      <c r="Y56" s="16"/>
      <c r="Z56" s="16"/>
      <c r="AA56" s="16"/>
      <c r="AB56" s="22"/>
    </row>
    <row r="57" spans="2:29" ht="97.2" customHeight="1" x14ac:dyDescent="0.3">
      <c r="B57" s="2"/>
      <c r="C57" s="76">
        <v>49</v>
      </c>
      <c r="D57" s="77" t="s">
        <v>339</v>
      </c>
      <c r="E57" s="83" t="s">
        <v>340</v>
      </c>
      <c r="F57" s="77" t="s">
        <v>182</v>
      </c>
      <c r="G57" s="97" t="s">
        <v>200</v>
      </c>
      <c r="H57" s="97" t="s">
        <v>200</v>
      </c>
      <c r="I57" s="97" t="s">
        <v>200</v>
      </c>
      <c r="J57" s="235" t="s">
        <v>325</v>
      </c>
      <c r="K57" s="236"/>
      <c r="L57" s="238"/>
      <c r="M57" s="238"/>
      <c r="N57" s="187" t="s">
        <v>341</v>
      </c>
      <c r="O57" s="102"/>
      <c r="P57" s="130"/>
      <c r="Q57" s="81" t="str">
        <f t="shared" si="9"/>
        <v>-</v>
      </c>
      <c r="R57" s="82" t="str">
        <f t="shared" si="10"/>
        <v/>
      </c>
      <c r="S57" s="3"/>
      <c r="T57" s="3"/>
      <c r="U57" s="3"/>
      <c r="V57" s="3"/>
      <c r="W57" s="10"/>
      <c r="X57" s="5"/>
      <c r="Y57" s="16"/>
      <c r="Z57" s="16"/>
      <c r="AA57" s="16"/>
      <c r="AB57" s="22"/>
    </row>
    <row r="58" spans="2:29" ht="100.95" customHeight="1" x14ac:dyDescent="0.3">
      <c r="B58" s="2"/>
      <c r="C58" s="76">
        <v>50</v>
      </c>
      <c r="D58" s="77" t="s">
        <v>342</v>
      </c>
      <c r="E58" s="83" t="s">
        <v>343</v>
      </c>
      <c r="F58" s="77" t="s">
        <v>182</v>
      </c>
      <c r="G58" s="97" t="s">
        <v>200</v>
      </c>
      <c r="H58" s="97" t="s">
        <v>200</v>
      </c>
      <c r="I58" s="97" t="s">
        <v>200</v>
      </c>
      <c r="J58" s="235" t="s">
        <v>325</v>
      </c>
      <c r="K58" s="236"/>
      <c r="L58" s="238"/>
      <c r="M58" s="238"/>
      <c r="N58" s="187" t="s">
        <v>344</v>
      </c>
      <c r="O58" s="102"/>
      <c r="P58" s="130"/>
      <c r="Q58" s="81" t="str">
        <f t="shared" si="9"/>
        <v>-</v>
      </c>
      <c r="R58" s="82" t="str">
        <f t="shared" si="10"/>
        <v/>
      </c>
      <c r="S58" s="3"/>
      <c r="T58" s="3"/>
      <c r="U58" s="3"/>
      <c r="V58" s="3"/>
      <c r="W58" s="10"/>
      <c r="X58" s="5"/>
      <c r="Y58" s="16"/>
      <c r="Z58" s="16"/>
      <c r="AA58" s="16"/>
      <c r="AB58" s="22"/>
    </row>
    <row r="59" spans="2:29" ht="86.4" customHeight="1" x14ac:dyDescent="0.3">
      <c r="B59" s="2"/>
      <c r="C59" s="76">
        <v>51</v>
      </c>
      <c r="D59" s="77" t="s">
        <v>345</v>
      </c>
      <c r="E59" s="83" t="s">
        <v>346</v>
      </c>
      <c r="F59" s="77" t="s">
        <v>65</v>
      </c>
      <c r="G59" s="97" t="s">
        <v>200</v>
      </c>
      <c r="H59" s="98" t="s">
        <v>219</v>
      </c>
      <c r="I59" s="98" t="s">
        <v>219</v>
      </c>
      <c r="J59" s="235" t="s">
        <v>325</v>
      </c>
      <c r="K59" s="236"/>
      <c r="L59" s="238"/>
      <c r="M59" s="238"/>
      <c r="N59" s="187" t="s">
        <v>347</v>
      </c>
      <c r="O59" s="102"/>
      <c r="P59" s="130"/>
      <c r="Q59" s="81" t="str">
        <f t="shared" si="9"/>
        <v>-</v>
      </c>
      <c r="R59" s="82" t="str">
        <f t="shared" si="10"/>
        <v/>
      </c>
      <c r="S59" s="3"/>
      <c r="T59" s="3"/>
      <c r="U59" s="3"/>
      <c r="V59" s="3"/>
      <c r="W59" s="10"/>
      <c r="X59" s="5"/>
      <c r="Y59" s="16"/>
      <c r="Z59" s="16"/>
      <c r="AA59" s="16"/>
      <c r="AB59" s="22"/>
    </row>
    <row r="60" spans="2:29" ht="94.95" customHeight="1" x14ac:dyDescent="0.3">
      <c r="B60" s="2"/>
      <c r="C60" s="76">
        <v>52</v>
      </c>
      <c r="D60" s="77" t="s">
        <v>348</v>
      </c>
      <c r="E60" s="83" t="s">
        <v>349</v>
      </c>
      <c r="F60" s="77" t="s">
        <v>65</v>
      </c>
      <c r="G60" s="97" t="s">
        <v>200</v>
      </c>
      <c r="H60" s="97" t="s">
        <v>200</v>
      </c>
      <c r="I60" s="97" t="s">
        <v>200</v>
      </c>
      <c r="J60" s="235" t="s">
        <v>325</v>
      </c>
      <c r="K60" s="236"/>
      <c r="L60" s="238"/>
      <c r="M60" s="238"/>
      <c r="N60" s="187" t="s">
        <v>350</v>
      </c>
      <c r="O60" s="102"/>
      <c r="P60" s="130"/>
      <c r="Q60" s="81" t="str">
        <f t="shared" si="9"/>
        <v>-</v>
      </c>
      <c r="R60" s="82" t="str">
        <f t="shared" si="10"/>
        <v/>
      </c>
      <c r="S60" s="3"/>
      <c r="T60" s="3"/>
      <c r="U60" s="3"/>
      <c r="V60" s="3"/>
      <c r="W60" s="10"/>
      <c r="X60" s="5"/>
      <c r="Y60" s="16"/>
      <c r="Z60" s="16"/>
      <c r="AA60" s="16"/>
      <c r="AB60" s="22"/>
    </row>
    <row r="61" spans="2:29" ht="90.6" customHeight="1" x14ac:dyDescent="0.3">
      <c r="B61" s="2"/>
      <c r="C61" s="76">
        <v>53</v>
      </c>
      <c r="D61" s="77" t="s">
        <v>351</v>
      </c>
      <c r="E61" s="83" t="s">
        <v>352</v>
      </c>
      <c r="F61" s="77" t="s">
        <v>65</v>
      </c>
      <c r="G61" s="51" t="s">
        <v>156</v>
      </c>
      <c r="H61" s="98" t="s">
        <v>200</v>
      </c>
      <c r="I61" s="98" t="s">
        <v>200</v>
      </c>
      <c r="J61" s="235" t="s">
        <v>325</v>
      </c>
      <c r="K61" s="236"/>
      <c r="L61" s="238"/>
      <c r="M61" s="238"/>
      <c r="N61" s="187" t="s">
        <v>353</v>
      </c>
      <c r="O61" s="102"/>
      <c r="P61" s="130"/>
      <c r="Q61" s="81" t="str">
        <f t="shared" si="9"/>
        <v>-</v>
      </c>
      <c r="R61" s="82" t="str">
        <f t="shared" si="10"/>
        <v/>
      </c>
      <c r="S61" s="3"/>
      <c r="T61" s="3"/>
      <c r="U61" s="3"/>
      <c r="V61" s="3"/>
      <c r="W61" s="10"/>
      <c r="X61" s="5"/>
      <c r="Y61" s="16"/>
      <c r="Z61" s="16"/>
      <c r="AA61" s="16"/>
      <c r="AB61" s="22"/>
    </row>
    <row r="62" spans="2:29" ht="88.2" customHeight="1" x14ac:dyDescent="0.3">
      <c r="B62" s="2"/>
      <c r="C62" s="76">
        <v>54</v>
      </c>
      <c r="D62" s="77" t="s">
        <v>354</v>
      </c>
      <c r="E62" s="83" t="s">
        <v>355</v>
      </c>
      <c r="F62" s="77" t="s">
        <v>182</v>
      </c>
      <c r="G62" s="97" t="s">
        <v>200</v>
      </c>
      <c r="H62" s="97" t="s">
        <v>200</v>
      </c>
      <c r="I62" s="97" t="s">
        <v>200</v>
      </c>
      <c r="J62" s="235" t="s">
        <v>325</v>
      </c>
      <c r="K62" s="236"/>
      <c r="L62" s="238"/>
      <c r="M62" s="238"/>
      <c r="N62" s="187" t="s">
        <v>356</v>
      </c>
      <c r="O62" s="102"/>
      <c r="P62" s="130"/>
      <c r="Q62" s="81" t="str">
        <f t="shared" si="9"/>
        <v>-</v>
      </c>
      <c r="R62" s="82" t="str">
        <f t="shared" si="10"/>
        <v/>
      </c>
      <c r="S62" s="3"/>
      <c r="T62" s="3"/>
      <c r="U62" s="3"/>
      <c r="V62" s="3"/>
      <c r="W62" s="10"/>
      <c r="X62" s="5"/>
      <c r="Y62" s="16"/>
      <c r="Z62" s="16"/>
      <c r="AA62" s="16"/>
      <c r="AB62" s="22"/>
    </row>
    <row r="63" spans="2:29" ht="24.6" customHeight="1" x14ac:dyDescent="0.3">
      <c r="B63" s="2"/>
      <c r="C63" s="84">
        <v>55</v>
      </c>
      <c r="D63" s="85" t="s">
        <v>357</v>
      </c>
      <c r="E63" s="237" t="s">
        <v>358</v>
      </c>
      <c r="F63" s="237"/>
      <c r="G63" s="237"/>
      <c r="H63" s="237"/>
      <c r="I63" s="237"/>
      <c r="J63" s="237"/>
      <c r="K63" s="237"/>
      <c r="L63" s="237"/>
      <c r="M63" s="237"/>
      <c r="N63" s="237"/>
      <c r="O63" s="237"/>
      <c r="P63" s="237"/>
      <c r="Q63" s="237"/>
      <c r="R63" s="237"/>
      <c r="S63" s="3"/>
      <c r="T63" s="3"/>
      <c r="U63" s="3"/>
      <c r="V63" s="3"/>
      <c r="W63" s="10"/>
      <c r="X63" s="5"/>
      <c r="Y63" s="16"/>
      <c r="Z63" s="16"/>
      <c r="AA63" s="16"/>
      <c r="AB63" s="22"/>
      <c r="AC63" s="16"/>
    </row>
    <row r="64" spans="2:29" ht="99" customHeight="1" x14ac:dyDescent="0.3">
      <c r="B64" s="2"/>
      <c r="C64" s="76">
        <v>56</v>
      </c>
      <c r="D64" s="77" t="s">
        <v>359</v>
      </c>
      <c r="E64" s="83" t="s">
        <v>360</v>
      </c>
      <c r="F64" s="77" t="s">
        <v>182</v>
      </c>
      <c r="G64" s="51" t="s">
        <v>156</v>
      </c>
      <c r="H64" s="98" t="s">
        <v>200</v>
      </c>
      <c r="I64" s="98" t="s">
        <v>200</v>
      </c>
      <c r="J64" s="236" t="str">
        <f>IF(HLOOKUP(HLOOKUP(F64,$H$3:$W$4,2,0),$G$7:$I$104,C64+2,0)="N.A.","",HLOOKUP(HLOOKUP(F64,$H$3:$W$4,2,0),$G$7:$I$104,C64+2,0))</f>
        <v>aplica</v>
      </c>
      <c r="K64" s="236"/>
      <c r="L64" s="238" t="str">
        <f>IF(HLOOKUP(HLOOKUP(F64,$H$3:$W$4,2,0),$G$7:$I$104,C64+2,0)="N.A.","",HLOOKUP(F64,$H$3:$W$4,2,0))</f>
        <v>M</v>
      </c>
      <c r="M64" s="238"/>
      <c r="N64" s="37" t="s">
        <v>361</v>
      </c>
      <c r="O64" s="102"/>
      <c r="P64" s="130" t="s">
        <v>209</v>
      </c>
      <c r="Q64" s="81">
        <f t="shared" si="9"/>
        <v>80</v>
      </c>
      <c r="R64" s="82">
        <f>IF(Q64="-","",IF(Q64*100/VLOOKUP($M$4,Nivel_cumplimiento,2,0)&gt;100,100,Q64*100/VLOOKUP($M$4,Nivel_cumplimiento,2,0)))</f>
        <v>100</v>
      </c>
      <c r="S64" s="3"/>
      <c r="T64" s="3"/>
      <c r="U64" s="3"/>
      <c r="V64" s="3"/>
      <c r="W64" s="10"/>
      <c r="X64" s="5"/>
      <c r="Y64" s="16"/>
      <c r="Z64" s="16"/>
      <c r="AA64" s="16"/>
      <c r="AB64" s="22"/>
    </row>
    <row r="65" spans="2:29" ht="150.6" customHeight="1" x14ac:dyDescent="0.3">
      <c r="B65" s="2"/>
      <c r="C65" s="76">
        <v>57</v>
      </c>
      <c r="D65" s="77" t="s">
        <v>362</v>
      </c>
      <c r="E65" s="83" t="s">
        <v>363</v>
      </c>
      <c r="F65" s="77" t="s">
        <v>182</v>
      </c>
      <c r="G65" s="97" t="s">
        <v>200</v>
      </c>
      <c r="H65" s="98" t="s">
        <v>219</v>
      </c>
      <c r="I65" s="98" t="s">
        <v>219</v>
      </c>
      <c r="J65" s="236" t="str">
        <f>IF(HLOOKUP(HLOOKUP(F65,$H$3:$W$4,2,0),$G$7:$I$104,C65+2,0)="N.A.","",HLOOKUP(HLOOKUP(F65,$H$3:$W$4,2,0),$G$7:$I$104,C65+2,0))</f>
        <v>aplica + R1</v>
      </c>
      <c r="K65" s="236"/>
      <c r="L65" s="238" t="str">
        <f>IF(HLOOKUP(HLOOKUP(F65,$H$3:$W$4,2,0),$G$7:$I$104,C65+2,0)="N.A.","",HLOOKUP(F65,$H$3:$W$4,2,0))</f>
        <v>M</v>
      </c>
      <c r="M65" s="238"/>
      <c r="N65" s="177" t="s">
        <v>364</v>
      </c>
      <c r="O65" s="102"/>
      <c r="P65" s="130" t="s">
        <v>209</v>
      </c>
      <c r="Q65" s="81">
        <f t="shared" si="9"/>
        <v>80</v>
      </c>
      <c r="R65" s="82">
        <f>IF(Q65="-","",IF(Q65*100/VLOOKUP($M$4,Nivel_cumplimiento,2,0)&gt;100,100,Q65*100/VLOOKUP($M$4,Nivel_cumplimiento,2,0)))</f>
        <v>100</v>
      </c>
      <c r="S65" s="3"/>
      <c r="T65" s="3"/>
      <c r="U65" s="3"/>
      <c r="V65" s="3"/>
      <c r="W65" s="10"/>
      <c r="X65" s="5"/>
      <c r="Y65" s="16"/>
      <c r="Z65" s="16"/>
      <c r="AA65" s="16"/>
      <c r="AB65" s="22"/>
    </row>
    <row r="66" spans="2:29" ht="62.4" customHeight="1" x14ac:dyDescent="0.3">
      <c r="B66" s="2"/>
      <c r="C66" s="76">
        <v>58</v>
      </c>
      <c r="D66" s="77" t="s">
        <v>365</v>
      </c>
      <c r="E66" s="83" t="s">
        <v>366</v>
      </c>
      <c r="F66" s="77" t="s">
        <v>182</v>
      </c>
      <c r="G66" s="97" t="s">
        <v>200</v>
      </c>
      <c r="H66" s="97" t="s">
        <v>200</v>
      </c>
      <c r="I66" s="97" t="s">
        <v>200</v>
      </c>
      <c r="J66" s="236" t="str">
        <f>IF(HLOOKUP(HLOOKUP(F66,$H$3:$W$4,2,0),$G$7:$I$104,C66+2,0)="N.A.","",HLOOKUP(HLOOKUP(F66,$H$3:$W$4,2,0),$G$7:$I$104,C66+2,0))</f>
        <v>aplica</v>
      </c>
      <c r="K66" s="236"/>
      <c r="L66" s="238" t="str">
        <f>IF(HLOOKUP(HLOOKUP(F66,$H$3:$W$4,2,0),$G$7:$I$104,C66+2,0)="N.A.","",HLOOKUP(F66,$H$3:$W$4,2,0))</f>
        <v>M</v>
      </c>
      <c r="M66" s="238"/>
      <c r="N66" s="193" t="s">
        <v>367</v>
      </c>
      <c r="O66" s="102"/>
      <c r="P66" s="130" t="s">
        <v>209</v>
      </c>
      <c r="Q66" s="81">
        <f t="shared" si="9"/>
        <v>80</v>
      </c>
      <c r="R66" s="82">
        <f>IF(Q66="-","",IF(Q66*100/VLOOKUP($M$4,Nivel_cumplimiento,2,0)&gt;100,100,Q66*100/VLOOKUP($M$4,Nivel_cumplimiento,2,0)))</f>
        <v>100</v>
      </c>
      <c r="S66" s="3"/>
      <c r="T66" s="3"/>
      <c r="U66" s="3"/>
      <c r="V66" s="3"/>
      <c r="W66" s="10"/>
      <c r="X66" s="5"/>
      <c r="Y66" s="16"/>
      <c r="Z66" s="16"/>
      <c r="AA66" s="16"/>
      <c r="AB66" s="22"/>
    </row>
    <row r="67" spans="2:29" ht="45" customHeight="1" x14ac:dyDescent="0.3">
      <c r="B67" s="2"/>
      <c r="C67" s="76">
        <v>59</v>
      </c>
      <c r="D67" s="77" t="s">
        <v>368</v>
      </c>
      <c r="E67" s="83" t="s">
        <v>369</v>
      </c>
      <c r="F67" s="77" t="s">
        <v>182</v>
      </c>
      <c r="G67" s="97" t="s">
        <v>200</v>
      </c>
      <c r="H67" s="97" t="s">
        <v>200</v>
      </c>
      <c r="I67" s="97" t="s">
        <v>200</v>
      </c>
      <c r="J67" s="236" t="str">
        <f>IF(HLOOKUP(HLOOKUP(F67,$H$3:$W$4,2,0),$G$7:$I$104,C67+2,0)="N.A.","",HLOOKUP(HLOOKUP(F67,$H$3:$W$4,2,0),$G$7:$I$104,C67+2,0))</f>
        <v>aplica</v>
      </c>
      <c r="K67" s="236"/>
      <c r="L67" s="238" t="str">
        <f>IF(HLOOKUP(HLOOKUP(F67,$H$3:$W$4,2,0),$G$7:$I$104,C67+2,0)="N.A.","",HLOOKUP(F67,$H$3:$W$4,2,0))</f>
        <v>M</v>
      </c>
      <c r="M67" s="238"/>
      <c r="N67" s="39" t="s">
        <v>370</v>
      </c>
      <c r="O67" s="102"/>
      <c r="P67" s="130" t="s">
        <v>209</v>
      </c>
      <c r="Q67" s="81">
        <f t="shared" si="9"/>
        <v>80</v>
      </c>
      <c r="R67" s="82">
        <f>IF(Q67="-","",IF(Q67*100/VLOOKUP($M$4,Nivel_cumplimiento,2,0)&gt;100,100,Q67*100/VLOOKUP($M$4,Nivel_cumplimiento,2,0)))</f>
        <v>100</v>
      </c>
      <c r="S67" s="3"/>
      <c r="T67" s="3"/>
      <c r="U67" s="3"/>
      <c r="V67" s="3"/>
      <c r="W67" s="10"/>
      <c r="X67" s="5"/>
      <c r="Y67" s="16"/>
      <c r="Z67" s="16"/>
      <c r="AA67" s="16"/>
      <c r="AB67" s="22"/>
    </row>
    <row r="68" spans="2:29" ht="28.2" customHeight="1" x14ac:dyDescent="0.3">
      <c r="B68" s="2"/>
      <c r="C68" s="84">
        <v>60</v>
      </c>
      <c r="D68" s="85" t="s">
        <v>371</v>
      </c>
      <c r="E68" s="237" t="s">
        <v>372</v>
      </c>
      <c r="F68" s="237"/>
      <c r="G68" s="237"/>
      <c r="H68" s="237"/>
      <c r="I68" s="237"/>
      <c r="J68" s="237"/>
      <c r="K68" s="237"/>
      <c r="L68" s="237"/>
      <c r="M68" s="237"/>
      <c r="N68" s="237"/>
      <c r="O68" s="237"/>
      <c r="P68" s="237"/>
      <c r="Q68" s="237"/>
      <c r="R68" s="237"/>
      <c r="S68" s="3"/>
      <c r="T68" s="3"/>
      <c r="U68" s="3"/>
      <c r="V68" s="3"/>
      <c r="W68" s="10"/>
      <c r="X68" s="5"/>
      <c r="Y68" s="16"/>
      <c r="Z68" s="16"/>
      <c r="AA68" s="16"/>
      <c r="AB68" s="22"/>
      <c r="AC68" s="16"/>
    </row>
    <row r="69" spans="2:29" ht="39" customHeight="1" x14ac:dyDescent="0.3">
      <c r="B69" s="2"/>
      <c r="C69" s="76">
        <v>61</v>
      </c>
      <c r="D69" s="77" t="s">
        <v>373</v>
      </c>
      <c r="E69" s="83" t="s">
        <v>374</v>
      </c>
      <c r="F69" s="77" t="s">
        <v>182</v>
      </c>
      <c r="G69" s="97" t="s">
        <v>200</v>
      </c>
      <c r="H69" s="98" t="s">
        <v>219</v>
      </c>
      <c r="I69" s="98" t="s">
        <v>219</v>
      </c>
      <c r="J69" s="236" t="str">
        <f>IF(HLOOKUP(HLOOKUP(F69,$H$3:$W$4,2,0),$G$7:$I$104,C69+2,0)="N.A.","",HLOOKUP(HLOOKUP(F69,$H$3:$W$4,2,0),$G$7:$I$104,C69+2,0))</f>
        <v>aplica + R1</v>
      </c>
      <c r="K69" s="236"/>
      <c r="L69" s="238" t="str">
        <f>IF(HLOOKUP(HLOOKUP(F69,$H$3:$W$4,2,0),$G$7:$I$104,C69+2,0)="N.A.","",HLOOKUP(F69,$H$3:$W$4,2,0))</f>
        <v>M</v>
      </c>
      <c r="M69" s="238"/>
      <c r="N69" s="37" t="s">
        <v>375</v>
      </c>
      <c r="O69" s="102"/>
      <c r="P69" s="130" t="s">
        <v>209</v>
      </c>
      <c r="Q69" s="81">
        <f t="shared" si="9"/>
        <v>80</v>
      </c>
      <c r="R69" s="82">
        <f>IF(Q69="-","",IF(Q69*100/VLOOKUP($M$4,Nivel_cumplimiento,2,0)&gt;100,100,Q69*100/VLOOKUP($M$4,Nivel_cumplimiento,2,0)))</f>
        <v>100</v>
      </c>
      <c r="S69" s="3"/>
      <c r="T69" s="3"/>
      <c r="U69" s="3"/>
      <c r="V69" s="3"/>
      <c r="W69" s="10"/>
      <c r="X69" s="5"/>
      <c r="Y69" s="16"/>
      <c r="Z69" s="16"/>
      <c r="AA69" s="16"/>
      <c r="AB69" s="22"/>
    </row>
    <row r="70" spans="2:29" ht="75.599999999999994" customHeight="1" x14ac:dyDescent="0.3">
      <c r="B70" s="2"/>
      <c r="C70" s="76">
        <v>62</v>
      </c>
      <c r="D70" s="77" t="s">
        <v>376</v>
      </c>
      <c r="E70" s="83" t="s">
        <v>377</v>
      </c>
      <c r="F70" s="77" t="s">
        <v>38</v>
      </c>
      <c r="G70" s="51" t="s">
        <v>156</v>
      </c>
      <c r="H70" s="98" t="s">
        <v>200</v>
      </c>
      <c r="I70" s="100" t="s">
        <v>219</v>
      </c>
      <c r="J70" s="236" t="str">
        <f>IF(HLOOKUP(HLOOKUP(F70,$H$3:$W$4,2,0),$G$7:$I$104,C70+2,0)="N.A.","",HLOOKUP(HLOOKUP(F70,$H$3:$W$4,2,0),$G$7:$I$104,C70+2,0))</f>
        <v>aplica</v>
      </c>
      <c r="K70" s="236"/>
      <c r="L70" s="238" t="str">
        <f>IF(HLOOKUP(HLOOKUP(F70,$H$3:$W$4,2,0),$G$7:$I$104,C70+2,0)="N.A.","",HLOOKUP(F70,$H$3:$W$4,2,0))</f>
        <v>M</v>
      </c>
      <c r="M70" s="238"/>
      <c r="N70" s="40" t="s">
        <v>378</v>
      </c>
      <c r="O70" s="102"/>
      <c r="P70" s="130" t="s">
        <v>209</v>
      </c>
      <c r="Q70" s="81">
        <f t="shared" si="9"/>
        <v>80</v>
      </c>
      <c r="R70" s="82">
        <f>IF(Q70="-","",IF(Q70*100/VLOOKUP($M$4,Nivel_cumplimiento,2,0)&gt;100,100,Q70*100/VLOOKUP($M$4,Nivel_cumplimiento,2,0)))</f>
        <v>100</v>
      </c>
      <c r="S70" s="3"/>
      <c r="T70" s="3"/>
      <c r="U70" s="3"/>
      <c r="V70" s="3"/>
      <c r="W70" s="10"/>
      <c r="X70" s="5"/>
      <c r="Y70" s="16"/>
      <c r="Z70" s="16"/>
      <c r="AA70" s="16"/>
      <c r="AB70" s="22"/>
    </row>
    <row r="71" spans="2:29" ht="76.2" customHeight="1" x14ac:dyDescent="0.3">
      <c r="B71" s="2"/>
      <c r="C71" s="76">
        <v>63</v>
      </c>
      <c r="D71" s="77" t="s">
        <v>379</v>
      </c>
      <c r="E71" s="83" t="s">
        <v>380</v>
      </c>
      <c r="F71" s="77" t="s">
        <v>182</v>
      </c>
      <c r="G71" s="97" t="s">
        <v>200</v>
      </c>
      <c r="H71" s="97" t="s">
        <v>200</v>
      </c>
      <c r="I71" s="88" t="s">
        <v>273</v>
      </c>
      <c r="J71" s="236" t="str">
        <f>IF(HLOOKUP(HLOOKUP(F71,$H$3:$W$4,2,0),$G$7:$I$104,C71+2,0)="N.A.","",HLOOKUP(HLOOKUP(F71,$H$3:$W$4,2,0),$G$7:$I$104,C71+2,0))</f>
        <v>aplica</v>
      </c>
      <c r="K71" s="236"/>
      <c r="L71" s="238" t="str">
        <f>IF(HLOOKUP(HLOOKUP(F71,$H$3:$W$4,2,0),$G$7:$I$104,C71+2,0)="N.A.","",HLOOKUP(F71,$H$3:$W$4,2,0))</f>
        <v>M</v>
      </c>
      <c r="M71" s="238"/>
      <c r="N71" s="199" t="s">
        <v>491</v>
      </c>
      <c r="O71" s="102"/>
      <c r="P71" s="130" t="s">
        <v>209</v>
      </c>
      <c r="Q71" s="81">
        <f t="shared" si="9"/>
        <v>80</v>
      </c>
      <c r="R71" s="82">
        <f>IF(Q71="-","",IF(Q71*100/VLOOKUP($M$4,Nivel_cumplimiento,2,0)&gt;100,100,Q71*100/VLOOKUP($M$4,Nivel_cumplimiento,2,0)))</f>
        <v>100</v>
      </c>
      <c r="S71" s="3"/>
      <c r="T71" s="3"/>
      <c r="U71" s="3"/>
      <c r="V71" s="3"/>
      <c r="W71" s="10"/>
      <c r="X71" s="5"/>
      <c r="Y71" s="16"/>
      <c r="Z71" s="16"/>
      <c r="AA71" s="16"/>
      <c r="AB71" s="22"/>
    </row>
    <row r="72" spans="2:29" ht="28.5" customHeight="1" x14ac:dyDescent="0.3">
      <c r="B72" s="2"/>
      <c r="C72" s="76">
        <v>64</v>
      </c>
      <c r="D72" s="77" t="s">
        <v>381</v>
      </c>
      <c r="E72" s="83" t="s">
        <v>382</v>
      </c>
      <c r="F72" s="77" t="s">
        <v>62</v>
      </c>
      <c r="G72" s="97" t="s">
        <v>200</v>
      </c>
      <c r="H72" s="98" t="s">
        <v>219</v>
      </c>
      <c r="I72" s="98" t="s">
        <v>219</v>
      </c>
      <c r="J72" s="235" t="s">
        <v>325</v>
      </c>
      <c r="K72" s="236"/>
      <c r="L72" s="238"/>
      <c r="M72" s="238"/>
      <c r="N72" s="188" t="s">
        <v>383</v>
      </c>
      <c r="O72" s="102"/>
      <c r="P72" s="130"/>
      <c r="Q72" s="81" t="str">
        <f t="shared" si="9"/>
        <v>-</v>
      </c>
      <c r="R72" s="82" t="str">
        <f>IF(Q72="-","",IF(Q72*100/VLOOKUP($M$4,Nivel_cumplimiento,2,0)&gt;100,100,Q72*100/VLOOKUP($M$4,Nivel_cumplimiento,2,0)))</f>
        <v/>
      </c>
      <c r="S72" s="3"/>
      <c r="T72" s="3"/>
      <c r="U72" s="3"/>
      <c r="V72" s="3"/>
      <c r="W72" s="10"/>
      <c r="X72" s="5"/>
      <c r="Y72" s="16"/>
      <c r="Z72" s="16"/>
      <c r="AA72" s="16"/>
      <c r="AB72" s="22"/>
    </row>
    <row r="73" spans="2:29" ht="21.6" customHeight="1" x14ac:dyDescent="0.3">
      <c r="B73" s="2"/>
      <c r="C73" s="84">
        <v>65</v>
      </c>
      <c r="D73" s="85" t="s">
        <v>384</v>
      </c>
      <c r="E73" s="237" t="s">
        <v>385</v>
      </c>
      <c r="F73" s="237"/>
      <c r="G73" s="237"/>
      <c r="H73" s="237"/>
      <c r="I73" s="237"/>
      <c r="J73" s="237"/>
      <c r="K73" s="237"/>
      <c r="L73" s="237"/>
      <c r="M73" s="237"/>
      <c r="N73" s="237"/>
      <c r="O73" s="237"/>
      <c r="P73" s="237"/>
      <c r="Q73" s="237"/>
      <c r="R73" s="237"/>
      <c r="S73" s="3"/>
      <c r="T73" s="3"/>
      <c r="U73" s="3"/>
      <c r="V73" s="3"/>
      <c r="W73" s="10"/>
      <c r="X73" s="5"/>
      <c r="Y73" s="16"/>
      <c r="Z73" s="16"/>
      <c r="AA73" s="16"/>
      <c r="AB73" s="22"/>
      <c r="AC73" s="16"/>
    </row>
    <row r="74" spans="2:29" ht="140.4" customHeight="1" x14ac:dyDescent="0.3">
      <c r="B74" s="2"/>
      <c r="C74" s="76">
        <v>66</v>
      </c>
      <c r="D74" s="77" t="s">
        <v>386</v>
      </c>
      <c r="E74" s="83" t="s">
        <v>387</v>
      </c>
      <c r="F74" s="77" t="s">
        <v>182</v>
      </c>
      <c r="G74" s="97" t="s">
        <v>200</v>
      </c>
      <c r="H74" s="97" t="s">
        <v>200</v>
      </c>
      <c r="I74" s="97" t="s">
        <v>200</v>
      </c>
      <c r="J74" s="236" t="str">
        <f>IF(HLOOKUP(HLOOKUP(F74,$H$3:$W$4,2,0),$G$7:$I$104,C74+2,0)="N.A.","",HLOOKUP(HLOOKUP(F74,$H$3:$W$4,2,0),$G$7:$I$104,C74+2,0))</f>
        <v>aplica</v>
      </c>
      <c r="K74" s="236"/>
      <c r="L74" s="238"/>
      <c r="M74" s="238"/>
      <c r="N74" s="90" t="s">
        <v>495</v>
      </c>
      <c r="O74" s="102"/>
      <c r="P74" s="130" t="s">
        <v>209</v>
      </c>
      <c r="Q74" s="81">
        <f t="shared" si="9"/>
        <v>80</v>
      </c>
      <c r="R74" s="82">
        <f>IF(Q74="-","",IF(Q74*100/VLOOKUP($M$4,Nivel_cumplimiento,2,0)&gt;100,100,Q74*100/VLOOKUP($M$4,Nivel_cumplimiento,2,0)))</f>
        <v>100</v>
      </c>
      <c r="S74" s="3"/>
      <c r="T74" s="3"/>
      <c r="U74" s="3"/>
      <c r="V74" s="3"/>
      <c r="W74" s="10"/>
      <c r="X74" s="5"/>
      <c r="Y74" s="16"/>
      <c r="Z74" s="16"/>
      <c r="AA74" s="16"/>
      <c r="AB74" s="22"/>
    </row>
    <row r="75" spans="2:29" ht="85.65" customHeight="1" x14ac:dyDescent="0.3">
      <c r="B75" s="2"/>
      <c r="C75" s="76">
        <v>67</v>
      </c>
      <c r="D75" s="77" t="s">
        <v>388</v>
      </c>
      <c r="E75" s="83" t="s">
        <v>389</v>
      </c>
      <c r="F75" s="77" t="s">
        <v>62</v>
      </c>
      <c r="G75" s="97" t="s">
        <v>200</v>
      </c>
      <c r="H75" s="98" t="s">
        <v>219</v>
      </c>
      <c r="I75" s="88" t="s">
        <v>224</v>
      </c>
      <c r="J75" s="235" t="s">
        <v>325</v>
      </c>
      <c r="K75" s="236"/>
      <c r="L75" s="238"/>
      <c r="M75" s="238"/>
      <c r="N75" s="188" t="s">
        <v>390</v>
      </c>
      <c r="O75" s="102"/>
      <c r="P75" s="130"/>
      <c r="Q75" s="81" t="str">
        <f t="shared" si="9"/>
        <v>-</v>
      </c>
      <c r="R75" s="82" t="str">
        <f>IF(Q75="-","",IF(Q75*100/VLOOKUP($M$4,Nivel_cumplimiento,2,0)&gt;100,100,Q75*100/VLOOKUP($M$4,Nivel_cumplimiento,2,0)))</f>
        <v/>
      </c>
      <c r="S75" s="3"/>
      <c r="T75" s="3"/>
      <c r="U75" s="3"/>
      <c r="V75" s="3"/>
      <c r="W75" s="10"/>
      <c r="X75" s="5"/>
      <c r="Y75" s="16"/>
      <c r="Z75" s="16"/>
      <c r="AA75" s="16"/>
      <c r="AB75" s="22"/>
    </row>
    <row r="76" spans="2:29" ht="63.9" customHeight="1" x14ac:dyDescent="0.3">
      <c r="B76" s="2"/>
      <c r="C76" s="76">
        <v>68</v>
      </c>
      <c r="D76" s="77" t="s">
        <v>391</v>
      </c>
      <c r="E76" s="83" t="s">
        <v>392</v>
      </c>
      <c r="F76" s="77" t="s">
        <v>187</v>
      </c>
      <c r="G76" s="97" t="s">
        <v>200</v>
      </c>
      <c r="H76" s="98" t="s">
        <v>273</v>
      </c>
      <c r="I76" s="88" t="s">
        <v>280</v>
      </c>
      <c r="J76" s="236" t="str">
        <f>IF(HLOOKUP(HLOOKUP(F76,$H$3:$W$4,2,0),$G$7:$I$104,C76+2,0)="N.A.","",HLOOKUP(HLOOKUP(F76,$H$3:$W$4,2,0),$G$7:$I$104,C76+2,0))</f>
        <v>aplica + R1 + R2</v>
      </c>
      <c r="K76" s="236"/>
      <c r="L76" s="238"/>
      <c r="M76" s="238"/>
      <c r="N76" s="157" t="s">
        <v>499</v>
      </c>
      <c r="O76" s="102"/>
      <c r="P76" s="130" t="s">
        <v>209</v>
      </c>
      <c r="Q76" s="81">
        <f t="shared" si="9"/>
        <v>80</v>
      </c>
      <c r="R76" s="82">
        <f>IF(Q76="-","",IF(Q76*100/VLOOKUP($M$4,Nivel_cumplimiento,2,0)&gt;100,100,Q76*100/VLOOKUP($M$4,Nivel_cumplimiento,2,0)))</f>
        <v>100</v>
      </c>
      <c r="S76" s="3"/>
      <c r="T76" s="3"/>
      <c r="U76" s="3"/>
      <c r="V76" s="3"/>
      <c r="W76" s="10"/>
      <c r="X76" s="5"/>
      <c r="Y76" s="16"/>
      <c r="Z76" s="16"/>
      <c r="AA76" s="16"/>
      <c r="AB76" s="22"/>
    </row>
    <row r="77" spans="2:29" ht="120.6" customHeight="1" x14ac:dyDescent="0.3">
      <c r="B77" s="2"/>
      <c r="C77" s="76">
        <v>69</v>
      </c>
      <c r="D77" s="77" t="s">
        <v>393</v>
      </c>
      <c r="E77" s="83" t="s">
        <v>394</v>
      </c>
      <c r="F77" s="77" t="s">
        <v>182</v>
      </c>
      <c r="G77" s="51" t="s">
        <v>156</v>
      </c>
      <c r="H77" s="98" t="s">
        <v>395</v>
      </c>
      <c r="I77" s="88" t="s">
        <v>396</v>
      </c>
      <c r="J77" s="236" t="str">
        <f>IF(HLOOKUP(HLOOKUP(F77,$H$3:$W$4,2,0),$G$7:$I$104,C77+2,0)="N.A.","",HLOOKUP(HLOOKUP(F77,$H$3:$W$4,2,0),$G$7:$I$104,C77+2,0))</f>
        <v>aplica + [R1 o R2 o R3]</v>
      </c>
      <c r="K77" s="236"/>
      <c r="L77" s="238"/>
      <c r="M77" s="238"/>
      <c r="N77" s="90" t="s">
        <v>496</v>
      </c>
      <c r="O77" s="102"/>
      <c r="P77" s="130" t="s">
        <v>209</v>
      </c>
      <c r="Q77" s="81">
        <f t="shared" si="9"/>
        <v>80</v>
      </c>
      <c r="R77" s="82">
        <f>IF(Q77="-","",IF(Q77*100/VLOOKUP($M$4,Nivel_cumplimiento,2,0)&gt;100,100,Q77*100/VLOOKUP($M$4,Nivel_cumplimiento,2,0)))</f>
        <v>100</v>
      </c>
      <c r="S77" s="3"/>
      <c r="T77" s="3"/>
      <c r="U77" s="3"/>
      <c r="V77" s="3"/>
      <c r="W77" s="10"/>
      <c r="X77" s="5"/>
      <c r="Y77" s="16"/>
      <c r="Z77" s="16"/>
      <c r="AA77" s="16"/>
      <c r="AB77" s="22"/>
    </row>
    <row r="78" spans="2:29" ht="21.6" customHeight="1" x14ac:dyDescent="0.3">
      <c r="B78" s="2"/>
      <c r="C78" s="84">
        <v>70</v>
      </c>
      <c r="D78" s="85" t="s">
        <v>397</v>
      </c>
      <c r="E78" s="237" t="s">
        <v>398</v>
      </c>
      <c r="F78" s="237"/>
      <c r="G78" s="237"/>
      <c r="H78" s="237"/>
      <c r="I78" s="237"/>
      <c r="J78" s="237"/>
      <c r="K78" s="237"/>
      <c r="L78" s="237"/>
      <c r="M78" s="237"/>
      <c r="N78" s="237"/>
      <c r="O78" s="237"/>
      <c r="P78" s="237"/>
      <c r="Q78" s="237"/>
      <c r="R78" s="237"/>
      <c r="S78" s="3"/>
      <c r="T78" s="3"/>
      <c r="U78" s="3"/>
      <c r="V78" s="3"/>
      <c r="W78" s="10"/>
      <c r="X78" s="5"/>
      <c r="Y78" s="16"/>
      <c r="Z78" s="16"/>
      <c r="AA78" s="16"/>
      <c r="AB78" s="22"/>
      <c r="AC78" s="16"/>
    </row>
    <row r="79" spans="2:29" s="112" customFormat="1" ht="88.95" customHeight="1" x14ac:dyDescent="0.3">
      <c r="B79" s="103"/>
      <c r="C79" s="104">
        <v>71</v>
      </c>
      <c r="D79" s="105" t="s">
        <v>399</v>
      </c>
      <c r="E79" s="83" t="s">
        <v>400</v>
      </c>
      <c r="F79" s="105" t="s">
        <v>62</v>
      </c>
      <c r="G79" s="106" t="s">
        <v>156</v>
      </c>
      <c r="H79" s="107" t="s">
        <v>200</v>
      </c>
      <c r="I79" s="107" t="s">
        <v>200</v>
      </c>
      <c r="J79" s="235" t="s">
        <v>325</v>
      </c>
      <c r="K79" s="236"/>
      <c r="L79" s="238"/>
      <c r="M79" s="238"/>
      <c r="N79" s="189" t="s">
        <v>401</v>
      </c>
      <c r="O79" s="102"/>
      <c r="P79" s="130"/>
      <c r="Q79" s="81" t="str">
        <f t="shared" ref="Q79:Q86" si="11">IF(P79="","-",VLOOKUP(P79,IM,2,FALSE))</f>
        <v>-</v>
      </c>
      <c r="R79" s="82" t="str">
        <f>IF(Q79="-","",IF(Q79*100/VLOOKUP($M$4,Nivel_cumplimiento,2,0)&gt;100,100,Q79*100/VLOOKUP($M$4,Nivel_cumplimiento,2,0)))</f>
        <v/>
      </c>
      <c r="S79" s="50"/>
      <c r="T79" s="50"/>
      <c r="U79" s="50"/>
      <c r="V79" s="50"/>
      <c r="W79" s="108"/>
      <c r="X79" s="109"/>
      <c r="Y79" s="110"/>
      <c r="Z79" s="110"/>
      <c r="AA79" s="110"/>
      <c r="AB79" s="111"/>
    </row>
    <row r="80" spans="2:29" s="112" customFormat="1" ht="82.2" customHeight="1" x14ac:dyDescent="0.3">
      <c r="B80" s="103"/>
      <c r="C80" s="104">
        <v>72</v>
      </c>
      <c r="D80" s="105" t="s">
        <v>402</v>
      </c>
      <c r="E80" s="83" t="s">
        <v>403</v>
      </c>
      <c r="F80" s="105" t="s">
        <v>55</v>
      </c>
      <c r="G80" s="106" t="s">
        <v>156</v>
      </c>
      <c r="H80" s="107" t="s">
        <v>200</v>
      </c>
      <c r="I80" s="113" t="s">
        <v>273</v>
      </c>
      <c r="J80" s="235" t="s">
        <v>325</v>
      </c>
      <c r="K80" s="236"/>
      <c r="L80" s="238"/>
      <c r="M80" s="238"/>
      <c r="N80" s="189" t="s">
        <v>404</v>
      </c>
      <c r="O80" s="102"/>
      <c r="P80" s="130"/>
      <c r="Q80" s="81" t="str">
        <f t="shared" si="11"/>
        <v>-</v>
      </c>
      <c r="R80" s="82" t="str">
        <f>IF(Q80="-","",IF(Q80*100/VLOOKUP($M$4,Nivel_cumplimiento,2,0)&gt;100,100,Q80*100/VLOOKUP($M$4,Nivel_cumplimiento,2,0)))</f>
        <v/>
      </c>
      <c r="S80" s="50"/>
      <c r="T80" s="50"/>
      <c r="U80" s="50"/>
      <c r="V80" s="50"/>
      <c r="W80" s="108"/>
      <c r="X80" s="109"/>
      <c r="Y80" s="110"/>
      <c r="Z80" s="110"/>
      <c r="AA80" s="110"/>
      <c r="AB80" s="111"/>
    </row>
    <row r="81" spans="2:29" s="112" customFormat="1" ht="61.95" customHeight="1" x14ac:dyDescent="0.3">
      <c r="B81" s="103"/>
      <c r="C81" s="104">
        <v>73</v>
      </c>
      <c r="D81" s="105" t="s">
        <v>405</v>
      </c>
      <c r="E81" s="83" t="s">
        <v>406</v>
      </c>
      <c r="F81" s="105" t="s">
        <v>182</v>
      </c>
      <c r="G81" s="114" t="s">
        <v>200</v>
      </c>
      <c r="H81" s="114" t="s">
        <v>200</v>
      </c>
      <c r="I81" s="114" t="s">
        <v>200</v>
      </c>
      <c r="J81" s="235" t="s">
        <v>325</v>
      </c>
      <c r="K81" s="236"/>
      <c r="L81" s="238"/>
      <c r="M81" s="238"/>
      <c r="N81" s="189" t="s">
        <v>401</v>
      </c>
      <c r="O81" s="102"/>
      <c r="P81" s="130"/>
      <c r="Q81" s="81" t="str">
        <f t="shared" si="11"/>
        <v>-</v>
      </c>
      <c r="R81" s="82" t="str">
        <f>IF(Q81="-","",IF(Q81*100/VLOOKUP($M$4,Nivel_cumplimiento,2,0)&gt;100,100,Q81*100/VLOOKUP($M$4,Nivel_cumplimiento,2,0)))</f>
        <v/>
      </c>
      <c r="S81" s="50"/>
      <c r="T81" s="50"/>
      <c r="U81" s="50"/>
      <c r="V81" s="50"/>
      <c r="W81" s="108"/>
      <c r="X81" s="109"/>
      <c r="Y81" s="110"/>
      <c r="Z81" s="110"/>
      <c r="AA81" s="110"/>
      <c r="AB81" s="111"/>
    </row>
    <row r="82" spans="2:29" s="112" customFormat="1" ht="87.6" customHeight="1" x14ac:dyDescent="0.3">
      <c r="B82" s="103"/>
      <c r="C82" s="104">
        <v>74</v>
      </c>
      <c r="D82" s="105" t="s">
        <v>407</v>
      </c>
      <c r="E82" s="83" t="s">
        <v>408</v>
      </c>
      <c r="F82" s="105" t="s">
        <v>182</v>
      </c>
      <c r="G82" s="114" t="s">
        <v>200</v>
      </c>
      <c r="H82" s="114" t="s">
        <v>200</v>
      </c>
      <c r="I82" s="114" t="s">
        <v>200</v>
      </c>
      <c r="J82" s="235" t="s">
        <v>325</v>
      </c>
      <c r="K82" s="236"/>
      <c r="L82" s="238"/>
      <c r="M82" s="238"/>
      <c r="N82" s="189" t="s">
        <v>401</v>
      </c>
      <c r="O82" s="102"/>
      <c r="P82" s="130"/>
      <c r="Q82" s="81" t="str">
        <f t="shared" si="11"/>
        <v>-</v>
      </c>
      <c r="R82" s="82" t="str">
        <f>IF(Q82="-","",IF(Q82*100/VLOOKUP($M$4,Nivel_cumplimiento,2,0)&gt;100,100,Q82*100/VLOOKUP($M$4,Nivel_cumplimiento,2,0)))</f>
        <v/>
      </c>
      <c r="S82" s="50"/>
      <c r="T82" s="50"/>
      <c r="U82" s="50"/>
      <c r="V82" s="50"/>
      <c r="W82" s="108"/>
      <c r="X82" s="109"/>
      <c r="Y82" s="110"/>
      <c r="Z82" s="110"/>
      <c r="AA82" s="110"/>
      <c r="AB82" s="111"/>
    </row>
    <row r="83" spans="2:29" s="112" customFormat="1" ht="90.6" customHeight="1" x14ac:dyDescent="0.3">
      <c r="B83" s="103"/>
      <c r="C83" s="104">
        <v>75</v>
      </c>
      <c r="D83" s="105" t="s">
        <v>409</v>
      </c>
      <c r="E83" s="83" t="s">
        <v>410</v>
      </c>
      <c r="F83" s="105" t="s">
        <v>62</v>
      </c>
      <c r="G83" s="114" t="s">
        <v>200</v>
      </c>
      <c r="H83" s="107" t="s">
        <v>219</v>
      </c>
      <c r="I83" s="107" t="s">
        <v>219</v>
      </c>
      <c r="J83" s="239" t="str">
        <f>IF(HLOOKUP(HLOOKUP(F83,$H$3:$W$4,2,0),$G$7:$I$104,C83+2,0)="N.A.","",HLOOKUP(HLOOKUP(F83,$H$3:$W$4,2,0),$G$7:$I$104,C83+2,0))</f>
        <v>aplica + R1</v>
      </c>
      <c r="K83" s="240"/>
      <c r="L83" s="238" t="str">
        <f>IF(HLOOKUP(HLOOKUP(F83,$H$3:$W$4,2,0),$G$7:$I$104,C83+2,0)="N.A.","",HLOOKUP(F83,$H$3:$W$4,2,0))</f>
        <v>M</v>
      </c>
      <c r="M83" s="238"/>
      <c r="N83" s="40" t="s">
        <v>411</v>
      </c>
      <c r="O83" s="102"/>
      <c r="P83" s="130" t="s">
        <v>209</v>
      </c>
      <c r="Q83" s="81">
        <f t="shared" si="11"/>
        <v>80</v>
      </c>
      <c r="R83" s="82">
        <f>IF(Q83="-","",IF(Q83*100/VLOOKUP($M$4,Nivel_cumplimiento,2,0)&gt;100,100,Q83*100/VLOOKUP($M$4,Nivel_cumplimiento,2,0)))</f>
        <v>100</v>
      </c>
      <c r="S83" s="50"/>
      <c r="T83" s="50"/>
      <c r="U83" s="50"/>
      <c r="V83" s="50"/>
      <c r="W83" s="108"/>
      <c r="X83" s="109"/>
      <c r="Y83" s="110"/>
      <c r="Z83" s="110"/>
      <c r="AA83" s="110"/>
      <c r="AB83" s="111"/>
    </row>
    <row r="84" spans="2:29" ht="26.4" customHeight="1" x14ac:dyDescent="0.3">
      <c r="B84" s="2"/>
      <c r="C84" s="84">
        <v>76</v>
      </c>
      <c r="D84" s="85" t="s">
        <v>412</v>
      </c>
      <c r="E84" s="241" t="s">
        <v>413</v>
      </c>
      <c r="F84" s="242"/>
      <c r="G84" s="242"/>
      <c r="H84" s="242"/>
      <c r="I84" s="242"/>
      <c r="J84" s="242"/>
      <c r="K84" s="242"/>
      <c r="L84" s="242"/>
      <c r="M84" s="242"/>
      <c r="N84" s="242"/>
      <c r="O84" s="242"/>
      <c r="P84" s="242"/>
      <c r="Q84" s="242"/>
      <c r="R84" s="243"/>
      <c r="S84" s="3"/>
      <c r="T84" s="3"/>
      <c r="U84" s="3"/>
      <c r="V84" s="3"/>
      <c r="W84" s="10"/>
      <c r="X84" s="5"/>
      <c r="Y84" s="16"/>
      <c r="Z84" s="16"/>
      <c r="AA84" s="16"/>
      <c r="AB84" s="22"/>
      <c r="AC84" s="16"/>
    </row>
    <row r="85" spans="2:29" ht="117.6" customHeight="1" x14ac:dyDescent="0.3">
      <c r="B85" s="2"/>
      <c r="C85" s="76">
        <v>77</v>
      </c>
      <c r="D85" s="77" t="s">
        <v>414</v>
      </c>
      <c r="E85" s="83" t="s">
        <v>415</v>
      </c>
      <c r="F85" s="77" t="s">
        <v>182</v>
      </c>
      <c r="G85" s="51" t="s">
        <v>156</v>
      </c>
      <c r="H85" s="98" t="s">
        <v>280</v>
      </c>
      <c r="I85" s="98" t="s">
        <v>280</v>
      </c>
      <c r="J85" s="239" t="str">
        <f>IF(HLOOKUP(HLOOKUP(F85,$H$3:$W$4,2,0),$G$7:$I$104,C85+2,0)="N.A.","",HLOOKUP(HLOOKUP(F85,$H$3:$W$4,2,0),$G$7:$I$104,C85+2,0))</f>
        <v>aplica + R1 + R2 + R3 + R4</v>
      </c>
      <c r="K85" s="240"/>
      <c r="L85" s="244" t="str">
        <f>IF(HLOOKUP(HLOOKUP(F85,$H$3:$W$4,2,0),$G$7:$I$104,C85+2,0)="N.A.","",HLOOKUP(F85,$H$3:$W$4,2,0))</f>
        <v>M</v>
      </c>
      <c r="M85" s="245"/>
      <c r="N85" s="37" t="s">
        <v>416</v>
      </c>
      <c r="O85" s="101"/>
      <c r="P85" s="130" t="s">
        <v>209</v>
      </c>
      <c r="Q85" s="81">
        <f t="shared" si="11"/>
        <v>80</v>
      </c>
      <c r="R85" s="82">
        <f>IF(Q85="-","",IF(Q85*100/VLOOKUP($M$4,Nivel_cumplimiento,2,0)&gt;100,100,Q85*100/VLOOKUP($M$4,Nivel_cumplimiento,2,0)))</f>
        <v>100</v>
      </c>
      <c r="S85" s="3"/>
      <c r="T85" s="3"/>
      <c r="U85" s="3"/>
      <c r="V85" s="3"/>
      <c r="W85" s="10"/>
      <c r="X85" s="5"/>
      <c r="Y85" s="16"/>
      <c r="Z85" s="16"/>
      <c r="AA85" s="16"/>
      <c r="AB85" s="22"/>
    </row>
    <row r="86" spans="2:29" ht="61.2" customHeight="1" x14ac:dyDescent="0.3">
      <c r="B86" s="2"/>
      <c r="C86" s="76">
        <v>78</v>
      </c>
      <c r="D86" s="77" t="s">
        <v>417</v>
      </c>
      <c r="E86" s="83" t="s">
        <v>418</v>
      </c>
      <c r="F86" s="77" t="s">
        <v>182</v>
      </c>
      <c r="G86" s="97" t="s">
        <v>200</v>
      </c>
      <c r="H86" s="98" t="s">
        <v>219</v>
      </c>
      <c r="I86" s="98" t="s">
        <v>219</v>
      </c>
      <c r="J86" s="239" t="str">
        <f>IF(HLOOKUP(HLOOKUP(F86,$H$3:$W$4,2,0),$G$7:$I$104,C86+2,0)="N.A.","",HLOOKUP(HLOOKUP(F86,$H$3:$W$4,2,0),$G$7:$I$104,C86+2,0))</f>
        <v>aplica + R1</v>
      </c>
      <c r="K86" s="240"/>
      <c r="L86" s="244" t="str">
        <f>IF(HLOOKUP(HLOOKUP(F86,$H$3:$W$4,2,0),$G$7:$I$104,C86+2,0)="N.A.","",HLOOKUP(F86,$H$3:$W$4,2,0))</f>
        <v>M</v>
      </c>
      <c r="M86" s="245"/>
      <c r="N86" s="37" t="s">
        <v>419</v>
      </c>
      <c r="O86" s="101"/>
      <c r="P86" s="130" t="s">
        <v>209</v>
      </c>
      <c r="Q86" s="81">
        <f t="shared" si="11"/>
        <v>80</v>
      </c>
      <c r="R86" s="82">
        <f>IF(Q86="-","",IF(Q86*100/VLOOKUP($M$4,Nivel_cumplimiento,2,0)&gt;100,100,Q86*100/VLOOKUP($M$4,Nivel_cumplimiento,2,0)))</f>
        <v>100</v>
      </c>
      <c r="S86" s="3"/>
      <c r="T86" s="3"/>
      <c r="U86" s="3"/>
      <c r="V86" s="3"/>
      <c r="W86" s="10"/>
      <c r="X86" s="5"/>
      <c r="Y86" s="16"/>
      <c r="Z86" s="16"/>
      <c r="AA86" s="16"/>
      <c r="AB86" s="22"/>
    </row>
    <row r="87" spans="2:29" ht="26.4" customHeight="1" x14ac:dyDescent="0.3">
      <c r="B87" s="2"/>
      <c r="C87" s="84">
        <v>79</v>
      </c>
      <c r="D87" s="85" t="s">
        <v>420</v>
      </c>
      <c r="E87" s="237" t="s">
        <v>421</v>
      </c>
      <c r="F87" s="237"/>
      <c r="G87" s="237"/>
      <c r="H87" s="237"/>
      <c r="I87" s="237"/>
      <c r="J87" s="237"/>
      <c r="K87" s="237"/>
      <c r="L87" s="237"/>
      <c r="M87" s="237"/>
      <c r="N87" s="237"/>
      <c r="O87" s="237"/>
      <c r="P87" s="237"/>
      <c r="Q87" s="237"/>
      <c r="R87" s="237"/>
      <c r="S87" s="3"/>
      <c r="T87" s="3"/>
      <c r="U87" s="3"/>
      <c r="V87" s="3"/>
      <c r="W87" s="10"/>
      <c r="X87" s="5"/>
      <c r="Y87" s="16"/>
      <c r="Z87" s="16"/>
      <c r="AA87" s="16"/>
      <c r="AB87" s="22"/>
      <c r="AC87" s="16"/>
    </row>
    <row r="88" spans="2:29" ht="69.599999999999994" customHeight="1" x14ac:dyDescent="0.3">
      <c r="B88" s="2"/>
      <c r="C88" s="76">
        <v>80</v>
      </c>
      <c r="D88" s="77" t="s">
        <v>422</v>
      </c>
      <c r="E88" s="83" t="s">
        <v>94</v>
      </c>
      <c r="F88" s="77" t="s">
        <v>182</v>
      </c>
      <c r="G88" s="97" t="s">
        <v>200</v>
      </c>
      <c r="H88" s="97" t="s">
        <v>200</v>
      </c>
      <c r="I88" s="97" t="s">
        <v>200</v>
      </c>
      <c r="J88" s="236" t="str">
        <f t="shared" ref="J88:J93" si="12">IF(HLOOKUP(HLOOKUP(F88,$H$3:$W$4,2,0),$G$7:$I$104,C88+2,0)="N.A.","",HLOOKUP(HLOOKUP(F88,$H$3:$W$4,2,0),$G$7:$I$104,C88+2,0))</f>
        <v>aplica</v>
      </c>
      <c r="K88" s="236"/>
      <c r="L88" s="238" t="str">
        <f t="shared" ref="L88:L93" si="13">IF(HLOOKUP(HLOOKUP(F88,$H$3:$W$4,2,0),$G$7:$I$104,C88+2,0)="N.A.","",HLOOKUP(F88,$H$3:$W$4,2,0))</f>
        <v>M</v>
      </c>
      <c r="M88" s="238"/>
      <c r="N88" s="37" t="s">
        <v>423</v>
      </c>
      <c r="O88" s="101"/>
      <c r="P88" s="130" t="s">
        <v>209</v>
      </c>
      <c r="Q88" s="81">
        <f t="shared" ref="Q88:Q98" si="14">IF(P88="","-",VLOOKUP(P88,IM,2,FALSE))</f>
        <v>80</v>
      </c>
      <c r="R88" s="82">
        <f t="shared" ref="R88:R93" si="15">IF(Q88="-","",IF(Q88*100/VLOOKUP($M$4,Nivel_cumplimiento,2,0)&gt;100,100,Q88*100/VLOOKUP($M$4,Nivel_cumplimiento,2,0)))</f>
        <v>100</v>
      </c>
      <c r="S88" s="3"/>
      <c r="T88" s="3"/>
      <c r="U88" s="3"/>
      <c r="V88" s="3"/>
      <c r="W88" s="10"/>
      <c r="X88" s="5"/>
      <c r="Y88" s="16"/>
      <c r="Z88" s="16"/>
      <c r="AA88" s="16"/>
      <c r="AB88" s="22"/>
    </row>
    <row r="89" spans="2:29" ht="86.4" x14ac:dyDescent="0.3">
      <c r="B89" s="2"/>
      <c r="C89" s="76">
        <v>81</v>
      </c>
      <c r="D89" s="77" t="s">
        <v>424</v>
      </c>
      <c r="E89" s="83" t="s">
        <v>425</v>
      </c>
      <c r="F89" s="77" t="s">
        <v>62</v>
      </c>
      <c r="G89" s="51" t="s">
        <v>156</v>
      </c>
      <c r="H89" s="97" t="s">
        <v>200</v>
      </c>
      <c r="I89" s="97" t="s">
        <v>200</v>
      </c>
      <c r="J89" s="236" t="str">
        <f t="shared" si="12"/>
        <v>aplica</v>
      </c>
      <c r="K89" s="236"/>
      <c r="L89" s="238" t="str">
        <f t="shared" si="13"/>
        <v>M</v>
      </c>
      <c r="M89" s="238"/>
      <c r="N89" s="177" t="s">
        <v>426</v>
      </c>
      <c r="O89" s="101"/>
      <c r="P89" s="130" t="s">
        <v>209</v>
      </c>
      <c r="Q89" s="81">
        <f t="shared" si="14"/>
        <v>80</v>
      </c>
      <c r="R89" s="82">
        <f t="shared" si="15"/>
        <v>100</v>
      </c>
      <c r="S89" s="3"/>
      <c r="T89" s="3"/>
      <c r="U89" s="3"/>
      <c r="V89" s="3"/>
      <c r="W89" s="10"/>
      <c r="X89" s="5"/>
      <c r="Y89" s="16"/>
      <c r="Z89" s="16"/>
      <c r="AA89" s="16"/>
      <c r="AB89" s="22"/>
    </row>
    <row r="90" spans="2:29" ht="58.5" customHeight="1" x14ac:dyDescent="0.3">
      <c r="B90" s="2"/>
      <c r="C90" s="76">
        <v>82</v>
      </c>
      <c r="D90" s="77" t="s">
        <v>427</v>
      </c>
      <c r="E90" s="83" t="s">
        <v>428</v>
      </c>
      <c r="F90" s="77" t="s">
        <v>187</v>
      </c>
      <c r="G90" s="97" t="s">
        <v>200</v>
      </c>
      <c r="H90" s="98" t="s">
        <v>224</v>
      </c>
      <c r="I90" s="88" t="s">
        <v>280</v>
      </c>
      <c r="J90" s="236" t="str">
        <f t="shared" si="12"/>
        <v>aplica + R1 + R2 + R3</v>
      </c>
      <c r="K90" s="236"/>
      <c r="L90" s="238" t="str">
        <f t="shared" si="13"/>
        <v>M</v>
      </c>
      <c r="M90" s="238"/>
      <c r="N90" s="157" t="s">
        <v>429</v>
      </c>
      <c r="O90" s="101"/>
      <c r="P90" s="130" t="s">
        <v>209</v>
      </c>
      <c r="Q90" s="81">
        <f t="shared" si="14"/>
        <v>80</v>
      </c>
      <c r="R90" s="82">
        <f t="shared" si="15"/>
        <v>100</v>
      </c>
      <c r="S90" s="3"/>
      <c r="T90" s="3"/>
      <c r="U90" s="3"/>
      <c r="V90" s="3"/>
      <c r="W90" s="10"/>
      <c r="X90" s="5"/>
      <c r="Y90" s="16"/>
      <c r="Z90" s="16"/>
      <c r="AA90" s="16"/>
      <c r="AB90" s="22"/>
    </row>
    <row r="91" spans="2:29" ht="37.35" customHeight="1" x14ac:dyDescent="0.3">
      <c r="B91" s="2"/>
      <c r="C91" s="76">
        <v>83</v>
      </c>
      <c r="D91" s="77" t="s">
        <v>430</v>
      </c>
      <c r="E91" s="83" t="s">
        <v>431</v>
      </c>
      <c r="F91" s="77" t="s">
        <v>181</v>
      </c>
      <c r="G91" s="51" t="s">
        <v>156</v>
      </c>
      <c r="H91" s="51" t="s">
        <v>156</v>
      </c>
      <c r="I91" s="100" t="s">
        <v>200</v>
      </c>
      <c r="J91" s="236" t="str">
        <f t="shared" si="12"/>
        <v/>
      </c>
      <c r="K91" s="236"/>
      <c r="L91" s="238" t="str">
        <f t="shared" si="13"/>
        <v/>
      </c>
      <c r="M91" s="238"/>
      <c r="N91" s="90"/>
      <c r="O91" s="101"/>
      <c r="P91" s="130"/>
      <c r="Q91" s="81" t="str">
        <f t="shared" si="14"/>
        <v>-</v>
      </c>
      <c r="R91" s="82" t="str">
        <f t="shared" si="15"/>
        <v/>
      </c>
      <c r="S91" s="3"/>
      <c r="T91" s="3"/>
      <c r="U91" s="3"/>
      <c r="V91" s="3"/>
      <c r="W91" s="10"/>
      <c r="X91" s="5"/>
      <c r="Y91" s="16"/>
      <c r="Z91" s="16"/>
      <c r="AA91" s="16"/>
      <c r="AB91" s="22"/>
    </row>
    <row r="92" spans="2:29" ht="37.200000000000003" customHeight="1" x14ac:dyDescent="0.3">
      <c r="B92" s="2"/>
      <c r="C92" s="76">
        <v>84</v>
      </c>
      <c r="D92" s="77" t="s">
        <v>432</v>
      </c>
      <c r="E92" s="83" t="s">
        <v>433</v>
      </c>
      <c r="F92" s="77" t="s">
        <v>62</v>
      </c>
      <c r="G92" s="97" t="s">
        <v>200</v>
      </c>
      <c r="H92" s="97" t="s">
        <v>200</v>
      </c>
      <c r="I92" s="97" t="s">
        <v>200</v>
      </c>
      <c r="J92" s="236" t="str">
        <f t="shared" si="12"/>
        <v>aplica</v>
      </c>
      <c r="K92" s="236"/>
      <c r="L92" s="238" t="str">
        <f t="shared" si="13"/>
        <v>M</v>
      </c>
      <c r="M92" s="238"/>
      <c r="N92" s="37" t="s">
        <v>434</v>
      </c>
      <c r="O92" s="80"/>
      <c r="P92" s="81" t="s">
        <v>209</v>
      </c>
      <c r="Q92" s="81">
        <f t="shared" si="14"/>
        <v>80</v>
      </c>
      <c r="R92" s="82">
        <f t="shared" si="15"/>
        <v>100</v>
      </c>
      <c r="S92" s="3"/>
      <c r="T92" s="3"/>
      <c r="U92" s="3"/>
      <c r="V92" s="3"/>
      <c r="W92" s="10"/>
      <c r="X92" s="5"/>
      <c r="Y92" s="16"/>
      <c r="Z92" s="16"/>
      <c r="AA92" s="16"/>
      <c r="AB92" s="22"/>
    </row>
    <row r="93" spans="2:29" ht="62.4" customHeight="1" x14ac:dyDescent="0.3">
      <c r="B93" s="2"/>
      <c r="C93" s="76">
        <v>85</v>
      </c>
      <c r="D93" s="77" t="s">
        <v>435</v>
      </c>
      <c r="E93" s="83" t="s">
        <v>436</v>
      </c>
      <c r="F93" s="77" t="s">
        <v>65</v>
      </c>
      <c r="G93" s="97" t="s">
        <v>200</v>
      </c>
      <c r="H93" s="98" t="s">
        <v>219</v>
      </c>
      <c r="I93" s="88" t="s">
        <v>273</v>
      </c>
      <c r="J93" s="236" t="str">
        <f t="shared" si="12"/>
        <v>aplica + R1</v>
      </c>
      <c r="K93" s="236"/>
      <c r="L93" s="238" t="str">
        <f t="shared" si="13"/>
        <v>M</v>
      </c>
      <c r="M93" s="238"/>
      <c r="N93" s="178" t="s">
        <v>500</v>
      </c>
      <c r="O93" s="80"/>
      <c r="P93" s="130" t="s">
        <v>209</v>
      </c>
      <c r="Q93" s="81">
        <f t="shared" si="14"/>
        <v>80</v>
      </c>
      <c r="R93" s="82">
        <f t="shared" si="15"/>
        <v>100</v>
      </c>
      <c r="S93" s="3"/>
      <c r="T93" s="3"/>
      <c r="U93" s="3"/>
      <c r="V93" s="3"/>
      <c r="W93" s="10"/>
      <c r="X93" s="5"/>
      <c r="Y93" s="16"/>
      <c r="Z93" s="16"/>
      <c r="AA93" s="16"/>
      <c r="AB93" s="22"/>
    </row>
    <row r="94" spans="2:29" ht="26.4" customHeight="1" x14ac:dyDescent="0.3">
      <c r="B94" s="2"/>
      <c r="C94" s="84">
        <v>86</v>
      </c>
      <c r="D94" s="85" t="s">
        <v>437</v>
      </c>
      <c r="E94" s="237" t="s">
        <v>438</v>
      </c>
      <c r="F94" s="237"/>
      <c r="G94" s="237"/>
      <c r="H94" s="237"/>
      <c r="I94" s="237"/>
      <c r="J94" s="237"/>
      <c r="K94" s="237"/>
      <c r="L94" s="237"/>
      <c r="M94" s="237"/>
      <c r="N94" s="237"/>
      <c r="O94" s="237"/>
      <c r="P94" s="237"/>
      <c r="Q94" s="237"/>
      <c r="R94" s="237"/>
      <c r="S94" s="3"/>
      <c r="T94" s="3"/>
      <c r="U94" s="3"/>
      <c r="V94" s="3"/>
      <c r="W94" s="10"/>
      <c r="X94" s="5"/>
      <c r="Y94" s="16"/>
      <c r="Z94" s="16"/>
      <c r="AA94" s="16"/>
      <c r="AB94" s="22"/>
      <c r="AC94" s="16"/>
    </row>
    <row r="95" spans="2:29" ht="106.95" customHeight="1" x14ac:dyDescent="0.3">
      <c r="B95" s="2"/>
      <c r="C95" s="76">
        <v>87</v>
      </c>
      <c r="D95" s="77" t="s">
        <v>439</v>
      </c>
      <c r="E95" s="83" t="s">
        <v>440</v>
      </c>
      <c r="F95" s="77" t="s">
        <v>182</v>
      </c>
      <c r="G95" s="97" t="s">
        <v>200</v>
      </c>
      <c r="H95" s="97" t="s">
        <v>200</v>
      </c>
      <c r="I95" s="97" t="s">
        <v>200</v>
      </c>
      <c r="J95" s="236" t="str">
        <f>IF(HLOOKUP(HLOOKUP(F95,$H$3:$W$4,2,0),$G$7:$I$104,C95+2,0)="N.A.","",HLOOKUP(HLOOKUP(F95,$H$3:$W$4,2,0),$G$7:$I$104,C95+2,0))</f>
        <v>aplica</v>
      </c>
      <c r="K95" s="236"/>
      <c r="L95" s="238" t="str">
        <f>IF(HLOOKUP(HLOOKUP(F95,$H$3:$W$4,2,0),$G$7:$I$104,C95+2,0)="N.A.","",HLOOKUP(F95,$H$3:$W$4,2,0))</f>
        <v>M</v>
      </c>
      <c r="M95" s="238"/>
      <c r="N95" s="37" t="s">
        <v>441</v>
      </c>
      <c r="O95" s="80"/>
      <c r="P95" s="130" t="s">
        <v>209</v>
      </c>
      <c r="Q95" s="81">
        <f t="shared" si="14"/>
        <v>80</v>
      </c>
      <c r="R95" s="82">
        <f>IF(Q95="-","",IF(Q95*100/VLOOKUP($M$4,Nivel_cumplimiento,2,0)&gt;100,100,Q95*100/VLOOKUP($M$4,Nivel_cumplimiento,2,0)))</f>
        <v>100</v>
      </c>
      <c r="S95" s="3"/>
      <c r="T95" s="3"/>
      <c r="U95" s="3"/>
      <c r="V95" s="3"/>
      <c r="W95" s="10"/>
      <c r="X95" s="5"/>
      <c r="Y95" s="16"/>
      <c r="Z95" s="16"/>
      <c r="AA95" s="16"/>
      <c r="AB95" s="22"/>
    </row>
    <row r="96" spans="2:29" ht="54" customHeight="1" x14ac:dyDescent="0.3">
      <c r="B96" s="2"/>
      <c r="C96" s="76">
        <v>88</v>
      </c>
      <c r="D96" s="77" t="s">
        <v>442</v>
      </c>
      <c r="E96" s="83" t="s">
        <v>443</v>
      </c>
      <c r="F96" s="77" t="s">
        <v>182</v>
      </c>
      <c r="G96" s="97" t="s">
        <v>444</v>
      </c>
      <c r="H96" s="97" t="s">
        <v>444</v>
      </c>
      <c r="I96" s="98" t="s">
        <v>445</v>
      </c>
      <c r="J96" s="236" t="str">
        <f>IF(HLOOKUP(HLOOKUP(F96,$H$3:$W$4,2,0),$G$7:$I$104,C96+2,0)="N.A.","",HLOOKUP(HLOOKUP(F96,$H$3:$W$4,2,0),$G$7:$I$104,C96+2,0))</f>
        <v>aplica + [R1 o R2]</v>
      </c>
      <c r="K96" s="236"/>
      <c r="L96" s="238" t="str">
        <f>IF(HLOOKUP(HLOOKUP(F96,$H$3:$W$4,2,0),$G$7:$I$104,C96+2,0)="N.A.","",HLOOKUP(F96,$H$3:$W$4,2,0))</f>
        <v>M</v>
      </c>
      <c r="M96" s="238"/>
      <c r="N96" s="157" t="s">
        <v>446</v>
      </c>
      <c r="O96" s="80"/>
      <c r="P96" s="130" t="s">
        <v>209</v>
      </c>
      <c r="Q96" s="81">
        <f t="shared" si="14"/>
        <v>80</v>
      </c>
      <c r="R96" s="82">
        <f>IF(Q96="-","",IF(Q96*100/VLOOKUP($M$4,Nivel_cumplimiento,2,0)&gt;100,100,Q96*100/VLOOKUP($M$4,Nivel_cumplimiento,2,0)))</f>
        <v>100</v>
      </c>
      <c r="S96" s="3"/>
      <c r="T96" s="3"/>
      <c r="U96" s="3"/>
      <c r="V96" s="3"/>
      <c r="W96" s="10"/>
      <c r="X96" s="5"/>
      <c r="Y96" s="16"/>
      <c r="Z96" s="16"/>
      <c r="AA96" s="16"/>
      <c r="AB96" s="22"/>
    </row>
    <row r="97" spans="2:28" ht="63" customHeight="1" x14ac:dyDescent="0.3">
      <c r="B97" s="2"/>
      <c r="C97" s="76">
        <v>89</v>
      </c>
      <c r="D97" s="77" t="s">
        <v>447</v>
      </c>
      <c r="E97" s="83" t="s">
        <v>448</v>
      </c>
      <c r="F97" s="77" t="s">
        <v>182</v>
      </c>
      <c r="G97" s="97" t="s">
        <v>200</v>
      </c>
      <c r="H97" s="97" t="s">
        <v>200</v>
      </c>
      <c r="I97" s="100" t="s">
        <v>219</v>
      </c>
      <c r="J97" s="236" t="str">
        <f>IF(HLOOKUP(HLOOKUP(F97,$H$3:$W$4,2,0),$G$7:$I$104,C97+2,0)="N.A.","",HLOOKUP(HLOOKUP(F97,$H$3:$W$4,2,0),$G$7:$I$104,C97+2,0))</f>
        <v>aplica</v>
      </c>
      <c r="K97" s="236"/>
      <c r="L97" s="238" t="str">
        <f>IF(HLOOKUP(HLOOKUP(F97,$H$3:$W$4,2,0),$G$7:$I$104,C97+2,0)="N.A.","",HLOOKUP(F97,$H$3:$W$4,2,0))</f>
        <v>M</v>
      </c>
      <c r="M97" s="238"/>
      <c r="N97" s="91" t="s">
        <v>449</v>
      </c>
      <c r="O97" s="80"/>
      <c r="P97" s="130" t="s">
        <v>209</v>
      </c>
      <c r="Q97" s="81">
        <f t="shared" si="14"/>
        <v>80</v>
      </c>
      <c r="R97" s="82">
        <f>IF(Q97="-","",IF(Q97*100/VLOOKUP($M$4,Nivel_cumplimiento,2,0)&gt;100,100,Q97*100/VLOOKUP($M$4,Nivel_cumplimiento,2,0)))</f>
        <v>100</v>
      </c>
      <c r="S97" s="3"/>
      <c r="T97" s="3"/>
      <c r="U97" s="3"/>
      <c r="V97" s="3"/>
      <c r="W97" s="10"/>
      <c r="X97" s="5"/>
      <c r="Y97" s="16"/>
      <c r="Z97" s="16"/>
      <c r="AA97" s="16"/>
      <c r="AB97" s="22"/>
    </row>
    <row r="98" spans="2:28" ht="37.200000000000003" customHeight="1" x14ac:dyDescent="0.3">
      <c r="B98" s="2"/>
      <c r="C98" s="76">
        <v>90</v>
      </c>
      <c r="D98" s="115" t="s">
        <v>450</v>
      </c>
      <c r="E98" s="116" t="s">
        <v>451</v>
      </c>
      <c r="F98" s="115" t="s">
        <v>65</v>
      </c>
      <c r="G98" s="52" t="s">
        <v>156</v>
      </c>
      <c r="H98" s="117" t="s">
        <v>200</v>
      </c>
      <c r="I98" s="118" t="s">
        <v>219</v>
      </c>
      <c r="J98" s="236" t="str">
        <f>IF(HLOOKUP(HLOOKUP(F98,$H$3:$W$4,2,0),$G$7:$I$104,C98+2,0)="N.A.","",HLOOKUP(HLOOKUP(F98,$H$3:$W$4,2,0),$G$7:$I$104,C98+2,0))</f>
        <v>aplica</v>
      </c>
      <c r="K98" s="236"/>
      <c r="L98" s="238" t="str">
        <f>IF(HLOOKUP(HLOOKUP(F98,$H$3:$W$4,2,0),$G$7:$I$104,C98+2,0)="N.A.","",HLOOKUP(F98,$H$3:$W$4,2,0))</f>
        <v>M</v>
      </c>
      <c r="M98" s="238"/>
      <c r="N98" s="157" t="s">
        <v>509</v>
      </c>
      <c r="O98" s="119"/>
      <c r="P98" s="130" t="s">
        <v>209</v>
      </c>
      <c r="Q98" s="81">
        <f t="shared" si="14"/>
        <v>80</v>
      </c>
      <c r="R98" s="82">
        <f>IF(Q98="-","",IF(Q98*100/VLOOKUP($M$4,Nivel_cumplimiento,2,0)&gt;100,100,Q98*100/VLOOKUP($M$4,Nivel_cumplimiento,2,0)))</f>
        <v>100</v>
      </c>
      <c r="S98" s="3"/>
      <c r="T98" s="3"/>
      <c r="U98" s="3"/>
      <c r="V98" s="3"/>
      <c r="W98" s="10"/>
      <c r="X98" s="5"/>
      <c r="Y98" s="16"/>
      <c r="Z98" s="16"/>
      <c r="AA98" s="16"/>
      <c r="AB98" s="18"/>
    </row>
    <row r="99" spans="2:28" x14ac:dyDescent="0.3">
      <c r="B99" s="2"/>
      <c r="C99" s="11"/>
      <c r="D99" s="11"/>
      <c r="E99" s="120"/>
      <c r="F99" s="11"/>
      <c r="G99" s="11"/>
      <c r="H99" s="11"/>
      <c r="I99" s="11"/>
      <c r="J99" s="11"/>
      <c r="K99" s="11"/>
      <c r="L99" s="3"/>
      <c r="M99" s="3"/>
      <c r="N99" s="64"/>
      <c r="O99" s="3"/>
      <c r="P99" s="11"/>
      <c r="Q99" s="11"/>
      <c r="R99" s="72"/>
      <c r="S99" s="3"/>
      <c r="T99" s="3"/>
      <c r="U99" s="3"/>
      <c r="V99" s="3"/>
      <c r="W99" s="4"/>
      <c r="X99" s="5"/>
      <c r="Y99" s="16"/>
      <c r="Z99" s="16"/>
      <c r="AA99" s="16"/>
      <c r="AB99" s="16"/>
    </row>
    <row r="100" spans="2:28" x14ac:dyDescent="0.3">
      <c r="B100" s="12"/>
      <c r="C100" s="13"/>
      <c r="D100" s="13"/>
      <c r="E100" s="121"/>
      <c r="F100" s="13"/>
      <c r="G100" s="13"/>
      <c r="H100" s="13"/>
      <c r="I100" s="13"/>
      <c r="J100" s="13"/>
      <c r="K100" s="13"/>
      <c r="L100" s="14"/>
      <c r="M100" s="14"/>
      <c r="N100" s="122"/>
      <c r="O100" s="14"/>
      <c r="P100" s="13"/>
      <c r="Q100" s="13"/>
      <c r="R100" s="123"/>
      <c r="S100" s="14"/>
      <c r="T100" s="14"/>
      <c r="U100" s="14"/>
      <c r="V100" s="14"/>
      <c r="W100" s="15"/>
      <c r="X100" s="5"/>
      <c r="Y100" s="16"/>
      <c r="Z100" s="16"/>
      <c r="AA100" s="16"/>
      <c r="AB100" s="16"/>
    </row>
  </sheetData>
  <mergeCells count="171">
    <mergeCell ref="L16:M16"/>
    <mergeCell ref="J16:K16"/>
    <mergeCell ref="B1:N1"/>
    <mergeCell ref="Y2:AA2"/>
    <mergeCell ref="C3:F4"/>
    <mergeCell ref="N6:O6"/>
    <mergeCell ref="J7:K7"/>
    <mergeCell ref="L7:M7"/>
    <mergeCell ref="J12:K12"/>
    <mergeCell ref="L12:M12"/>
    <mergeCell ref="E13:R13"/>
    <mergeCell ref="E14:R14"/>
    <mergeCell ref="J15:K15"/>
    <mergeCell ref="L15:M15"/>
    <mergeCell ref="E8:R8"/>
    <mergeCell ref="J9:K9"/>
    <mergeCell ref="L9:M9"/>
    <mergeCell ref="J10:K10"/>
    <mergeCell ref="L10:M10"/>
    <mergeCell ref="J11:K11"/>
    <mergeCell ref="L11:M11"/>
    <mergeCell ref="G3:G4"/>
    <mergeCell ref="J19:K19"/>
    <mergeCell ref="L19:M19"/>
    <mergeCell ref="E20:R20"/>
    <mergeCell ref="J21:K21"/>
    <mergeCell ref="L21:M21"/>
    <mergeCell ref="J22:K22"/>
    <mergeCell ref="L22:M22"/>
    <mergeCell ref="J17:K17"/>
    <mergeCell ref="L17:M17"/>
    <mergeCell ref="J18:K18"/>
    <mergeCell ref="L18:M18"/>
    <mergeCell ref="J26:K26"/>
    <mergeCell ref="L26:M26"/>
    <mergeCell ref="E27:R27"/>
    <mergeCell ref="J28:K28"/>
    <mergeCell ref="L28:M28"/>
    <mergeCell ref="J29:K29"/>
    <mergeCell ref="L29:M29"/>
    <mergeCell ref="J23:K23"/>
    <mergeCell ref="L23:M23"/>
    <mergeCell ref="J24:K24"/>
    <mergeCell ref="L24:M24"/>
    <mergeCell ref="J25:K25"/>
    <mergeCell ref="L25:M25"/>
    <mergeCell ref="J33:K33"/>
    <mergeCell ref="L33:M33"/>
    <mergeCell ref="J34:K34"/>
    <mergeCell ref="L34:M34"/>
    <mergeCell ref="J35:K35"/>
    <mergeCell ref="L35:M35"/>
    <mergeCell ref="J30:K30"/>
    <mergeCell ref="L30:M30"/>
    <mergeCell ref="J31:K31"/>
    <mergeCell ref="L31:M31"/>
    <mergeCell ref="J32:K32"/>
    <mergeCell ref="L32:M32"/>
    <mergeCell ref="J40:K40"/>
    <mergeCell ref="L40:M40"/>
    <mergeCell ref="J41:K41"/>
    <mergeCell ref="L41:M41"/>
    <mergeCell ref="J42:K42"/>
    <mergeCell ref="L42:M42"/>
    <mergeCell ref="J36:K36"/>
    <mergeCell ref="L36:M36"/>
    <mergeCell ref="J37:K37"/>
    <mergeCell ref="L37:M37"/>
    <mergeCell ref="E38:R38"/>
    <mergeCell ref="J39:K39"/>
    <mergeCell ref="L39:M39"/>
    <mergeCell ref="J47:K47"/>
    <mergeCell ref="L47:M47"/>
    <mergeCell ref="J48:K48"/>
    <mergeCell ref="L48:M48"/>
    <mergeCell ref="J49:K49"/>
    <mergeCell ref="L49:M49"/>
    <mergeCell ref="E43:R43"/>
    <mergeCell ref="J44:K44"/>
    <mergeCell ref="L44:M44"/>
    <mergeCell ref="E45:R45"/>
    <mergeCell ref="J46:K46"/>
    <mergeCell ref="L46:M46"/>
    <mergeCell ref="E54:R54"/>
    <mergeCell ref="E55:R55"/>
    <mergeCell ref="J56:K56"/>
    <mergeCell ref="L56:M56"/>
    <mergeCell ref="J57:K57"/>
    <mergeCell ref="L57:M57"/>
    <mergeCell ref="E50:R50"/>
    <mergeCell ref="J51:K51"/>
    <mergeCell ref="L51:M51"/>
    <mergeCell ref="J52:K52"/>
    <mergeCell ref="L52:M52"/>
    <mergeCell ref="J53:K53"/>
    <mergeCell ref="L53:M53"/>
    <mergeCell ref="J61:K61"/>
    <mergeCell ref="L61:M61"/>
    <mergeCell ref="J62:K62"/>
    <mergeCell ref="L62:M62"/>
    <mergeCell ref="E63:R63"/>
    <mergeCell ref="J64:K64"/>
    <mergeCell ref="L64:M64"/>
    <mergeCell ref="J58:K58"/>
    <mergeCell ref="L58:M58"/>
    <mergeCell ref="J59:K59"/>
    <mergeCell ref="L59:M59"/>
    <mergeCell ref="J60:K60"/>
    <mergeCell ref="L60:M60"/>
    <mergeCell ref="E68:R68"/>
    <mergeCell ref="J69:K69"/>
    <mergeCell ref="L69:M69"/>
    <mergeCell ref="J70:K70"/>
    <mergeCell ref="L70:M70"/>
    <mergeCell ref="J71:K71"/>
    <mergeCell ref="L71:M71"/>
    <mergeCell ref="J65:K65"/>
    <mergeCell ref="L65:M65"/>
    <mergeCell ref="J66:K66"/>
    <mergeCell ref="L66:M66"/>
    <mergeCell ref="J67:K67"/>
    <mergeCell ref="L67:M67"/>
    <mergeCell ref="J76:K76"/>
    <mergeCell ref="L76:M76"/>
    <mergeCell ref="J77:K77"/>
    <mergeCell ref="L77:M77"/>
    <mergeCell ref="E78:R78"/>
    <mergeCell ref="J79:K79"/>
    <mergeCell ref="L79:M79"/>
    <mergeCell ref="J72:K72"/>
    <mergeCell ref="L72:M72"/>
    <mergeCell ref="E73:R73"/>
    <mergeCell ref="J74:K74"/>
    <mergeCell ref="L74:M74"/>
    <mergeCell ref="J75:K75"/>
    <mergeCell ref="L75:M75"/>
    <mergeCell ref="J83:K83"/>
    <mergeCell ref="L83:M83"/>
    <mergeCell ref="E84:R84"/>
    <mergeCell ref="J85:K85"/>
    <mergeCell ref="L85:M85"/>
    <mergeCell ref="J86:K86"/>
    <mergeCell ref="L86:M86"/>
    <mergeCell ref="J80:K80"/>
    <mergeCell ref="L80:M80"/>
    <mergeCell ref="J81:K81"/>
    <mergeCell ref="L81:M81"/>
    <mergeCell ref="J82:K82"/>
    <mergeCell ref="L82:M82"/>
    <mergeCell ref="J91:K91"/>
    <mergeCell ref="L91:M91"/>
    <mergeCell ref="J92:K92"/>
    <mergeCell ref="L92:M92"/>
    <mergeCell ref="J93:K93"/>
    <mergeCell ref="L93:M93"/>
    <mergeCell ref="E87:R87"/>
    <mergeCell ref="J88:K88"/>
    <mergeCell ref="L88:M88"/>
    <mergeCell ref="J89:K89"/>
    <mergeCell ref="L89:M89"/>
    <mergeCell ref="J90:K90"/>
    <mergeCell ref="L90:M90"/>
    <mergeCell ref="J98:K98"/>
    <mergeCell ref="L98:M98"/>
    <mergeCell ref="E94:R94"/>
    <mergeCell ref="J95:K95"/>
    <mergeCell ref="L95:M95"/>
    <mergeCell ref="J96:K96"/>
    <mergeCell ref="L96:M96"/>
    <mergeCell ref="J97:K97"/>
    <mergeCell ref="L97:M97"/>
  </mergeCells>
  <conditionalFormatting sqref="J9:M12 J15:M19 J21:M26 J28:M37 J39:M42 J44:M44 J46:M49 J56:M62 J64:M67 J69:M72 J74:M77 J79:M83 J85:M86 J88:M93 J95:M98 J51:M53">
    <cfRule type="containsText" dxfId="138" priority="213" stopIfTrue="1" operator="containsText" text="NO APLICA">
      <formula>NOT(ISERROR(SEARCH("NO APLICA",J9)))</formula>
    </cfRule>
    <cfRule type="containsBlanks" dxfId="137" priority="212" stopIfTrue="1">
      <formula>LEN(TRIM(J9))=0</formula>
    </cfRule>
    <cfRule type="containsText" dxfId="136" priority="214" operator="containsText" text="Aplica">
      <formula>NOT(ISERROR(SEARCH("Aplica",J9)))</formula>
    </cfRule>
  </conditionalFormatting>
  <conditionalFormatting sqref="N27:P27 N38:P38 N43:P43 N45:P45 N50:P50 N54:P55 N63:P63 N68:P68 N73:P73 N78:P78 N84:P84 N87:P87">
    <cfRule type="containsText" dxfId="135" priority="209" operator="containsText" text="Aplica">
      <formula>NOT(ISERROR(SEARCH("Aplica",N27)))</formula>
    </cfRule>
    <cfRule type="containsText" dxfId="134" priority="208" stopIfTrue="1" operator="containsText" text="NO APLICA">
      <formula>NOT(ISERROR(SEARCH("NO APLICA",N27)))</formula>
    </cfRule>
    <cfRule type="containsBlanks" dxfId="133" priority="207" stopIfTrue="1">
      <formula>LEN(TRIM(N27))=0</formula>
    </cfRule>
  </conditionalFormatting>
  <conditionalFormatting sqref="Q4">
    <cfRule type="cellIs" dxfId="132" priority="77" operator="greaterThanOrEqual">
      <formula>80</formula>
    </cfRule>
    <cfRule type="cellIs" priority="74" stopIfTrue="1" operator="equal">
      <formula>"-"</formula>
    </cfRule>
    <cfRule type="cellIs" dxfId="131" priority="75" stopIfTrue="1" operator="lessThan">
      <formula>50</formula>
    </cfRule>
    <cfRule type="cellIs" dxfId="130" priority="76" stopIfTrue="1" operator="lessThan">
      <formula>80</formula>
    </cfRule>
  </conditionalFormatting>
  <conditionalFormatting sqref="Q9:Q12">
    <cfRule type="cellIs" dxfId="129" priority="54" stopIfTrue="1" operator="equal">
      <formula>"-"</formula>
    </cfRule>
    <cfRule type="cellIs" dxfId="128" priority="57" operator="greaterThanOrEqual">
      <formula>80</formula>
    </cfRule>
    <cfRule type="cellIs" dxfId="127" priority="56" stopIfTrue="1" operator="lessThan">
      <formula>80</formula>
    </cfRule>
    <cfRule type="cellIs" dxfId="126" priority="55" stopIfTrue="1" operator="lessThan">
      <formula>50</formula>
    </cfRule>
  </conditionalFormatting>
  <conditionalFormatting sqref="Q15:Q19">
    <cfRule type="cellIs" dxfId="125" priority="49" operator="greaterThanOrEqual">
      <formula>80</formula>
    </cfRule>
    <cfRule type="cellIs" dxfId="124" priority="47" stopIfTrue="1" operator="lessThan">
      <formula>50</formula>
    </cfRule>
    <cfRule type="cellIs" dxfId="123" priority="46" stopIfTrue="1" operator="equal">
      <formula>"-"</formula>
    </cfRule>
    <cfRule type="cellIs" dxfId="122" priority="48" stopIfTrue="1" operator="lessThan">
      <formula>80</formula>
    </cfRule>
  </conditionalFormatting>
  <conditionalFormatting sqref="Q21:Q26">
    <cfRule type="cellIs" dxfId="121" priority="123" stopIfTrue="1" operator="lessThan">
      <formula>50</formula>
    </cfRule>
    <cfRule type="cellIs" dxfId="120" priority="124" stopIfTrue="1" operator="lessThan">
      <formula>80</formula>
    </cfRule>
    <cfRule type="cellIs" dxfId="119" priority="125" operator="greaterThanOrEqual">
      <formula>80</formula>
    </cfRule>
    <cfRule type="cellIs" priority="122" stopIfTrue="1" operator="equal">
      <formula>"-"</formula>
    </cfRule>
  </conditionalFormatting>
  <conditionalFormatting sqref="Q28:Q37">
    <cfRule type="cellIs" dxfId="118" priority="72" stopIfTrue="1" operator="lessThan">
      <formula>80</formula>
    </cfRule>
    <cfRule type="cellIs" dxfId="117" priority="73" operator="greaterThanOrEqual">
      <formula>80</formula>
    </cfRule>
    <cfRule type="cellIs" priority="70" stopIfTrue="1" operator="equal">
      <formula>"-"</formula>
    </cfRule>
    <cfRule type="cellIs" dxfId="116" priority="71" stopIfTrue="1" operator="lessThan">
      <formula>50</formula>
    </cfRule>
  </conditionalFormatting>
  <conditionalFormatting sqref="Q39:Q42">
    <cfRule type="cellIs" dxfId="115" priority="43" stopIfTrue="1" operator="lessThan">
      <formula>50</formula>
    </cfRule>
    <cfRule type="cellIs" dxfId="114" priority="44" stopIfTrue="1" operator="lessThan">
      <formula>80</formula>
    </cfRule>
    <cfRule type="cellIs" dxfId="113" priority="45" operator="greaterThanOrEqual">
      <formula>80</formula>
    </cfRule>
    <cfRule type="cellIs" priority="42" stopIfTrue="1" operator="equal">
      <formula>"-"</formula>
    </cfRule>
  </conditionalFormatting>
  <conditionalFormatting sqref="Q44">
    <cfRule type="cellIs" dxfId="112" priority="39" stopIfTrue="1" operator="lessThan">
      <formula>50</formula>
    </cfRule>
    <cfRule type="cellIs" priority="38" stopIfTrue="1" operator="equal">
      <formula>"-"</formula>
    </cfRule>
    <cfRule type="cellIs" dxfId="111" priority="40" stopIfTrue="1" operator="lessThan">
      <formula>80</formula>
    </cfRule>
    <cfRule type="cellIs" dxfId="110" priority="41" operator="greaterThanOrEqual">
      <formula>80</formula>
    </cfRule>
  </conditionalFormatting>
  <conditionalFormatting sqref="Q46:Q49">
    <cfRule type="cellIs" dxfId="109" priority="35" stopIfTrue="1" operator="lessThan">
      <formula>50</formula>
    </cfRule>
    <cfRule type="cellIs" dxfId="108" priority="36" stopIfTrue="1" operator="lessThan">
      <formula>80</formula>
    </cfRule>
    <cfRule type="cellIs" dxfId="107" priority="37" operator="greaterThanOrEqual">
      <formula>80</formula>
    </cfRule>
    <cfRule type="cellIs" priority="34" stopIfTrue="1" operator="equal">
      <formula>"-"</formula>
    </cfRule>
  </conditionalFormatting>
  <conditionalFormatting sqref="Q51:Q53">
    <cfRule type="cellIs" priority="30" stopIfTrue="1" operator="equal">
      <formula>"-"</formula>
    </cfRule>
    <cfRule type="cellIs" dxfId="106" priority="31" stopIfTrue="1" operator="lessThan">
      <formula>50</formula>
    </cfRule>
    <cfRule type="cellIs" dxfId="105" priority="32" stopIfTrue="1" operator="lessThan">
      <formula>80</formula>
    </cfRule>
    <cfRule type="cellIs" dxfId="104" priority="33" operator="greaterThanOrEqual">
      <formula>80</formula>
    </cfRule>
  </conditionalFormatting>
  <conditionalFormatting sqref="Q56:Q62">
    <cfRule type="cellIs" priority="106" stopIfTrue="1" operator="equal">
      <formula>"-"</formula>
    </cfRule>
    <cfRule type="cellIs" dxfId="103" priority="109" operator="greaterThanOrEqual">
      <formula>80</formula>
    </cfRule>
    <cfRule type="cellIs" dxfId="102" priority="108" stopIfTrue="1" operator="lessThan">
      <formula>80</formula>
    </cfRule>
    <cfRule type="cellIs" dxfId="101" priority="107" stopIfTrue="1" operator="lessThan">
      <formula>50</formula>
    </cfRule>
  </conditionalFormatting>
  <conditionalFormatting sqref="Q64:Q67">
    <cfRule type="cellIs" dxfId="100" priority="29" operator="greaterThanOrEqual">
      <formula>80</formula>
    </cfRule>
    <cfRule type="cellIs" dxfId="99" priority="27" stopIfTrue="1" operator="lessThan">
      <formula>50</formula>
    </cfRule>
    <cfRule type="cellIs" priority="26" stopIfTrue="1" operator="equal">
      <formula>"-"</formula>
    </cfRule>
    <cfRule type="cellIs" dxfId="98" priority="28" stopIfTrue="1" operator="lessThan">
      <formula>80</formula>
    </cfRule>
  </conditionalFormatting>
  <conditionalFormatting sqref="Q69:Q72">
    <cfRule type="cellIs" priority="22" stopIfTrue="1" operator="equal">
      <formula>"-"</formula>
    </cfRule>
    <cfRule type="cellIs" dxfId="97" priority="25" operator="greaterThanOrEqual">
      <formula>80</formula>
    </cfRule>
    <cfRule type="cellIs" dxfId="96" priority="24" stopIfTrue="1" operator="lessThan">
      <formula>80</formula>
    </cfRule>
    <cfRule type="cellIs" dxfId="95" priority="23" stopIfTrue="1" operator="lessThan">
      <formula>50</formula>
    </cfRule>
  </conditionalFormatting>
  <conditionalFormatting sqref="Q74:Q77">
    <cfRule type="cellIs" priority="18" stopIfTrue="1" operator="equal">
      <formula>"-"</formula>
    </cfRule>
    <cfRule type="cellIs" dxfId="94" priority="19" stopIfTrue="1" operator="lessThan">
      <formula>50</formula>
    </cfRule>
    <cfRule type="cellIs" dxfId="93" priority="21" operator="greaterThanOrEqual">
      <formula>80</formula>
    </cfRule>
    <cfRule type="cellIs" dxfId="92" priority="20" stopIfTrue="1" operator="lessThan">
      <formula>80</formula>
    </cfRule>
  </conditionalFormatting>
  <conditionalFormatting sqref="Q79:Q83">
    <cfRule type="cellIs" priority="9" stopIfTrue="1" operator="equal">
      <formula>"-"</formula>
    </cfRule>
    <cfRule type="cellIs" dxfId="91" priority="10" stopIfTrue="1" operator="lessThan">
      <formula>50</formula>
    </cfRule>
    <cfRule type="cellIs" dxfId="90" priority="11" stopIfTrue="1" operator="lessThan">
      <formula>80</formula>
    </cfRule>
    <cfRule type="cellIs" dxfId="89" priority="12" operator="greaterThanOrEqual">
      <formula>80</formula>
    </cfRule>
  </conditionalFormatting>
  <conditionalFormatting sqref="Q85:Q86">
    <cfRule type="cellIs" priority="5" stopIfTrue="1" operator="equal">
      <formula>"-"</formula>
    </cfRule>
    <cfRule type="cellIs" dxfId="88" priority="6" stopIfTrue="1" operator="lessThan">
      <formula>50</formula>
    </cfRule>
    <cfRule type="cellIs" dxfId="87" priority="7" stopIfTrue="1" operator="lessThan">
      <formula>80</formula>
    </cfRule>
    <cfRule type="cellIs" dxfId="86" priority="8" operator="greaterThanOrEqual">
      <formula>80</formula>
    </cfRule>
  </conditionalFormatting>
  <conditionalFormatting sqref="Q88:Q93">
    <cfRule type="cellIs" dxfId="85" priority="85" operator="greaterThanOrEqual">
      <formula>80</formula>
    </cfRule>
    <cfRule type="cellIs" priority="82" stopIfTrue="1" operator="equal">
      <formula>"-"</formula>
    </cfRule>
    <cfRule type="cellIs" dxfId="84" priority="83" stopIfTrue="1" operator="lessThan">
      <formula>50</formula>
    </cfRule>
    <cfRule type="cellIs" dxfId="83" priority="84" stopIfTrue="1" operator="lessThan">
      <formula>80</formula>
    </cfRule>
  </conditionalFormatting>
  <conditionalFormatting sqref="Q95:Q98">
    <cfRule type="cellIs" dxfId="82" priority="2" stopIfTrue="1" operator="lessThan">
      <formula>50</formula>
    </cfRule>
    <cfRule type="cellIs" dxfId="81" priority="3" stopIfTrue="1" operator="lessThan">
      <formula>80</formula>
    </cfRule>
    <cfRule type="cellIs" dxfId="80" priority="4" operator="greaterThanOrEqual">
      <formula>80</formula>
    </cfRule>
    <cfRule type="cellIs" priority="1" stopIfTrue="1" operator="equal">
      <formula>"-"</formula>
    </cfRule>
  </conditionalFormatting>
  <conditionalFormatting sqref="R4">
    <cfRule type="containsBlanks" dxfId="79" priority="130">
      <formula>LEN(TRIM(R4))=0</formula>
    </cfRule>
    <cfRule type="cellIs" dxfId="78" priority="134" operator="greaterThanOrEqual">
      <formula>95</formula>
    </cfRule>
    <cfRule type="cellIs" dxfId="77" priority="133" stopIfTrue="1" operator="lessThan">
      <formula>95</formula>
    </cfRule>
    <cfRule type="cellIs" dxfId="76" priority="132" stopIfTrue="1" operator="lessThan">
      <formula>80</formula>
    </cfRule>
    <cfRule type="containsBlanks" dxfId="75" priority="131" stopIfTrue="1">
      <formula>LEN(TRIM(R4))=0</formula>
    </cfRule>
  </conditionalFormatting>
  <conditionalFormatting sqref="R9:R12">
    <cfRule type="cellIs" dxfId="74" priority="210" stopIfTrue="1" operator="lessThan">
      <formula>95</formula>
    </cfRule>
    <cfRule type="containsBlanks" dxfId="73" priority="205" stopIfTrue="1">
      <formula>LEN(TRIM(R9))=0</formula>
    </cfRule>
    <cfRule type="containsBlanks" dxfId="72" priority="204">
      <formula>LEN(TRIM(R9))=0</formula>
    </cfRule>
    <cfRule type="cellIs" dxfId="71" priority="211" operator="greaterThanOrEqual">
      <formula>95</formula>
    </cfRule>
    <cfRule type="cellIs" dxfId="70" priority="206" stopIfTrue="1" operator="lessThan">
      <formula>80</formula>
    </cfRule>
  </conditionalFormatting>
  <conditionalFormatting sqref="R15:R19">
    <cfRule type="cellIs" dxfId="69" priority="202" stopIfTrue="1" operator="lessThan">
      <formula>95</formula>
    </cfRule>
    <cfRule type="containsBlanks" dxfId="68" priority="199">
      <formula>LEN(TRIM(R15))=0</formula>
    </cfRule>
    <cfRule type="containsBlanks" dxfId="67" priority="200" stopIfTrue="1">
      <formula>LEN(TRIM(R15))=0</formula>
    </cfRule>
    <cfRule type="cellIs" dxfId="66" priority="201" stopIfTrue="1" operator="lessThan">
      <formula>80</formula>
    </cfRule>
    <cfRule type="cellIs" dxfId="65" priority="203" operator="greaterThanOrEqual">
      <formula>95</formula>
    </cfRule>
  </conditionalFormatting>
  <conditionalFormatting sqref="R21:R26">
    <cfRule type="containsBlanks" dxfId="64" priority="194">
      <formula>LEN(TRIM(R21))=0</formula>
    </cfRule>
    <cfRule type="cellIs" dxfId="63" priority="197" stopIfTrue="1" operator="lessThan">
      <formula>95</formula>
    </cfRule>
    <cfRule type="cellIs" dxfId="62" priority="196" stopIfTrue="1" operator="lessThan">
      <formula>80</formula>
    </cfRule>
    <cfRule type="containsBlanks" dxfId="61" priority="195" stopIfTrue="1">
      <formula>LEN(TRIM(R21))=0</formula>
    </cfRule>
    <cfRule type="cellIs" dxfId="60" priority="198" operator="greaterThanOrEqual">
      <formula>95</formula>
    </cfRule>
  </conditionalFormatting>
  <conditionalFormatting sqref="R28:R37">
    <cfRule type="cellIs" dxfId="59" priority="192" stopIfTrue="1" operator="lessThan">
      <formula>95</formula>
    </cfRule>
    <cfRule type="cellIs" dxfId="58" priority="193" operator="greaterThanOrEqual">
      <formula>95</formula>
    </cfRule>
    <cfRule type="containsBlanks" dxfId="57" priority="190" stopIfTrue="1">
      <formula>LEN(TRIM(R28))=0</formula>
    </cfRule>
    <cfRule type="containsBlanks" dxfId="56" priority="189">
      <formula>LEN(TRIM(R28))=0</formula>
    </cfRule>
    <cfRule type="cellIs" dxfId="55" priority="191" stopIfTrue="1" operator="lessThan">
      <formula>80</formula>
    </cfRule>
  </conditionalFormatting>
  <conditionalFormatting sqref="R39:R42">
    <cfRule type="cellIs" dxfId="54" priority="64" stopIfTrue="1" operator="lessThan">
      <formula>80</formula>
    </cfRule>
    <cfRule type="containsBlanks" dxfId="53" priority="62">
      <formula>LEN(TRIM(R39))=0</formula>
    </cfRule>
    <cfRule type="containsBlanks" dxfId="52" priority="63" stopIfTrue="1">
      <formula>LEN(TRIM(R39))=0</formula>
    </cfRule>
    <cfRule type="cellIs" dxfId="51" priority="65" stopIfTrue="1" operator="lessThan">
      <formula>95</formula>
    </cfRule>
    <cfRule type="cellIs" dxfId="50" priority="66" operator="greaterThanOrEqual">
      <formula>95</formula>
    </cfRule>
  </conditionalFormatting>
  <conditionalFormatting sqref="R44">
    <cfRule type="cellIs" dxfId="49" priority="187" stopIfTrue="1" operator="lessThan">
      <formula>95</formula>
    </cfRule>
    <cfRule type="containsBlanks" dxfId="48" priority="184">
      <formula>LEN(TRIM(R44))=0</formula>
    </cfRule>
    <cfRule type="containsBlanks" dxfId="47" priority="185" stopIfTrue="1">
      <formula>LEN(TRIM(R44))=0</formula>
    </cfRule>
    <cfRule type="cellIs" dxfId="46" priority="186" stopIfTrue="1" operator="lessThan">
      <formula>80</formula>
    </cfRule>
    <cfRule type="cellIs" dxfId="45" priority="188" operator="greaterThanOrEqual">
      <formula>95</formula>
    </cfRule>
  </conditionalFormatting>
  <conditionalFormatting sqref="R46:R49">
    <cfRule type="containsBlanks" dxfId="44" priority="180" stopIfTrue="1">
      <formula>LEN(TRIM(R46))=0</formula>
    </cfRule>
    <cfRule type="cellIs" dxfId="43" priority="182" stopIfTrue="1" operator="lessThan">
      <formula>95</formula>
    </cfRule>
    <cfRule type="cellIs" dxfId="42" priority="181" stopIfTrue="1" operator="lessThan">
      <formula>80</formula>
    </cfRule>
    <cfRule type="cellIs" dxfId="41" priority="183" operator="greaterThanOrEqual">
      <formula>95</formula>
    </cfRule>
    <cfRule type="containsBlanks" dxfId="40" priority="179">
      <formula>LEN(TRIM(R46))=0</formula>
    </cfRule>
  </conditionalFormatting>
  <conditionalFormatting sqref="R51:R53">
    <cfRule type="containsBlanks" dxfId="39" priority="174">
      <formula>LEN(TRIM(R51))=0</formula>
    </cfRule>
    <cfRule type="containsBlanks" dxfId="38" priority="175" stopIfTrue="1">
      <formula>LEN(TRIM(R51))=0</formula>
    </cfRule>
    <cfRule type="cellIs" dxfId="37" priority="176" stopIfTrue="1" operator="lessThan">
      <formula>80</formula>
    </cfRule>
    <cfRule type="cellIs" dxfId="36" priority="177" stopIfTrue="1" operator="lessThan">
      <formula>95</formula>
    </cfRule>
    <cfRule type="cellIs" dxfId="35" priority="178" operator="greaterThanOrEqual">
      <formula>95</formula>
    </cfRule>
  </conditionalFormatting>
  <conditionalFormatting sqref="R56:R62">
    <cfRule type="cellIs" dxfId="34" priority="171" stopIfTrue="1" operator="lessThan">
      <formula>80</formula>
    </cfRule>
    <cfRule type="cellIs" dxfId="33" priority="173" operator="greaterThanOrEqual">
      <formula>95</formula>
    </cfRule>
    <cfRule type="cellIs" dxfId="32" priority="172" stopIfTrue="1" operator="lessThan">
      <formula>95</formula>
    </cfRule>
    <cfRule type="containsBlanks" dxfId="31" priority="169">
      <formula>LEN(TRIM(R56))=0</formula>
    </cfRule>
    <cfRule type="containsBlanks" dxfId="30" priority="170" stopIfTrue="1">
      <formula>LEN(TRIM(R56))=0</formula>
    </cfRule>
  </conditionalFormatting>
  <conditionalFormatting sqref="R64:R67">
    <cfRule type="cellIs" dxfId="29" priority="168" operator="greaterThanOrEqual">
      <formula>95</formula>
    </cfRule>
    <cfRule type="containsBlanks" dxfId="28" priority="165" stopIfTrue="1">
      <formula>LEN(TRIM(R64))=0</formula>
    </cfRule>
    <cfRule type="containsBlanks" dxfId="27" priority="164">
      <formula>LEN(TRIM(R64))=0</formula>
    </cfRule>
    <cfRule type="cellIs" dxfId="26" priority="166" stopIfTrue="1" operator="lessThan">
      <formula>80</formula>
    </cfRule>
    <cfRule type="cellIs" dxfId="25" priority="167" stopIfTrue="1" operator="lessThan">
      <formula>95</formula>
    </cfRule>
  </conditionalFormatting>
  <conditionalFormatting sqref="R69:R72">
    <cfRule type="cellIs" dxfId="24" priority="163" operator="greaterThanOrEqual">
      <formula>95</formula>
    </cfRule>
    <cfRule type="cellIs" dxfId="23" priority="162" stopIfTrue="1" operator="lessThan">
      <formula>95</formula>
    </cfRule>
    <cfRule type="cellIs" dxfId="22" priority="161" stopIfTrue="1" operator="lessThan">
      <formula>80</formula>
    </cfRule>
    <cfRule type="containsBlanks" dxfId="21" priority="160" stopIfTrue="1">
      <formula>LEN(TRIM(R69))=0</formula>
    </cfRule>
    <cfRule type="containsBlanks" dxfId="20" priority="159">
      <formula>LEN(TRIM(R69))=0</formula>
    </cfRule>
  </conditionalFormatting>
  <conditionalFormatting sqref="R74:R77">
    <cfRule type="containsBlanks" dxfId="19" priority="155" stopIfTrue="1">
      <formula>LEN(TRIM(R74))=0</formula>
    </cfRule>
    <cfRule type="cellIs" dxfId="18" priority="158" operator="greaterThanOrEqual">
      <formula>95</formula>
    </cfRule>
    <cfRule type="cellIs" dxfId="17" priority="157" stopIfTrue="1" operator="lessThan">
      <formula>95</formula>
    </cfRule>
    <cfRule type="cellIs" dxfId="16" priority="156" stopIfTrue="1" operator="lessThan">
      <formula>80</formula>
    </cfRule>
    <cfRule type="containsBlanks" dxfId="15" priority="154">
      <formula>LEN(TRIM(R74))=0</formula>
    </cfRule>
  </conditionalFormatting>
  <conditionalFormatting sqref="R79:R83">
    <cfRule type="cellIs" dxfId="14" priority="15" stopIfTrue="1" operator="lessThan">
      <formula>80</formula>
    </cfRule>
    <cfRule type="cellIs" dxfId="13" priority="16" stopIfTrue="1" operator="lessThan">
      <formula>95</formula>
    </cfRule>
    <cfRule type="cellIs" dxfId="12" priority="17" operator="greaterThanOrEqual">
      <formula>95</formula>
    </cfRule>
    <cfRule type="containsBlanks" dxfId="11" priority="14" stopIfTrue="1">
      <formula>LEN(TRIM(R79))=0</formula>
    </cfRule>
    <cfRule type="containsBlanks" dxfId="10" priority="13">
      <formula>LEN(TRIM(R79))=0</formula>
    </cfRule>
  </conditionalFormatting>
  <conditionalFormatting sqref="R85:R86">
    <cfRule type="cellIs" dxfId="9" priority="148" operator="greaterThanOrEqual">
      <formula>95</formula>
    </cfRule>
    <cfRule type="cellIs" dxfId="8" priority="147" stopIfTrue="1" operator="lessThan">
      <formula>95</formula>
    </cfRule>
    <cfRule type="containsBlanks" dxfId="7" priority="145" stopIfTrue="1">
      <formula>LEN(TRIM(R85))=0</formula>
    </cfRule>
    <cfRule type="containsBlanks" dxfId="6" priority="144">
      <formula>LEN(TRIM(R85))=0</formula>
    </cfRule>
    <cfRule type="cellIs" dxfId="5" priority="146" stopIfTrue="1" operator="lessThan">
      <formula>80</formula>
    </cfRule>
  </conditionalFormatting>
  <conditionalFormatting sqref="R88:R98">
    <cfRule type="containsBlanks" dxfId="4" priority="139">
      <formula>LEN(TRIM(R88))=0</formula>
    </cfRule>
    <cfRule type="containsBlanks" dxfId="3" priority="140" stopIfTrue="1">
      <formula>LEN(TRIM(R88))=0</formula>
    </cfRule>
    <cfRule type="cellIs" dxfId="2" priority="143" operator="greaterThanOrEqual">
      <formula>95</formula>
    </cfRule>
    <cfRule type="cellIs" dxfId="1" priority="142" stopIfTrue="1" operator="lessThan">
      <formula>95</formula>
    </cfRule>
    <cfRule type="cellIs" dxfId="0" priority="141" stopIfTrue="1" operator="lessThan">
      <formula>80</formula>
    </cfRule>
  </conditionalFormatting>
  <dataValidations count="1">
    <dataValidation type="list" allowBlank="1" showInputMessage="1" showErrorMessage="1" sqref="P9:P12 P85:P86 P21:P26 P74:P77 P88:P93 P39:P42 P15:P19 P46:P49 P56:P62 P95:P98 P64:P67 P28:P37 P44 P69:P72 P79:P83 P51:P53" xr:uid="{08F960A0-0F54-4276-B5DD-51C16B7BEE1F}">
      <formula1>Nivel_madurez</formula1>
    </dataValidation>
  </dataValidations>
  <pageMargins left="0.7" right="0.7" top="0.75" bottom="0.75" header="0.3" footer="0.3"/>
  <pageSetup paperSize="9" scale="33"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9AD8-5465-4C96-A558-A3A228BA5844}">
  <sheetPr>
    <pageSetUpPr fitToPage="1"/>
  </sheetPr>
  <dimension ref="A1:Y1000"/>
  <sheetViews>
    <sheetView workbookViewId="0">
      <selection activeCell="J12" sqref="J12"/>
    </sheetView>
  </sheetViews>
  <sheetFormatPr defaultColWidth="14.33203125" defaultRowHeight="15" customHeight="1" x14ac:dyDescent="0.3"/>
  <cols>
    <col min="1" max="1" width="3.33203125" customWidth="1"/>
    <col min="2" max="2" width="9" customWidth="1"/>
    <col min="3" max="3" width="24.33203125" customWidth="1"/>
    <col min="4" max="4" width="9.33203125" customWidth="1"/>
    <col min="5" max="5" width="14.6640625" customWidth="1"/>
    <col min="6" max="6" width="11.33203125" customWidth="1"/>
    <col min="7" max="7" width="13.33203125" customWidth="1"/>
    <col min="8" max="13" width="9" customWidth="1"/>
    <col min="14" max="25" width="8.6640625" customWidth="1"/>
  </cols>
  <sheetData>
    <row r="1" spans="1:25" ht="31.95" customHeight="1" x14ac:dyDescent="0.3">
      <c r="A1" s="149"/>
      <c r="B1" s="261" t="s">
        <v>452</v>
      </c>
      <c r="C1" s="262"/>
      <c r="D1" s="262"/>
      <c r="E1" s="262"/>
      <c r="F1" s="262"/>
      <c r="G1" s="262"/>
      <c r="H1" s="262"/>
      <c r="I1" s="262"/>
      <c r="J1" s="262"/>
      <c r="K1" s="262"/>
      <c r="L1" s="262"/>
      <c r="M1" s="262"/>
      <c r="N1" s="149"/>
      <c r="O1" s="149"/>
      <c r="P1" s="149"/>
      <c r="Q1" s="149"/>
      <c r="R1" s="149"/>
      <c r="S1" s="149"/>
      <c r="T1" s="149"/>
      <c r="U1" s="149"/>
      <c r="V1" s="149"/>
      <c r="W1" s="149"/>
      <c r="X1" s="149"/>
      <c r="Y1" s="149"/>
    </row>
    <row r="2" spans="1:25" ht="25.95" customHeight="1" thickBot="1" x14ac:dyDescent="0.35">
      <c r="A2" s="149"/>
      <c r="B2" s="149"/>
      <c r="C2" s="149"/>
      <c r="D2" s="149"/>
      <c r="E2" s="149"/>
      <c r="F2" s="149"/>
      <c r="G2" s="149"/>
      <c r="H2" s="149"/>
      <c r="I2" s="149"/>
      <c r="J2" s="149"/>
      <c r="K2" s="149"/>
      <c r="L2" s="149"/>
      <c r="M2" s="149"/>
      <c r="N2" s="149"/>
      <c r="O2" s="149"/>
      <c r="P2" s="149"/>
      <c r="Q2" s="149"/>
      <c r="R2" s="149"/>
      <c r="S2" s="149"/>
      <c r="T2" s="149"/>
      <c r="U2" s="149"/>
      <c r="V2" s="149"/>
      <c r="W2" s="149"/>
      <c r="X2" s="149"/>
      <c r="Y2" s="149"/>
    </row>
    <row r="3" spans="1:25" ht="27" customHeight="1" thickTop="1" thickBot="1" x14ac:dyDescent="0.35">
      <c r="A3" s="149"/>
      <c r="B3" s="263" t="s">
        <v>453</v>
      </c>
      <c r="C3" s="264"/>
      <c r="D3" s="172" t="s">
        <v>454</v>
      </c>
      <c r="E3" s="265" t="s">
        <v>455</v>
      </c>
      <c r="F3" s="266"/>
      <c r="G3" s="266"/>
      <c r="H3" s="266"/>
      <c r="I3" s="266"/>
      <c r="J3" s="266"/>
      <c r="K3" s="266"/>
      <c r="L3" s="266"/>
      <c r="M3" s="267"/>
      <c r="N3" s="149"/>
      <c r="O3" s="149"/>
      <c r="P3" s="149"/>
      <c r="Q3" s="149"/>
      <c r="R3" s="149"/>
      <c r="S3" s="149"/>
      <c r="T3" s="149"/>
      <c r="U3" s="149"/>
      <c r="V3" s="149"/>
      <c r="W3" s="149"/>
      <c r="X3" s="149"/>
      <c r="Y3" s="149"/>
    </row>
    <row r="4" spans="1:25" ht="30.75" customHeight="1" thickTop="1" x14ac:dyDescent="0.3">
      <c r="A4" s="149"/>
      <c r="B4" s="268" t="s">
        <v>456</v>
      </c>
      <c r="C4" s="269"/>
      <c r="D4" s="150">
        <v>0</v>
      </c>
      <c r="E4" s="270" t="s">
        <v>457</v>
      </c>
      <c r="F4" s="271"/>
      <c r="G4" s="271"/>
      <c r="H4" s="271"/>
      <c r="I4" s="271"/>
      <c r="J4" s="271"/>
      <c r="K4" s="271"/>
      <c r="L4" s="271"/>
      <c r="M4" s="272"/>
      <c r="N4" s="149"/>
      <c r="O4" s="149"/>
      <c r="P4" s="149"/>
      <c r="Q4" s="149"/>
      <c r="R4" s="149"/>
      <c r="S4" s="149"/>
      <c r="T4" s="149"/>
      <c r="U4" s="149"/>
      <c r="V4" s="149"/>
      <c r="W4" s="149"/>
      <c r="X4" s="149"/>
      <c r="Y4" s="149"/>
    </row>
    <row r="5" spans="1:25" ht="72.75" customHeight="1" x14ac:dyDescent="0.3">
      <c r="A5" s="149"/>
      <c r="B5" s="256" t="s">
        <v>458</v>
      </c>
      <c r="C5" s="257"/>
      <c r="D5" s="151">
        <v>10</v>
      </c>
      <c r="E5" s="258" t="s">
        <v>459</v>
      </c>
      <c r="F5" s="259"/>
      <c r="G5" s="259"/>
      <c r="H5" s="259"/>
      <c r="I5" s="259"/>
      <c r="J5" s="259"/>
      <c r="K5" s="259"/>
      <c r="L5" s="259"/>
      <c r="M5" s="260"/>
      <c r="N5" s="149"/>
      <c r="O5" s="149"/>
      <c r="P5" s="149"/>
      <c r="Q5" s="149"/>
      <c r="R5" s="149"/>
      <c r="S5" s="149"/>
      <c r="T5" s="149"/>
      <c r="U5" s="149"/>
      <c r="V5" s="149"/>
      <c r="W5" s="149"/>
      <c r="X5" s="149"/>
      <c r="Y5" s="149"/>
    </row>
    <row r="6" spans="1:25" ht="65.25" customHeight="1" x14ac:dyDescent="0.3">
      <c r="A6" s="149"/>
      <c r="B6" s="256" t="s">
        <v>460</v>
      </c>
      <c r="C6" s="257"/>
      <c r="D6" s="151">
        <v>50</v>
      </c>
      <c r="E6" s="258" t="s">
        <v>461</v>
      </c>
      <c r="F6" s="259"/>
      <c r="G6" s="259"/>
      <c r="H6" s="259"/>
      <c r="I6" s="259"/>
      <c r="J6" s="259"/>
      <c r="K6" s="259"/>
      <c r="L6" s="259"/>
      <c r="M6" s="260"/>
      <c r="N6" s="149"/>
      <c r="O6" s="149"/>
      <c r="P6" s="149"/>
      <c r="Q6" s="149"/>
      <c r="R6" s="149"/>
      <c r="S6" s="149"/>
      <c r="T6" s="149"/>
      <c r="U6" s="149"/>
      <c r="V6" s="149"/>
      <c r="W6" s="149"/>
      <c r="X6" s="149"/>
      <c r="Y6" s="149"/>
    </row>
    <row r="7" spans="1:25" ht="120.15" customHeight="1" x14ac:dyDescent="0.3">
      <c r="A7" s="149"/>
      <c r="B7" s="256" t="s">
        <v>462</v>
      </c>
      <c r="C7" s="257"/>
      <c r="D7" s="151">
        <v>80</v>
      </c>
      <c r="E7" s="258" t="s">
        <v>463</v>
      </c>
      <c r="F7" s="259"/>
      <c r="G7" s="259"/>
      <c r="H7" s="259"/>
      <c r="I7" s="259"/>
      <c r="J7" s="259"/>
      <c r="K7" s="259"/>
      <c r="L7" s="259"/>
      <c r="M7" s="260"/>
      <c r="N7" s="149"/>
      <c r="O7" s="149"/>
      <c r="P7" s="149"/>
      <c r="Q7" s="149"/>
      <c r="R7" s="149"/>
      <c r="S7" s="149"/>
      <c r="T7" s="149"/>
      <c r="U7" s="149"/>
      <c r="V7" s="149"/>
      <c r="W7" s="149"/>
      <c r="X7" s="149"/>
      <c r="Y7" s="149"/>
    </row>
    <row r="8" spans="1:25" ht="70.5" customHeight="1" x14ac:dyDescent="0.3">
      <c r="A8" s="149"/>
      <c r="B8" s="256" t="s">
        <v>464</v>
      </c>
      <c r="C8" s="257"/>
      <c r="D8" s="151">
        <v>90</v>
      </c>
      <c r="E8" s="258" t="s">
        <v>465</v>
      </c>
      <c r="F8" s="259"/>
      <c r="G8" s="259"/>
      <c r="H8" s="259"/>
      <c r="I8" s="259"/>
      <c r="J8" s="259"/>
      <c r="K8" s="259"/>
      <c r="L8" s="259"/>
      <c r="M8" s="260"/>
      <c r="N8" s="149"/>
      <c r="O8" s="149"/>
      <c r="P8" s="149"/>
      <c r="Q8" s="149"/>
      <c r="R8" s="149"/>
      <c r="S8" s="149"/>
      <c r="T8" s="149"/>
      <c r="U8" s="149"/>
      <c r="V8" s="149"/>
      <c r="W8" s="149"/>
      <c r="X8" s="149"/>
      <c r="Y8" s="149"/>
    </row>
    <row r="9" spans="1:25" ht="76.650000000000006" customHeight="1" thickBot="1" x14ac:dyDescent="0.35">
      <c r="A9" s="149"/>
      <c r="B9" s="278" t="s">
        <v>466</v>
      </c>
      <c r="C9" s="279"/>
      <c r="D9" s="152">
        <v>100</v>
      </c>
      <c r="E9" s="280" t="s">
        <v>467</v>
      </c>
      <c r="F9" s="281"/>
      <c r="G9" s="281"/>
      <c r="H9" s="281"/>
      <c r="I9" s="281"/>
      <c r="J9" s="281"/>
      <c r="K9" s="281"/>
      <c r="L9" s="281"/>
      <c r="M9" s="282"/>
      <c r="N9" s="149"/>
      <c r="O9" s="149"/>
      <c r="P9" s="149"/>
      <c r="Q9" s="149"/>
      <c r="R9" s="149"/>
      <c r="S9" s="149"/>
      <c r="T9" s="149"/>
      <c r="U9" s="149"/>
      <c r="V9" s="149"/>
      <c r="W9" s="149"/>
      <c r="X9" s="149"/>
      <c r="Y9" s="149"/>
    </row>
    <row r="10" spans="1:25" ht="14.25" customHeight="1" thickTop="1" thickBot="1" x14ac:dyDescent="0.35">
      <c r="A10" s="149"/>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row>
    <row r="11" spans="1:25" ht="20.25" customHeight="1" thickTop="1" thickBot="1" x14ac:dyDescent="0.35">
      <c r="A11" s="153"/>
      <c r="B11" s="283" t="s">
        <v>34</v>
      </c>
      <c r="C11" s="284"/>
      <c r="D11" s="173" t="s">
        <v>468</v>
      </c>
      <c r="E11" s="285" t="s">
        <v>469</v>
      </c>
      <c r="F11" s="286"/>
      <c r="G11" s="287"/>
      <c r="H11" s="153"/>
      <c r="I11" s="153"/>
      <c r="J11" s="153"/>
      <c r="K11" s="153"/>
      <c r="L11" s="153"/>
      <c r="M11" s="153"/>
      <c r="N11" s="153"/>
      <c r="O11" s="153"/>
      <c r="P11" s="153"/>
      <c r="Q11" s="153"/>
      <c r="R11" s="153"/>
      <c r="S11" s="153"/>
      <c r="T11" s="153"/>
      <c r="U11" s="153"/>
      <c r="V11" s="153"/>
      <c r="W11" s="153"/>
      <c r="X11" s="153"/>
      <c r="Y11" s="153"/>
    </row>
    <row r="12" spans="1:25" ht="20.25" customHeight="1" thickTop="1" x14ac:dyDescent="0.3">
      <c r="A12" s="153"/>
      <c r="B12" s="288" t="s">
        <v>470</v>
      </c>
      <c r="C12" s="289"/>
      <c r="D12" s="155">
        <v>0.5</v>
      </c>
      <c r="E12" s="290" t="s">
        <v>471</v>
      </c>
      <c r="F12" s="291"/>
      <c r="G12" s="292"/>
      <c r="H12" s="153"/>
      <c r="I12" s="153"/>
      <c r="J12" s="153"/>
      <c r="K12" s="153"/>
      <c r="L12" s="153"/>
      <c r="M12" s="153"/>
      <c r="N12" s="153"/>
      <c r="O12" s="153"/>
      <c r="P12" s="153"/>
      <c r="Q12" s="153"/>
      <c r="R12" s="153"/>
      <c r="S12" s="153"/>
      <c r="T12" s="153"/>
      <c r="U12" s="153"/>
      <c r="V12" s="153"/>
      <c r="W12" s="153"/>
      <c r="X12" s="153"/>
      <c r="Y12" s="153"/>
    </row>
    <row r="13" spans="1:25" ht="20.25" customHeight="1" x14ac:dyDescent="0.3">
      <c r="A13" s="153"/>
      <c r="B13" s="256" t="s">
        <v>472</v>
      </c>
      <c r="C13" s="293"/>
      <c r="D13" s="181">
        <v>0.8</v>
      </c>
      <c r="E13" s="294" t="s">
        <v>473</v>
      </c>
      <c r="F13" s="295"/>
      <c r="G13" s="296"/>
      <c r="H13" s="153"/>
      <c r="I13" s="153"/>
      <c r="J13" s="153"/>
      <c r="K13" s="153"/>
      <c r="L13" s="153"/>
      <c r="M13" s="153"/>
      <c r="N13" s="153"/>
      <c r="O13" s="153"/>
      <c r="P13" s="153"/>
      <c r="Q13" s="153"/>
      <c r="R13" s="153"/>
      <c r="S13" s="153"/>
      <c r="T13" s="153"/>
      <c r="U13" s="153"/>
      <c r="V13" s="153"/>
      <c r="W13" s="153"/>
      <c r="X13" s="153"/>
      <c r="Y13" s="153"/>
    </row>
    <row r="14" spans="1:25" ht="20.25" customHeight="1" thickBot="1" x14ac:dyDescent="0.35">
      <c r="A14" s="153"/>
      <c r="B14" s="297" t="s">
        <v>474</v>
      </c>
      <c r="C14" s="279"/>
      <c r="D14" s="182">
        <v>0.9</v>
      </c>
      <c r="E14" s="298" t="s">
        <v>464</v>
      </c>
      <c r="F14" s="281"/>
      <c r="G14" s="282"/>
      <c r="H14" s="153"/>
      <c r="I14" s="153"/>
      <c r="J14" s="153"/>
      <c r="K14" s="153"/>
      <c r="L14" s="153"/>
      <c r="M14" s="153"/>
      <c r="N14" s="153"/>
      <c r="O14" s="153"/>
      <c r="P14" s="153"/>
      <c r="Q14" s="153"/>
      <c r="R14" s="153"/>
      <c r="S14" s="153"/>
      <c r="T14" s="153"/>
      <c r="U14" s="153"/>
      <c r="V14" s="153"/>
      <c r="W14" s="153"/>
      <c r="X14" s="153"/>
      <c r="Y14" s="153"/>
    </row>
    <row r="15" spans="1:25" ht="14.25" customHeight="1" thickTop="1" thickBot="1" x14ac:dyDescent="0.35">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row>
    <row r="16" spans="1:25" ht="20.25" customHeight="1" thickTop="1" thickBot="1" x14ac:dyDescent="0.35">
      <c r="A16" s="153"/>
      <c r="B16" s="283" t="s">
        <v>475</v>
      </c>
      <c r="C16" s="299"/>
      <c r="D16" s="299"/>
      <c r="E16" s="299"/>
      <c r="F16" s="299"/>
      <c r="G16" s="300"/>
      <c r="H16" s="153"/>
      <c r="I16" s="153"/>
      <c r="J16" s="153"/>
      <c r="K16" s="153"/>
      <c r="L16" s="153"/>
      <c r="M16" s="153"/>
      <c r="N16" s="153"/>
      <c r="O16" s="153"/>
      <c r="P16" s="153"/>
      <c r="Q16" s="153"/>
      <c r="R16" s="153"/>
      <c r="S16" s="153"/>
      <c r="T16" s="153"/>
      <c r="U16" s="153"/>
      <c r="V16" s="153"/>
      <c r="W16" s="153"/>
      <c r="X16" s="153"/>
      <c r="Y16" s="153"/>
    </row>
    <row r="17" spans="1:25" ht="20.25" customHeight="1" thickTop="1" thickBot="1" x14ac:dyDescent="0.35">
      <c r="A17" s="153"/>
      <c r="B17" s="273" t="s">
        <v>34</v>
      </c>
      <c r="C17" s="274"/>
      <c r="D17" s="154" t="s">
        <v>468</v>
      </c>
      <c r="E17" s="275" t="s">
        <v>476</v>
      </c>
      <c r="F17" s="276"/>
      <c r="G17" s="277"/>
      <c r="H17" s="153"/>
      <c r="I17" s="153"/>
      <c r="J17" s="153"/>
      <c r="K17" s="153"/>
      <c r="L17" s="153"/>
      <c r="M17" s="153"/>
      <c r="N17" s="153"/>
      <c r="O17" s="153"/>
      <c r="P17" s="153"/>
      <c r="Q17" s="153"/>
      <c r="R17" s="153"/>
      <c r="S17" s="153"/>
      <c r="T17" s="153"/>
      <c r="U17" s="153"/>
      <c r="V17" s="153"/>
      <c r="W17" s="153"/>
      <c r="X17" s="153"/>
      <c r="Y17" s="153"/>
    </row>
    <row r="18" spans="1:25" ht="20.25" customHeight="1" thickTop="1" x14ac:dyDescent="0.3">
      <c r="A18" s="153"/>
      <c r="B18" s="302" t="s">
        <v>470</v>
      </c>
      <c r="C18" s="269"/>
      <c r="D18" s="155" t="s">
        <v>477</v>
      </c>
      <c r="E18" s="290" t="s">
        <v>478</v>
      </c>
      <c r="F18" s="291"/>
      <c r="G18" s="292"/>
      <c r="H18" s="153"/>
      <c r="I18" s="153"/>
      <c r="J18" s="153"/>
      <c r="K18" s="153"/>
      <c r="L18" s="153"/>
      <c r="M18" s="153"/>
      <c r="N18" s="153"/>
      <c r="O18" s="153"/>
      <c r="P18" s="153"/>
      <c r="Q18" s="153"/>
      <c r="R18" s="153"/>
      <c r="S18" s="153"/>
      <c r="T18" s="153"/>
      <c r="U18" s="153"/>
      <c r="V18" s="153"/>
      <c r="W18" s="153"/>
      <c r="X18" s="153"/>
      <c r="Y18" s="153"/>
    </row>
    <row r="19" spans="1:25" ht="20.25" customHeight="1" x14ac:dyDescent="0.3">
      <c r="A19" s="153"/>
      <c r="B19" s="256" t="s">
        <v>472</v>
      </c>
      <c r="C19" s="293"/>
      <c r="D19" s="181" t="s">
        <v>477</v>
      </c>
      <c r="E19" s="294" t="s">
        <v>479</v>
      </c>
      <c r="F19" s="295"/>
      <c r="G19" s="296"/>
      <c r="H19" s="153"/>
      <c r="I19" s="153"/>
      <c r="J19" s="153"/>
      <c r="K19" s="153"/>
      <c r="L19" s="153"/>
      <c r="M19" s="153"/>
      <c r="N19" s="153"/>
      <c r="O19" s="153"/>
      <c r="P19" s="153"/>
      <c r="Q19" s="153"/>
      <c r="R19" s="153"/>
      <c r="S19" s="153"/>
      <c r="T19" s="153"/>
      <c r="U19" s="153"/>
      <c r="V19" s="153"/>
      <c r="W19" s="153"/>
      <c r="X19" s="153"/>
      <c r="Y19" s="153"/>
    </row>
    <row r="20" spans="1:25" ht="20.25" customHeight="1" thickBot="1" x14ac:dyDescent="0.35">
      <c r="A20" s="153"/>
      <c r="B20" s="297" t="s">
        <v>474</v>
      </c>
      <c r="C20" s="279"/>
      <c r="D20" s="182" t="s">
        <v>477</v>
      </c>
      <c r="E20" s="298" t="s">
        <v>480</v>
      </c>
      <c r="F20" s="281"/>
      <c r="G20" s="282"/>
      <c r="H20" s="153"/>
      <c r="I20" s="153"/>
      <c r="J20" s="153"/>
      <c r="K20" s="153"/>
      <c r="L20" s="153"/>
      <c r="M20" s="153"/>
      <c r="N20" s="153"/>
      <c r="O20" s="153"/>
      <c r="P20" s="153"/>
      <c r="Q20" s="153"/>
      <c r="R20" s="153"/>
      <c r="S20" s="153"/>
      <c r="T20" s="153"/>
      <c r="U20" s="153"/>
      <c r="V20" s="153"/>
      <c r="W20" s="153"/>
      <c r="X20" s="153"/>
      <c r="Y20" s="153"/>
    </row>
    <row r="21" spans="1:25" ht="14.25" customHeight="1" thickTop="1" x14ac:dyDescent="0.3">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row>
    <row r="22" spans="1:25" ht="49.65" customHeight="1" x14ac:dyDescent="0.3">
      <c r="A22" s="153"/>
      <c r="B22" s="301" t="s">
        <v>481</v>
      </c>
      <c r="C22" s="262"/>
      <c r="D22" s="262"/>
      <c r="E22" s="262"/>
      <c r="F22" s="262"/>
      <c r="G22" s="262"/>
      <c r="H22" s="262"/>
      <c r="I22" s="262"/>
      <c r="J22" s="262"/>
      <c r="K22" s="262"/>
      <c r="L22" s="262"/>
      <c r="M22" s="262"/>
      <c r="N22" s="153"/>
      <c r="O22" s="153"/>
      <c r="P22" s="153"/>
      <c r="Q22" s="153"/>
      <c r="R22" s="153"/>
      <c r="S22" s="153"/>
      <c r="T22" s="153"/>
      <c r="U22" s="153"/>
      <c r="V22" s="153"/>
      <c r="W22" s="153"/>
      <c r="X22" s="153"/>
      <c r="Y22" s="153"/>
    </row>
    <row r="23" spans="1:25" ht="14.25" customHeight="1" x14ac:dyDescent="0.3">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row>
    <row r="24" spans="1:25" ht="14.25" customHeight="1" x14ac:dyDescent="0.3">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row>
    <row r="25" spans="1:25" ht="14.25" customHeight="1" x14ac:dyDescent="0.3">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row>
    <row r="26" spans="1:25" ht="14.25" customHeight="1" x14ac:dyDescent="0.3">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row>
    <row r="27" spans="1:25" ht="14.25" customHeight="1" x14ac:dyDescent="0.3">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row>
    <row r="28" spans="1:25" ht="14.25" customHeight="1" x14ac:dyDescent="0.3">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row>
    <row r="29" spans="1:25" ht="14.25" customHeight="1" x14ac:dyDescent="0.3">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row>
    <row r="30" spans="1:25" ht="14.25" customHeight="1" x14ac:dyDescent="0.3">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row>
    <row r="31" spans="1:25" ht="14.25" customHeight="1" x14ac:dyDescent="0.3">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row>
    <row r="32" spans="1:25" ht="14.25" customHeight="1" x14ac:dyDescent="0.3">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row>
    <row r="33" spans="1:25" ht="14.25" customHeight="1" x14ac:dyDescent="0.3">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row>
    <row r="34" spans="1:25" ht="14.25" customHeight="1" x14ac:dyDescent="0.3">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row>
    <row r="35" spans="1:25" ht="14.25" customHeight="1" x14ac:dyDescent="0.3">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row>
    <row r="36" spans="1:25" ht="14.25" customHeight="1" x14ac:dyDescent="0.3">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row>
    <row r="37" spans="1:25" ht="14.25" customHeight="1" x14ac:dyDescent="0.3">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row>
    <row r="38" spans="1:25" ht="14.25" customHeight="1" x14ac:dyDescent="0.3">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row>
    <row r="39" spans="1:25" ht="14.25" customHeight="1" x14ac:dyDescent="0.3">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row>
    <row r="40" spans="1:25" ht="14.25" customHeight="1" x14ac:dyDescent="0.3">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row>
    <row r="41" spans="1:25" ht="14.25" customHeight="1" x14ac:dyDescent="0.3">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row>
    <row r="42" spans="1:25" ht="14.25" customHeight="1" x14ac:dyDescent="0.3">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row>
    <row r="43" spans="1:25" ht="14.25" customHeight="1" x14ac:dyDescent="0.3">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row>
    <row r="44" spans="1:25" ht="14.25" customHeight="1" x14ac:dyDescent="0.3">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row>
    <row r="45" spans="1:25" ht="14.25" customHeight="1" x14ac:dyDescent="0.3">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row>
    <row r="46" spans="1:25" ht="14.25" customHeight="1" x14ac:dyDescent="0.3">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row>
    <row r="47" spans="1:25" ht="14.25" customHeight="1" x14ac:dyDescent="0.3">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row>
    <row r="48" spans="1:25" ht="14.25" customHeight="1" x14ac:dyDescent="0.3">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row>
    <row r="49" spans="1:25" ht="14.25" customHeight="1" x14ac:dyDescent="0.3">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row>
    <row r="50" spans="1:25" ht="14.25" customHeight="1" x14ac:dyDescent="0.3">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row>
    <row r="51" spans="1:25" ht="14.25" customHeight="1" x14ac:dyDescent="0.3">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row>
    <row r="52" spans="1:25" ht="14.25" customHeight="1" x14ac:dyDescent="0.3">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row>
    <row r="53" spans="1:25" ht="14.25" customHeight="1" x14ac:dyDescent="0.3">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row>
    <row r="54" spans="1:25" ht="14.25" customHeight="1" x14ac:dyDescent="0.3">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row>
    <row r="55" spans="1:25" ht="14.25" customHeight="1" x14ac:dyDescent="0.3">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row>
    <row r="56" spans="1:25" ht="14.25" customHeight="1" x14ac:dyDescent="0.3">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row>
    <row r="57" spans="1:25" ht="14.25" customHeight="1" x14ac:dyDescent="0.3">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row>
    <row r="58" spans="1:25" ht="14.25" customHeight="1" x14ac:dyDescent="0.3">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row>
    <row r="59" spans="1:25" ht="14.25" customHeight="1" x14ac:dyDescent="0.3">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row>
    <row r="60" spans="1:25" ht="14.25" customHeight="1" x14ac:dyDescent="0.3">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row>
    <row r="61" spans="1:25" ht="14.25" customHeight="1" x14ac:dyDescent="0.3">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row>
    <row r="62" spans="1:25" ht="14.25" customHeight="1" x14ac:dyDescent="0.3">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row>
    <row r="63" spans="1:25" ht="14.25" customHeight="1" x14ac:dyDescent="0.3">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row>
    <row r="64" spans="1:25" ht="14.25" customHeight="1" x14ac:dyDescent="0.3">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row>
    <row r="65" spans="1:25" ht="14.25" customHeight="1" x14ac:dyDescent="0.3">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row>
    <row r="66" spans="1:25" ht="14.25" customHeight="1" x14ac:dyDescent="0.3">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row>
    <row r="67" spans="1:25" ht="14.25" customHeight="1" x14ac:dyDescent="0.3">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row>
    <row r="68" spans="1:25" ht="14.25" customHeight="1" x14ac:dyDescent="0.3">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row>
    <row r="69" spans="1:25" ht="14.25" customHeight="1" x14ac:dyDescent="0.3">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row>
    <row r="70" spans="1:25" ht="14.25" customHeight="1" x14ac:dyDescent="0.3">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row>
    <row r="71" spans="1:25" ht="14.25" customHeight="1" x14ac:dyDescent="0.3">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row>
    <row r="72" spans="1:25" ht="14.25" customHeight="1" x14ac:dyDescent="0.3">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row>
    <row r="73" spans="1:25" ht="14.25" customHeight="1" x14ac:dyDescent="0.3">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row>
    <row r="74" spans="1:25" ht="14.25" customHeight="1" x14ac:dyDescent="0.3">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row>
    <row r="75" spans="1:25" ht="14.25" customHeight="1" x14ac:dyDescent="0.3">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row>
    <row r="76" spans="1:25" ht="14.25" customHeight="1" x14ac:dyDescent="0.3">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row>
    <row r="77" spans="1:25" ht="14.25" customHeight="1" x14ac:dyDescent="0.3">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row>
    <row r="78" spans="1:25" ht="14.25" customHeight="1" x14ac:dyDescent="0.3">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row>
    <row r="79" spans="1:25" ht="14.25" customHeight="1" x14ac:dyDescent="0.3">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row>
    <row r="80" spans="1:25" ht="14.25" customHeight="1" x14ac:dyDescent="0.3">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row>
    <row r="81" spans="1:25" ht="14.25" customHeight="1" x14ac:dyDescent="0.3">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row>
    <row r="82" spans="1:25" ht="14.25" customHeight="1" x14ac:dyDescent="0.3">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row>
    <row r="83" spans="1:25" ht="14.25" customHeight="1" x14ac:dyDescent="0.3">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row>
    <row r="84" spans="1:25" ht="14.25" customHeight="1" x14ac:dyDescent="0.3">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row>
    <row r="85" spans="1:25" ht="14.25" customHeight="1" x14ac:dyDescent="0.3">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row>
    <row r="86" spans="1:25" ht="14.25" customHeight="1" x14ac:dyDescent="0.3">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row>
    <row r="87" spans="1:25" ht="14.25" customHeight="1" x14ac:dyDescent="0.3">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row>
    <row r="88" spans="1:25" ht="14.25" customHeight="1" x14ac:dyDescent="0.3">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row>
    <row r="89" spans="1:25" ht="14.25" customHeight="1" x14ac:dyDescent="0.3">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row>
    <row r="90" spans="1:25" ht="14.25" customHeight="1" x14ac:dyDescent="0.3">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row>
    <row r="91" spans="1:25" ht="14.25" customHeight="1" x14ac:dyDescent="0.3">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row>
    <row r="92" spans="1:25" ht="14.25" customHeight="1" x14ac:dyDescent="0.3">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row>
    <row r="93" spans="1:25" ht="14.25" customHeight="1" x14ac:dyDescent="0.3">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row>
    <row r="94" spans="1:25" ht="14.25" customHeight="1" x14ac:dyDescent="0.3">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row>
    <row r="95" spans="1:25" ht="14.25" customHeight="1" x14ac:dyDescent="0.3">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row>
    <row r="96" spans="1:25" ht="14.25" customHeight="1" x14ac:dyDescent="0.3">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row>
    <row r="97" spans="1:25" ht="14.25" customHeight="1" x14ac:dyDescent="0.3">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row>
    <row r="98" spans="1:25" ht="14.25" customHeight="1" x14ac:dyDescent="0.3">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row>
    <row r="99" spans="1:25" ht="14.25" customHeight="1" x14ac:dyDescent="0.3">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row>
    <row r="100" spans="1:25" ht="14.25" customHeight="1" x14ac:dyDescent="0.3">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row>
    <row r="101" spans="1:25" ht="14.25" customHeight="1" x14ac:dyDescent="0.3">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row>
    <row r="102" spans="1:25" ht="14.25" customHeight="1" x14ac:dyDescent="0.3">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row>
    <row r="103" spans="1:25" ht="14.25" customHeight="1" x14ac:dyDescent="0.3">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row>
    <row r="104" spans="1:25" ht="14.25" customHeight="1" x14ac:dyDescent="0.3">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row>
    <row r="105" spans="1:25" ht="14.25" customHeight="1" x14ac:dyDescent="0.3">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row>
    <row r="106" spans="1:25" ht="14.25" customHeight="1" x14ac:dyDescent="0.3">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row>
    <row r="107" spans="1:25" ht="14.25" customHeight="1" x14ac:dyDescent="0.3">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row>
    <row r="108" spans="1:25" ht="14.25" customHeight="1" x14ac:dyDescent="0.3">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row>
    <row r="109" spans="1:25" ht="14.25" customHeight="1" x14ac:dyDescent="0.3">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row>
    <row r="110" spans="1:25" ht="14.25" customHeight="1" x14ac:dyDescent="0.3">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row>
    <row r="111" spans="1:25" ht="14.25" customHeight="1" x14ac:dyDescent="0.3">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row>
    <row r="112" spans="1:25" ht="14.25" customHeight="1" x14ac:dyDescent="0.3">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row>
    <row r="113" spans="1:25" ht="14.25" customHeight="1" x14ac:dyDescent="0.3">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row>
    <row r="114" spans="1:25" ht="14.25" customHeight="1" x14ac:dyDescent="0.3">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row>
    <row r="115" spans="1:25" ht="14.25" customHeight="1" x14ac:dyDescent="0.3">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row>
    <row r="116" spans="1:25" ht="14.25" customHeight="1" x14ac:dyDescent="0.3">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row>
    <row r="117" spans="1:25" ht="14.25" customHeight="1" x14ac:dyDescent="0.3">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row>
    <row r="118" spans="1:25" ht="14.25" customHeight="1" x14ac:dyDescent="0.3">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row>
    <row r="119" spans="1:25" ht="14.25" customHeight="1" x14ac:dyDescent="0.3">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row>
    <row r="120" spans="1:25" ht="14.25" customHeight="1" x14ac:dyDescent="0.3">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row>
    <row r="121" spans="1:25" ht="14.25" customHeight="1" x14ac:dyDescent="0.3">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row>
    <row r="122" spans="1:25" ht="14.25" customHeight="1" x14ac:dyDescent="0.3">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row>
    <row r="123" spans="1:25" ht="14.25" customHeight="1" x14ac:dyDescent="0.3">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row>
    <row r="124" spans="1:25" ht="14.25" customHeight="1" x14ac:dyDescent="0.3">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row>
    <row r="125" spans="1:25" ht="14.25" customHeight="1" x14ac:dyDescent="0.3">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row>
    <row r="126" spans="1:25" ht="14.25" customHeight="1" x14ac:dyDescent="0.3">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row>
    <row r="127" spans="1:25" ht="14.25" customHeight="1" x14ac:dyDescent="0.3">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row>
    <row r="128" spans="1:25" ht="14.25" customHeight="1" x14ac:dyDescent="0.3">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row>
    <row r="129" spans="1:25" ht="14.25" customHeight="1" x14ac:dyDescent="0.3">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row>
    <row r="130" spans="1:25" ht="14.25" customHeight="1" x14ac:dyDescent="0.3">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row>
    <row r="131" spans="1:25" ht="14.25" customHeight="1" x14ac:dyDescent="0.3">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row>
    <row r="132" spans="1:25" ht="14.25" customHeight="1" x14ac:dyDescent="0.3">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row>
    <row r="133" spans="1:25" ht="14.25" customHeight="1" x14ac:dyDescent="0.3">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row>
    <row r="134" spans="1:25" ht="14.25" customHeight="1" x14ac:dyDescent="0.3">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row>
    <row r="135" spans="1:25" ht="14.25" customHeight="1" x14ac:dyDescent="0.3">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row>
    <row r="136" spans="1:25" ht="14.25" customHeight="1" x14ac:dyDescent="0.3">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row>
    <row r="137" spans="1:25" ht="14.25" customHeight="1" x14ac:dyDescent="0.3">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row>
    <row r="138" spans="1:25" ht="14.25" customHeight="1" x14ac:dyDescent="0.3">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row>
    <row r="139" spans="1:25" ht="14.25" customHeight="1" x14ac:dyDescent="0.3">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row>
    <row r="140" spans="1:25" ht="14.25" customHeight="1" x14ac:dyDescent="0.3">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row>
    <row r="141" spans="1:25" ht="14.25" customHeight="1" x14ac:dyDescent="0.3">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row>
    <row r="142" spans="1:25" ht="14.25" customHeight="1" x14ac:dyDescent="0.3">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row>
    <row r="143" spans="1:25" ht="14.25" customHeight="1" x14ac:dyDescent="0.3">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row>
    <row r="144" spans="1:25" ht="14.25" customHeight="1" x14ac:dyDescent="0.3">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row>
    <row r="145" spans="1:25" ht="14.25" customHeight="1" x14ac:dyDescent="0.3">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row>
    <row r="146" spans="1:25" ht="14.25" customHeight="1" x14ac:dyDescent="0.3">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row>
    <row r="147" spans="1:25" ht="14.25" customHeight="1" x14ac:dyDescent="0.3">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row>
    <row r="148" spans="1:25" ht="14.25" customHeight="1" x14ac:dyDescent="0.3">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row>
    <row r="149" spans="1:25" ht="14.25" customHeight="1" x14ac:dyDescent="0.3">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row>
    <row r="150" spans="1:25" ht="14.25" customHeight="1" x14ac:dyDescent="0.3">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row>
    <row r="151" spans="1:25" ht="14.25" customHeight="1" x14ac:dyDescent="0.3">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row>
    <row r="152" spans="1:25" ht="14.25" customHeight="1" x14ac:dyDescent="0.3">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row>
    <row r="153" spans="1:25" ht="14.25" customHeight="1" x14ac:dyDescent="0.3">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row>
    <row r="154" spans="1:25" ht="14.25" customHeight="1" x14ac:dyDescent="0.3">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row>
    <row r="155" spans="1:25" ht="14.25" customHeight="1" x14ac:dyDescent="0.3">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row>
    <row r="156" spans="1:25" ht="14.25" customHeight="1" x14ac:dyDescent="0.3">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row>
    <row r="157" spans="1:25" ht="14.25" customHeight="1" x14ac:dyDescent="0.3">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row>
    <row r="158" spans="1:25" ht="14.25" customHeight="1" x14ac:dyDescent="0.3">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row>
    <row r="159" spans="1:25" ht="14.25" customHeight="1" x14ac:dyDescent="0.3">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row>
    <row r="160" spans="1:25" ht="14.25" customHeight="1" x14ac:dyDescent="0.3">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row>
    <row r="161" spans="1:25" ht="14.25" customHeight="1" x14ac:dyDescent="0.3">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row>
    <row r="162" spans="1:25" ht="14.25" customHeight="1" x14ac:dyDescent="0.3">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row>
    <row r="163" spans="1:25" ht="14.25" customHeight="1" x14ac:dyDescent="0.3">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row>
    <row r="164" spans="1:25" ht="14.25" customHeight="1" x14ac:dyDescent="0.3">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row>
    <row r="165" spans="1:25" ht="14.25" customHeight="1" x14ac:dyDescent="0.3">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row>
    <row r="166" spans="1:25" ht="14.25" customHeight="1" x14ac:dyDescent="0.3">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row>
    <row r="167" spans="1:25" ht="14.25" customHeight="1" x14ac:dyDescent="0.3">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row>
    <row r="168" spans="1:25" ht="14.25" customHeight="1" x14ac:dyDescent="0.3">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row>
    <row r="169" spans="1:25" ht="14.25" customHeight="1" x14ac:dyDescent="0.3">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row>
    <row r="170" spans="1:25" ht="14.25" customHeight="1" x14ac:dyDescent="0.3">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row>
    <row r="171" spans="1:25" ht="14.25" customHeight="1" x14ac:dyDescent="0.3">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row>
    <row r="172" spans="1:25" ht="14.25" customHeight="1" x14ac:dyDescent="0.3">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row>
    <row r="173" spans="1:25" ht="14.25" customHeight="1" x14ac:dyDescent="0.3">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row>
    <row r="174" spans="1:25" ht="14.25" customHeight="1" x14ac:dyDescent="0.3">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row>
    <row r="175" spans="1:25" ht="14.25" customHeight="1" x14ac:dyDescent="0.3">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row>
    <row r="176" spans="1:25" ht="14.25" customHeight="1" x14ac:dyDescent="0.3">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row>
    <row r="177" spans="1:25" ht="14.25" customHeight="1" x14ac:dyDescent="0.3">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row>
    <row r="178" spans="1:25" ht="14.25" customHeight="1" x14ac:dyDescent="0.3">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row>
    <row r="179" spans="1:25" ht="14.25" customHeight="1" x14ac:dyDescent="0.3">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row>
    <row r="180" spans="1:25" ht="14.25" customHeight="1" x14ac:dyDescent="0.3">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row>
    <row r="181" spans="1:25" ht="14.25" customHeight="1" x14ac:dyDescent="0.3">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row>
    <row r="182" spans="1:25" ht="14.25" customHeight="1" x14ac:dyDescent="0.3">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row>
    <row r="183" spans="1:25" ht="14.25" customHeight="1" x14ac:dyDescent="0.3">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row>
    <row r="184" spans="1:25" ht="14.25" customHeight="1" x14ac:dyDescent="0.3">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row>
    <row r="185" spans="1:25" ht="14.25" customHeight="1" x14ac:dyDescent="0.3">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row>
    <row r="186" spans="1:25" ht="14.25" customHeight="1" x14ac:dyDescent="0.3">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row>
    <row r="187" spans="1:25" ht="14.25" customHeight="1" x14ac:dyDescent="0.3">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row>
    <row r="188" spans="1:25" ht="14.25" customHeight="1" x14ac:dyDescent="0.3">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row>
    <row r="189" spans="1:25" ht="14.25" customHeight="1" x14ac:dyDescent="0.3">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row>
    <row r="190" spans="1:25" ht="14.25" customHeight="1" x14ac:dyDescent="0.3">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row>
    <row r="191" spans="1:25" ht="14.25" customHeight="1" x14ac:dyDescent="0.3">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row>
    <row r="192" spans="1:25" ht="14.25" customHeight="1" x14ac:dyDescent="0.3">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row>
    <row r="193" spans="1:25" ht="14.25" customHeight="1" x14ac:dyDescent="0.3">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row>
    <row r="194" spans="1:25" ht="14.25" customHeight="1" x14ac:dyDescent="0.3">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row>
    <row r="195" spans="1:25" ht="14.25" customHeight="1" x14ac:dyDescent="0.3">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row>
    <row r="196" spans="1:25" ht="14.25" customHeight="1" x14ac:dyDescent="0.3">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row>
    <row r="197" spans="1:25" ht="14.25" customHeight="1" x14ac:dyDescent="0.3">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row>
    <row r="198" spans="1:25" ht="14.25" customHeight="1" x14ac:dyDescent="0.3">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row>
    <row r="199" spans="1:25" ht="14.25" customHeight="1" x14ac:dyDescent="0.3">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row>
    <row r="200" spans="1:25" ht="14.25" customHeight="1" x14ac:dyDescent="0.3">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row>
    <row r="201" spans="1:25" ht="14.25" customHeight="1" x14ac:dyDescent="0.3">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row>
    <row r="202" spans="1:25" ht="14.25" customHeight="1" x14ac:dyDescent="0.3">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row>
    <row r="203" spans="1:25" ht="14.25" customHeight="1" x14ac:dyDescent="0.3">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row>
    <row r="204" spans="1:25" ht="14.25" customHeight="1" x14ac:dyDescent="0.3">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row>
    <row r="205" spans="1:25" ht="14.25" customHeight="1" x14ac:dyDescent="0.3">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row>
    <row r="206" spans="1:25" ht="14.25" customHeight="1" x14ac:dyDescent="0.3">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row>
    <row r="207" spans="1:25" ht="14.25" customHeight="1" x14ac:dyDescent="0.3">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row>
    <row r="208" spans="1:25" ht="14.25" customHeight="1" x14ac:dyDescent="0.3">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row>
    <row r="209" spans="1:25" ht="14.25" customHeight="1" x14ac:dyDescent="0.3">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row>
    <row r="210" spans="1:25" ht="14.25" customHeight="1" x14ac:dyDescent="0.3">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row>
    <row r="211" spans="1:25" ht="14.25" customHeight="1" x14ac:dyDescent="0.3">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row>
    <row r="212" spans="1:25" ht="14.25" customHeight="1" x14ac:dyDescent="0.3">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row>
    <row r="213" spans="1:25" ht="14.25" customHeight="1" x14ac:dyDescent="0.3">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row>
    <row r="214" spans="1:25" ht="14.25" customHeight="1" x14ac:dyDescent="0.3">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row>
    <row r="215" spans="1:25" ht="14.25" customHeight="1" x14ac:dyDescent="0.3">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row>
    <row r="216" spans="1:25" ht="14.25" customHeight="1" x14ac:dyDescent="0.3">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row>
    <row r="217" spans="1:25" ht="14.25" customHeight="1" x14ac:dyDescent="0.3">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row>
    <row r="218" spans="1:25" ht="14.25" customHeight="1" x14ac:dyDescent="0.3">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row>
    <row r="219" spans="1:25" ht="14.25" customHeight="1" x14ac:dyDescent="0.3">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row>
    <row r="220" spans="1:25" ht="14.25" customHeight="1" x14ac:dyDescent="0.3">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row>
    <row r="221" spans="1:25" ht="14.25" customHeight="1" x14ac:dyDescent="0.3">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row>
    <row r="222" spans="1:25" ht="14.25" customHeight="1" x14ac:dyDescent="0.3">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row>
    <row r="223" spans="1:25" ht="14.25" customHeight="1" x14ac:dyDescent="0.3">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row>
    <row r="224" spans="1:25" ht="14.25" customHeight="1" x14ac:dyDescent="0.3">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row>
    <row r="225" spans="1:25" ht="14.25" customHeight="1" x14ac:dyDescent="0.3">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row>
    <row r="226" spans="1:25" ht="14.25" customHeight="1" x14ac:dyDescent="0.3">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row>
    <row r="227" spans="1:25" ht="14.25" customHeight="1" x14ac:dyDescent="0.3">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row>
    <row r="228" spans="1:25" ht="14.25" customHeight="1" x14ac:dyDescent="0.3">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row>
    <row r="229" spans="1:25" ht="14.25" customHeight="1" x14ac:dyDescent="0.3">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row>
    <row r="230" spans="1:25" ht="14.25" customHeight="1" x14ac:dyDescent="0.3">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row>
    <row r="231" spans="1:25" ht="14.25" customHeight="1" x14ac:dyDescent="0.3">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row>
    <row r="232" spans="1:25" ht="14.25" customHeight="1" x14ac:dyDescent="0.3">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row>
    <row r="233" spans="1:25" ht="14.25" customHeight="1" x14ac:dyDescent="0.3">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row>
    <row r="234" spans="1:25" ht="14.25" customHeight="1" x14ac:dyDescent="0.3">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row>
    <row r="235" spans="1:25" ht="14.25" customHeight="1" x14ac:dyDescent="0.3">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row>
    <row r="236" spans="1:25" ht="14.25" customHeight="1" x14ac:dyDescent="0.3">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row>
    <row r="237" spans="1:25" ht="14.25" customHeight="1" x14ac:dyDescent="0.3">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row>
    <row r="238" spans="1:25" ht="14.25" customHeight="1" x14ac:dyDescent="0.3">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row>
    <row r="239" spans="1:25" ht="14.25" customHeight="1" x14ac:dyDescent="0.3">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row>
    <row r="240" spans="1:25" ht="14.25" customHeight="1" x14ac:dyDescent="0.3">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row>
    <row r="241" spans="1:25" ht="14.25" customHeight="1" x14ac:dyDescent="0.3">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row>
    <row r="242" spans="1:25" ht="14.25" customHeight="1" x14ac:dyDescent="0.3">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row>
    <row r="243" spans="1:25" ht="14.25" customHeight="1" x14ac:dyDescent="0.3">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row>
    <row r="244" spans="1:25" ht="14.25" customHeight="1" x14ac:dyDescent="0.3">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row>
    <row r="245" spans="1:25" ht="14.25" customHeight="1" x14ac:dyDescent="0.3">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row>
    <row r="246" spans="1:25" ht="14.25" customHeight="1" x14ac:dyDescent="0.3">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row>
    <row r="247" spans="1:25" ht="14.25" customHeight="1" x14ac:dyDescent="0.3">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row>
    <row r="248" spans="1:25" ht="14.25" customHeight="1" x14ac:dyDescent="0.3">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row>
    <row r="249" spans="1:25" ht="14.25" customHeight="1" x14ac:dyDescent="0.3">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row>
    <row r="250" spans="1:25" ht="14.25" customHeight="1" x14ac:dyDescent="0.3">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row>
    <row r="251" spans="1:25" ht="14.25" customHeight="1" x14ac:dyDescent="0.3">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row>
    <row r="252" spans="1:25" ht="14.25" customHeight="1" x14ac:dyDescent="0.3">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row>
    <row r="253" spans="1:25" ht="14.25" customHeight="1" x14ac:dyDescent="0.3">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row>
    <row r="254" spans="1:25" ht="14.25" customHeight="1" x14ac:dyDescent="0.3">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row>
    <row r="255" spans="1:25" ht="14.25" customHeight="1" x14ac:dyDescent="0.3">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row>
    <row r="256" spans="1:25" ht="14.25" customHeight="1" x14ac:dyDescent="0.3">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row>
    <row r="257" spans="1:25" ht="14.25" customHeight="1" x14ac:dyDescent="0.3">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row>
    <row r="258" spans="1:25" ht="14.25" customHeight="1" x14ac:dyDescent="0.3">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row>
    <row r="259" spans="1:25" ht="14.25" customHeight="1" x14ac:dyDescent="0.3">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row>
    <row r="260" spans="1:25" ht="14.25" customHeight="1" x14ac:dyDescent="0.3">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row>
    <row r="261" spans="1:25" ht="14.25" customHeight="1" x14ac:dyDescent="0.3">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row>
    <row r="262" spans="1:25" ht="14.25" customHeight="1" x14ac:dyDescent="0.3">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row>
    <row r="263" spans="1:25" ht="14.25" customHeight="1" x14ac:dyDescent="0.3">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row>
    <row r="264" spans="1:25" ht="14.25" customHeight="1" x14ac:dyDescent="0.3">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row>
    <row r="265" spans="1:25" ht="14.25" customHeight="1" x14ac:dyDescent="0.3">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row>
    <row r="266" spans="1:25" ht="14.25" customHeight="1" x14ac:dyDescent="0.3">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row>
    <row r="267" spans="1:25" ht="14.25" customHeight="1" x14ac:dyDescent="0.3">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row>
    <row r="268" spans="1:25" ht="14.25" customHeight="1" x14ac:dyDescent="0.3">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row>
    <row r="269" spans="1:25" ht="14.25" customHeight="1" x14ac:dyDescent="0.3">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row>
    <row r="270" spans="1:25" ht="14.25" customHeight="1" x14ac:dyDescent="0.3">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row>
    <row r="271" spans="1:25" ht="14.25" customHeight="1" x14ac:dyDescent="0.3">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row>
    <row r="272" spans="1:25" ht="14.25" customHeight="1" x14ac:dyDescent="0.3">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row>
    <row r="273" spans="1:25" ht="14.25" customHeight="1" x14ac:dyDescent="0.3">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row>
    <row r="274" spans="1:25" ht="14.25" customHeight="1" x14ac:dyDescent="0.3">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row>
    <row r="275" spans="1:25" ht="14.25" customHeight="1" x14ac:dyDescent="0.3">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row>
    <row r="276" spans="1:25" ht="14.25" customHeight="1" x14ac:dyDescent="0.3">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row>
    <row r="277" spans="1:25" ht="14.25" customHeight="1" x14ac:dyDescent="0.3">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row>
    <row r="278" spans="1:25" ht="14.25" customHeight="1" x14ac:dyDescent="0.3">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row>
    <row r="279" spans="1:25" ht="14.25" customHeight="1" x14ac:dyDescent="0.3">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row>
    <row r="280" spans="1:25" ht="14.25" customHeight="1" x14ac:dyDescent="0.3">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row>
    <row r="281" spans="1:25" ht="14.25" customHeight="1" x14ac:dyDescent="0.3">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row>
    <row r="282" spans="1:25" ht="14.25" customHeight="1" x14ac:dyDescent="0.3">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row>
    <row r="283" spans="1:25" ht="14.25" customHeight="1" x14ac:dyDescent="0.3">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row>
    <row r="284" spans="1:25" ht="14.25" customHeight="1" x14ac:dyDescent="0.3">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row>
    <row r="285" spans="1:25" ht="14.25" customHeight="1" x14ac:dyDescent="0.3">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row>
    <row r="286" spans="1:25" ht="14.25" customHeight="1" x14ac:dyDescent="0.3">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row>
    <row r="287" spans="1:25" ht="14.25" customHeight="1" x14ac:dyDescent="0.3">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row>
    <row r="288" spans="1:25" ht="14.25" customHeight="1" x14ac:dyDescent="0.3">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row>
    <row r="289" spans="1:25" ht="14.25" customHeight="1" x14ac:dyDescent="0.3">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row>
    <row r="290" spans="1:25" ht="14.25" customHeight="1" x14ac:dyDescent="0.3">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row>
    <row r="291" spans="1:25" ht="14.25" customHeight="1" x14ac:dyDescent="0.3">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row>
    <row r="292" spans="1:25" ht="14.25" customHeight="1" x14ac:dyDescent="0.3">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row>
    <row r="293" spans="1:25" ht="14.25" customHeight="1" x14ac:dyDescent="0.3">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row>
    <row r="294" spans="1:25" ht="14.25" customHeight="1" x14ac:dyDescent="0.3">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row>
    <row r="295" spans="1:25" ht="14.25" customHeight="1" x14ac:dyDescent="0.3">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row>
    <row r="296" spans="1:25" ht="14.25" customHeight="1" x14ac:dyDescent="0.3">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row>
    <row r="297" spans="1:25" ht="14.25" customHeight="1" x14ac:dyDescent="0.3">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row>
    <row r="298" spans="1:25" ht="14.25" customHeight="1" x14ac:dyDescent="0.3">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row>
    <row r="299" spans="1:25" ht="14.25" customHeight="1" x14ac:dyDescent="0.3">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row>
    <row r="300" spans="1:25" ht="14.25" customHeight="1" x14ac:dyDescent="0.3">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row>
    <row r="301" spans="1:25" ht="14.25" customHeight="1" x14ac:dyDescent="0.3">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row>
    <row r="302" spans="1:25" ht="14.25" customHeight="1" x14ac:dyDescent="0.3">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row>
    <row r="303" spans="1:25" ht="14.25" customHeight="1" x14ac:dyDescent="0.3">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row>
    <row r="304" spans="1:25" ht="14.25" customHeight="1" x14ac:dyDescent="0.3">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row>
    <row r="305" spans="1:25" ht="14.25" customHeight="1" x14ac:dyDescent="0.3">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row>
    <row r="306" spans="1:25" ht="14.25" customHeight="1" x14ac:dyDescent="0.3">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row>
    <row r="307" spans="1:25" ht="14.25" customHeight="1" x14ac:dyDescent="0.3">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row>
    <row r="308" spans="1:25" ht="14.25" customHeight="1" x14ac:dyDescent="0.3">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row>
    <row r="309" spans="1:25" ht="14.25" customHeight="1" x14ac:dyDescent="0.3">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row>
    <row r="310" spans="1:25" ht="14.25" customHeight="1" x14ac:dyDescent="0.3">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row>
    <row r="311" spans="1:25" ht="14.25" customHeight="1" x14ac:dyDescent="0.3">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row>
    <row r="312" spans="1:25" ht="14.25" customHeight="1" x14ac:dyDescent="0.3">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row>
    <row r="313" spans="1:25" ht="14.25" customHeight="1" x14ac:dyDescent="0.3">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row>
    <row r="314" spans="1:25" ht="14.25" customHeight="1" x14ac:dyDescent="0.3">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row>
    <row r="315" spans="1:25" ht="14.25" customHeight="1" x14ac:dyDescent="0.3">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row>
    <row r="316" spans="1:25" ht="14.25" customHeight="1" x14ac:dyDescent="0.3">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row>
    <row r="317" spans="1:25" ht="14.25" customHeight="1" x14ac:dyDescent="0.3">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row>
    <row r="318" spans="1:25" ht="14.25" customHeight="1" x14ac:dyDescent="0.3">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row>
    <row r="319" spans="1:25" ht="14.25" customHeight="1" x14ac:dyDescent="0.3">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row>
    <row r="320" spans="1:25" ht="14.25" customHeight="1" x14ac:dyDescent="0.3">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row>
    <row r="321" spans="1:25" ht="14.25" customHeight="1" x14ac:dyDescent="0.3">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row>
    <row r="322" spans="1:25" ht="14.25" customHeight="1" x14ac:dyDescent="0.3">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row>
    <row r="323" spans="1:25" ht="14.25" customHeight="1" x14ac:dyDescent="0.3">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row>
    <row r="324" spans="1:25" ht="14.25" customHeight="1" x14ac:dyDescent="0.3">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row>
    <row r="325" spans="1:25" ht="14.25" customHeight="1" x14ac:dyDescent="0.3">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row>
    <row r="326" spans="1:25" ht="14.25" customHeight="1" x14ac:dyDescent="0.3">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row>
    <row r="327" spans="1:25" ht="14.25" customHeight="1" x14ac:dyDescent="0.3">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row>
    <row r="328" spans="1:25" ht="14.25" customHeight="1" x14ac:dyDescent="0.3">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row>
    <row r="329" spans="1:25" ht="14.25" customHeight="1" x14ac:dyDescent="0.3">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row>
    <row r="330" spans="1:25" ht="14.25" customHeight="1" x14ac:dyDescent="0.3">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row>
    <row r="331" spans="1:25" ht="14.25" customHeight="1" x14ac:dyDescent="0.3">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row>
    <row r="332" spans="1:25" ht="14.25" customHeight="1" x14ac:dyDescent="0.3">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row>
    <row r="333" spans="1:25" ht="14.25" customHeight="1" x14ac:dyDescent="0.3">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row>
    <row r="334" spans="1:25" ht="14.25" customHeight="1" x14ac:dyDescent="0.3">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row>
    <row r="335" spans="1:25" ht="14.25" customHeight="1" x14ac:dyDescent="0.3">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row>
    <row r="336" spans="1:25" ht="14.25" customHeight="1" x14ac:dyDescent="0.3">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row>
    <row r="337" spans="1:25" ht="14.25" customHeight="1" x14ac:dyDescent="0.3">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row>
    <row r="338" spans="1:25" ht="14.25" customHeight="1" x14ac:dyDescent="0.3">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row>
    <row r="339" spans="1:25" ht="14.25" customHeight="1" x14ac:dyDescent="0.3">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row>
    <row r="340" spans="1:25" ht="14.25" customHeight="1" x14ac:dyDescent="0.3">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row>
    <row r="341" spans="1:25" ht="14.25" customHeight="1" x14ac:dyDescent="0.3">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row>
    <row r="342" spans="1:25" ht="14.25" customHeight="1" x14ac:dyDescent="0.3">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row>
    <row r="343" spans="1:25" ht="14.25" customHeight="1" x14ac:dyDescent="0.3">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row>
    <row r="344" spans="1:25" ht="14.25" customHeight="1" x14ac:dyDescent="0.3">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row>
    <row r="345" spans="1:25" ht="14.25" customHeight="1" x14ac:dyDescent="0.3">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row>
    <row r="346" spans="1:25" ht="14.25" customHeight="1" x14ac:dyDescent="0.3">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row>
    <row r="347" spans="1:25" ht="14.25" customHeight="1" x14ac:dyDescent="0.3">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row>
    <row r="348" spans="1:25" ht="14.25" customHeight="1" x14ac:dyDescent="0.3">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row>
    <row r="349" spans="1:25" ht="14.25" customHeight="1" x14ac:dyDescent="0.3">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row>
    <row r="350" spans="1:25" ht="14.25" customHeight="1" x14ac:dyDescent="0.3">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row>
    <row r="351" spans="1:25" ht="14.25" customHeight="1" x14ac:dyDescent="0.3">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row>
    <row r="352" spans="1:25" ht="14.25" customHeight="1" x14ac:dyDescent="0.3">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row>
    <row r="353" spans="1:25" ht="14.25" customHeight="1" x14ac:dyDescent="0.3">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row>
    <row r="354" spans="1:25" ht="14.25" customHeight="1" x14ac:dyDescent="0.3">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row>
    <row r="355" spans="1:25" ht="14.25" customHeight="1" x14ac:dyDescent="0.3">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row>
    <row r="356" spans="1:25" ht="14.25" customHeight="1" x14ac:dyDescent="0.3">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row>
    <row r="357" spans="1:25" ht="14.25" customHeight="1" x14ac:dyDescent="0.3">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row>
    <row r="358" spans="1:25" ht="14.25" customHeight="1" x14ac:dyDescent="0.3">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row>
    <row r="359" spans="1:25" ht="14.25" customHeight="1" x14ac:dyDescent="0.3">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row>
    <row r="360" spans="1:25" ht="14.25" customHeight="1" x14ac:dyDescent="0.3">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row>
    <row r="361" spans="1:25" ht="14.25" customHeight="1" x14ac:dyDescent="0.3">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row>
    <row r="362" spans="1:25" ht="14.25" customHeight="1" x14ac:dyDescent="0.3">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row>
    <row r="363" spans="1:25" ht="14.25" customHeight="1" x14ac:dyDescent="0.3">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row>
    <row r="364" spans="1:25" ht="14.25" customHeight="1" x14ac:dyDescent="0.3">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row>
    <row r="365" spans="1:25" ht="14.25" customHeight="1" x14ac:dyDescent="0.3">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row>
    <row r="366" spans="1:25" ht="14.25" customHeight="1" x14ac:dyDescent="0.3">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row>
    <row r="367" spans="1:25" ht="14.25" customHeight="1" x14ac:dyDescent="0.3">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row>
    <row r="368" spans="1:25" ht="14.25" customHeight="1" x14ac:dyDescent="0.3">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row>
    <row r="369" spans="1:25" ht="14.25" customHeight="1" x14ac:dyDescent="0.3">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row>
    <row r="370" spans="1:25" ht="14.25" customHeight="1" x14ac:dyDescent="0.3">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row>
    <row r="371" spans="1:25" ht="14.25" customHeight="1" x14ac:dyDescent="0.3">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row>
    <row r="372" spans="1:25" ht="14.25" customHeight="1" x14ac:dyDescent="0.3">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row>
    <row r="373" spans="1:25" ht="14.25" customHeight="1" x14ac:dyDescent="0.3">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row>
    <row r="374" spans="1:25" ht="14.25" customHeight="1" x14ac:dyDescent="0.3">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row>
    <row r="375" spans="1:25" ht="14.25" customHeight="1" x14ac:dyDescent="0.3">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row>
    <row r="376" spans="1:25" ht="14.25" customHeight="1" x14ac:dyDescent="0.3">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row>
    <row r="377" spans="1:25" ht="14.25" customHeight="1" x14ac:dyDescent="0.3">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row>
    <row r="378" spans="1:25" ht="14.25" customHeight="1" x14ac:dyDescent="0.3">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row>
    <row r="379" spans="1:25" ht="14.25" customHeight="1" x14ac:dyDescent="0.3">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row>
    <row r="380" spans="1:25" ht="14.25" customHeight="1" x14ac:dyDescent="0.3">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row>
    <row r="381" spans="1:25" ht="14.25" customHeight="1" x14ac:dyDescent="0.3">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row>
    <row r="382" spans="1:25" ht="14.25" customHeight="1" x14ac:dyDescent="0.3">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row>
    <row r="383" spans="1:25" ht="14.25" customHeight="1" x14ac:dyDescent="0.3">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row>
    <row r="384" spans="1:25" ht="14.25" customHeight="1" x14ac:dyDescent="0.3">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row>
    <row r="385" spans="1:25" ht="14.25" customHeight="1" x14ac:dyDescent="0.3">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row>
    <row r="386" spans="1:25" ht="14.25" customHeight="1" x14ac:dyDescent="0.3">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row>
    <row r="387" spans="1:25" ht="14.25" customHeight="1" x14ac:dyDescent="0.3">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row>
    <row r="388" spans="1:25" ht="14.25" customHeight="1" x14ac:dyDescent="0.3">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row>
    <row r="389" spans="1:25" ht="14.25" customHeight="1" x14ac:dyDescent="0.3">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row>
    <row r="390" spans="1:25" ht="14.25" customHeight="1" x14ac:dyDescent="0.3">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row>
    <row r="391" spans="1:25" ht="14.25" customHeight="1" x14ac:dyDescent="0.3">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row>
    <row r="392" spans="1:25" ht="14.25" customHeight="1" x14ac:dyDescent="0.3">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row>
    <row r="393" spans="1:25" ht="14.25" customHeight="1" x14ac:dyDescent="0.3">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row>
    <row r="394" spans="1:25" ht="14.25" customHeight="1" x14ac:dyDescent="0.3">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row>
    <row r="395" spans="1:25" ht="14.25" customHeight="1" x14ac:dyDescent="0.3">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row>
    <row r="396" spans="1:25" ht="14.25" customHeight="1" x14ac:dyDescent="0.3">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row>
    <row r="397" spans="1:25" ht="14.25" customHeight="1" x14ac:dyDescent="0.3">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row>
    <row r="398" spans="1:25" ht="14.25" customHeight="1" x14ac:dyDescent="0.3">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row>
    <row r="399" spans="1:25" ht="14.25" customHeight="1" x14ac:dyDescent="0.3">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row>
    <row r="400" spans="1:25" ht="14.25" customHeight="1" x14ac:dyDescent="0.3">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row>
    <row r="401" spans="1:25" ht="14.25" customHeight="1" x14ac:dyDescent="0.3">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row>
    <row r="402" spans="1:25" ht="14.25" customHeight="1" x14ac:dyDescent="0.3">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row>
    <row r="403" spans="1:25" ht="14.25" customHeight="1" x14ac:dyDescent="0.3">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row>
    <row r="404" spans="1:25" ht="14.25" customHeight="1" x14ac:dyDescent="0.3">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row>
    <row r="405" spans="1:25" ht="14.25" customHeight="1" x14ac:dyDescent="0.3">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row>
    <row r="406" spans="1:25" ht="14.25" customHeight="1" x14ac:dyDescent="0.3">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row>
    <row r="407" spans="1:25" ht="14.25" customHeight="1" x14ac:dyDescent="0.3">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row>
    <row r="408" spans="1:25" ht="14.25" customHeight="1" x14ac:dyDescent="0.3">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row>
    <row r="409" spans="1:25" ht="14.25" customHeight="1" x14ac:dyDescent="0.3">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row>
    <row r="410" spans="1:25" ht="14.25" customHeight="1" x14ac:dyDescent="0.3">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row>
    <row r="411" spans="1:25" ht="14.25" customHeight="1" x14ac:dyDescent="0.3">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row>
    <row r="412" spans="1:25" ht="14.25" customHeight="1" x14ac:dyDescent="0.3">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row>
    <row r="413" spans="1:25" ht="14.25" customHeight="1" x14ac:dyDescent="0.3">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row>
    <row r="414" spans="1:25" ht="14.25" customHeight="1" x14ac:dyDescent="0.3">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row>
    <row r="415" spans="1:25" ht="14.25" customHeight="1" x14ac:dyDescent="0.3">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row>
    <row r="416" spans="1:25" ht="14.25" customHeight="1" x14ac:dyDescent="0.3">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row>
    <row r="417" spans="1:25" ht="14.25" customHeight="1" x14ac:dyDescent="0.3">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row>
    <row r="418" spans="1:25" ht="14.25" customHeight="1" x14ac:dyDescent="0.3">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row>
    <row r="419" spans="1:25" ht="14.25" customHeight="1" x14ac:dyDescent="0.3">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row>
    <row r="420" spans="1:25" ht="14.25" customHeight="1" x14ac:dyDescent="0.3">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row>
    <row r="421" spans="1:25" ht="14.25" customHeight="1" x14ac:dyDescent="0.3">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row>
    <row r="422" spans="1:25" ht="14.25" customHeight="1" x14ac:dyDescent="0.3">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row>
    <row r="423" spans="1:25" ht="14.25" customHeight="1" x14ac:dyDescent="0.3">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row>
    <row r="424" spans="1:25" ht="14.25" customHeight="1" x14ac:dyDescent="0.3">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row>
    <row r="425" spans="1:25" ht="14.25" customHeight="1" x14ac:dyDescent="0.3">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row>
    <row r="426" spans="1:25" ht="14.25" customHeight="1" x14ac:dyDescent="0.3">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row>
    <row r="427" spans="1:25" ht="14.25" customHeight="1" x14ac:dyDescent="0.3">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row>
    <row r="428" spans="1:25" ht="14.25" customHeight="1" x14ac:dyDescent="0.3">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row>
    <row r="429" spans="1:25" ht="14.25" customHeight="1" x14ac:dyDescent="0.3">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row>
    <row r="430" spans="1:25" ht="14.25" customHeight="1" x14ac:dyDescent="0.3">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row>
    <row r="431" spans="1:25" ht="14.25" customHeight="1" x14ac:dyDescent="0.3">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row>
    <row r="432" spans="1:25" ht="14.25" customHeight="1" x14ac:dyDescent="0.3">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row>
    <row r="433" spans="1:25" ht="14.25" customHeight="1" x14ac:dyDescent="0.3">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row>
    <row r="434" spans="1:25" ht="14.25" customHeight="1" x14ac:dyDescent="0.3">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row>
    <row r="435" spans="1:25" ht="14.25" customHeight="1" x14ac:dyDescent="0.3">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row>
    <row r="436" spans="1:25" ht="14.25" customHeight="1" x14ac:dyDescent="0.3">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row>
    <row r="437" spans="1:25" ht="14.25" customHeight="1" x14ac:dyDescent="0.3">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row>
    <row r="438" spans="1:25" ht="14.25" customHeight="1" x14ac:dyDescent="0.3">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row>
    <row r="439" spans="1:25" ht="14.25" customHeight="1" x14ac:dyDescent="0.3">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row>
    <row r="440" spans="1:25" ht="14.25" customHeight="1" x14ac:dyDescent="0.3">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row>
    <row r="441" spans="1:25" ht="14.25" customHeight="1" x14ac:dyDescent="0.3">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row>
    <row r="442" spans="1:25" ht="14.25" customHeight="1" x14ac:dyDescent="0.3">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row>
    <row r="443" spans="1:25" ht="14.25" customHeight="1" x14ac:dyDescent="0.3">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row>
    <row r="444" spans="1:25" ht="14.25" customHeight="1" x14ac:dyDescent="0.3">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row>
    <row r="445" spans="1:25" ht="14.25" customHeight="1" x14ac:dyDescent="0.3">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row>
    <row r="446" spans="1:25" ht="14.25" customHeight="1" x14ac:dyDescent="0.3">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row>
    <row r="447" spans="1:25" ht="14.25" customHeight="1" x14ac:dyDescent="0.3">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row>
    <row r="448" spans="1:25" ht="14.25" customHeight="1" x14ac:dyDescent="0.3">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row>
    <row r="449" spans="1:25" ht="14.25" customHeight="1" x14ac:dyDescent="0.3">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row>
    <row r="450" spans="1:25" ht="14.25" customHeight="1" x14ac:dyDescent="0.3">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row>
    <row r="451" spans="1:25" ht="14.25" customHeight="1" x14ac:dyDescent="0.3">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row>
    <row r="452" spans="1:25" ht="14.25" customHeight="1" x14ac:dyDescent="0.3">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row>
    <row r="453" spans="1:25" ht="14.25" customHeight="1" x14ac:dyDescent="0.3">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row>
    <row r="454" spans="1:25" ht="14.25" customHeight="1" x14ac:dyDescent="0.3">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row>
    <row r="455" spans="1:25" ht="14.25" customHeight="1" x14ac:dyDescent="0.3">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row>
    <row r="456" spans="1:25" ht="14.25" customHeight="1" x14ac:dyDescent="0.3">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row>
    <row r="457" spans="1:25" ht="14.25" customHeight="1" x14ac:dyDescent="0.3">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row>
    <row r="458" spans="1:25" ht="14.25" customHeight="1" x14ac:dyDescent="0.3">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row>
    <row r="459" spans="1:25" ht="14.25" customHeight="1" x14ac:dyDescent="0.3">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row>
    <row r="460" spans="1:25" ht="14.25" customHeight="1" x14ac:dyDescent="0.3">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row>
    <row r="461" spans="1:25" ht="14.25" customHeight="1" x14ac:dyDescent="0.3">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row>
    <row r="462" spans="1:25" ht="14.25" customHeight="1" x14ac:dyDescent="0.3">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row>
    <row r="463" spans="1:25" ht="14.25" customHeight="1" x14ac:dyDescent="0.3">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row>
    <row r="464" spans="1:25" ht="14.25" customHeight="1" x14ac:dyDescent="0.3">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row>
    <row r="465" spans="1:25" ht="14.25" customHeight="1" x14ac:dyDescent="0.3">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row>
    <row r="466" spans="1:25" ht="14.25" customHeight="1" x14ac:dyDescent="0.3">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row>
    <row r="467" spans="1:25" ht="14.25" customHeight="1" x14ac:dyDescent="0.3">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row>
    <row r="468" spans="1:25" ht="14.25" customHeight="1" x14ac:dyDescent="0.3">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row>
    <row r="469" spans="1:25" ht="14.25" customHeight="1" x14ac:dyDescent="0.3">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row>
    <row r="470" spans="1:25" ht="14.25" customHeight="1" x14ac:dyDescent="0.3">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row>
    <row r="471" spans="1:25" ht="14.25" customHeight="1" x14ac:dyDescent="0.3">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row>
    <row r="472" spans="1:25" ht="14.25" customHeight="1" x14ac:dyDescent="0.3">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row>
    <row r="473" spans="1:25" ht="14.25" customHeight="1" x14ac:dyDescent="0.3">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row>
    <row r="474" spans="1:25" ht="14.25" customHeight="1" x14ac:dyDescent="0.3">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row>
    <row r="475" spans="1:25" ht="14.25" customHeight="1" x14ac:dyDescent="0.3">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row>
    <row r="476" spans="1:25" ht="14.25" customHeight="1" x14ac:dyDescent="0.3">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row>
    <row r="477" spans="1:25" ht="14.25" customHeight="1" x14ac:dyDescent="0.3">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row>
    <row r="478" spans="1:25" ht="14.25" customHeight="1" x14ac:dyDescent="0.3">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row>
    <row r="479" spans="1:25" ht="14.25" customHeight="1" x14ac:dyDescent="0.3">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row>
    <row r="480" spans="1:25" ht="14.25" customHeight="1" x14ac:dyDescent="0.3">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row>
    <row r="481" spans="1:25" ht="14.25" customHeight="1" x14ac:dyDescent="0.3">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row>
    <row r="482" spans="1:25" ht="14.25" customHeight="1" x14ac:dyDescent="0.3">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row>
    <row r="483" spans="1:25" ht="14.25" customHeight="1" x14ac:dyDescent="0.3">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row>
    <row r="484" spans="1:25" ht="14.25" customHeight="1" x14ac:dyDescent="0.3">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row>
    <row r="485" spans="1:25" ht="14.25" customHeight="1" x14ac:dyDescent="0.3">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row>
    <row r="486" spans="1:25" ht="14.25" customHeight="1" x14ac:dyDescent="0.3">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row>
    <row r="487" spans="1:25" ht="14.25" customHeight="1" x14ac:dyDescent="0.3">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row>
    <row r="488" spans="1:25" ht="14.25" customHeight="1" x14ac:dyDescent="0.3">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row>
    <row r="489" spans="1:25" ht="14.25" customHeight="1" x14ac:dyDescent="0.3">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row>
    <row r="490" spans="1:25" ht="14.25" customHeight="1" x14ac:dyDescent="0.3">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row>
    <row r="491" spans="1:25" ht="14.25" customHeight="1" x14ac:dyDescent="0.3">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row>
    <row r="492" spans="1:25" ht="14.25" customHeight="1" x14ac:dyDescent="0.3">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row>
    <row r="493" spans="1:25" ht="14.25" customHeight="1" x14ac:dyDescent="0.3">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row>
    <row r="494" spans="1:25" ht="14.25" customHeight="1" x14ac:dyDescent="0.3">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row>
    <row r="495" spans="1:25" ht="14.25" customHeight="1" x14ac:dyDescent="0.3">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row>
    <row r="496" spans="1:25" ht="14.25" customHeight="1" x14ac:dyDescent="0.3">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row>
    <row r="497" spans="1:25" ht="14.25" customHeight="1" x14ac:dyDescent="0.3">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row>
    <row r="498" spans="1:25" ht="14.25" customHeight="1" x14ac:dyDescent="0.3">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row>
    <row r="499" spans="1:25" ht="14.25" customHeight="1" x14ac:dyDescent="0.3">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row>
    <row r="500" spans="1:25" ht="14.25" customHeight="1" x14ac:dyDescent="0.3">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row>
    <row r="501" spans="1:25" ht="14.25" customHeight="1" x14ac:dyDescent="0.3">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row>
    <row r="502" spans="1:25" ht="14.25" customHeight="1" x14ac:dyDescent="0.3">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row>
    <row r="503" spans="1:25" ht="14.25" customHeight="1" x14ac:dyDescent="0.3">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row>
    <row r="504" spans="1:25" ht="14.25" customHeight="1" x14ac:dyDescent="0.3">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row>
    <row r="505" spans="1:25" ht="14.25" customHeight="1" x14ac:dyDescent="0.3">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row>
    <row r="506" spans="1:25" ht="14.25" customHeight="1" x14ac:dyDescent="0.3">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row>
    <row r="507" spans="1:25" ht="14.25" customHeight="1" x14ac:dyDescent="0.3">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row>
    <row r="508" spans="1:25" ht="14.25" customHeight="1" x14ac:dyDescent="0.3">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row>
    <row r="509" spans="1:25" ht="14.25" customHeight="1" x14ac:dyDescent="0.3">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row>
    <row r="510" spans="1:25" ht="14.25" customHeight="1" x14ac:dyDescent="0.3">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row>
    <row r="511" spans="1:25" ht="14.25" customHeight="1" x14ac:dyDescent="0.3">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row>
    <row r="512" spans="1:25" ht="14.25" customHeight="1" x14ac:dyDescent="0.3">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row>
    <row r="513" spans="1:25" ht="14.25" customHeight="1" x14ac:dyDescent="0.3">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row>
    <row r="514" spans="1:25" ht="14.25" customHeight="1" x14ac:dyDescent="0.3">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row>
    <row r="515" spans="1:25" ht="14.25" customHeight="1" x14ac:dyDescent="0.3">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row>
    <row r="516" spans="1:25" ht="14.25" customHeight="1" x14ac:dyDescent="0.3">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row>
    <row r="517" spans="1:25" ht="14.25" customHeight="1" x14ac:dyDescent="0.3">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row>
    <row r="518" spans="1:25" ht="14.25" customHeight="1" x14ac:dyDescent="0.3">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row>
    <row r="519" spans="1:25" ht="14.25" customHeight="1" x14ac:dyDescent="0.3">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row>
    <row r="520" spans="1:25" ht="14.25" customHeight="1" x14ac:dyDescent="0.3">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row>
    <row r="521" spans="1:25" ht="14.25" customHeight="1" x14ac:dyDescent="0.3">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row>
    <row r="522" spans="1:25" ht="14.25" customHeight="1" x14ac:dyDescent="0.3">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row>
    <row r="523" spans="1:25" ht="14.25" customHeight="1" x14ac:dyDescent="0.3">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row>
    <row r="524" spans="1:25" ht="14.25" customHeight="1" x14ac:dyDescent="0.3">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row>
    <row r="525" spans="1:25" ht="14.25" customHeight="1" x14ac:dyDescent="0.3">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row>
    <row r="526" spans="1:25" ht="14.25" customHeight="1" x14ac:dyDescent="0.3">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row>
    <row r="527" spans="1:25" ht="14.25" customHeight="1" x14ac:dyDescent="0.3">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row>
    <row r="528" spans="1:25" ht="14.25" customHeight="1" x14ac:dyDescent="0.3">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row>
    <row r="529" spans="1:25" ht="14.25" customHeight="1" x14ac:dyDescent="0.3">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row>
    <row r="530" spans="1:25" ht="14.25" customHeight="1" x14ac:dyDescent="0.3">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row>
    <row r="531" spans="1:25" ht="14.25" customHeight="1" x14ac:dyDescent="0.3">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row>
    <row r="532" spans="1:25" ht="14.25" customHeight="1" x14ac:dyDescent="0.3">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row>
    <row r="533" spans="1:25" ht="14.25" customHeight="1" x14ac:dyDescent="0.3">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row>
    <row r="534" spans="1:25" ht="14.25" customHeight="1" x14ac:dyDescent="0.3">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row>
    <row r="535" spans="1:25" ht="14.25" customHeight="1" x14ac:dyDescent="0.3">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row>
    <row r="536" spans="1:25" ht="14.25" customHeight="1" x14ac:dyDescent="0.3">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row>
    <row r="537" spans="1:25" ht="14.25" customHeight="1" x14ac:dyDescent="0.3">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row>
    <row r="538" spans="1:25" ht="14.25" customHeight="1" x14ac:dyDescent="0.3">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row>
    <row r="539" spans="1:25" ht="14.25" customHeight="1" x14ac:dyDescent="0.3">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row>
    <row r="540" spans="1:25" ht="14.25" customHeight="1" x14ac:dyDescent="0.3">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row>
    <row r="541" spans="1:25" ht="14.25" customHeight="1" x14ac:dyDescent="0.3">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row>
    <row r="542" spans="1:25" ht="14.25" customHeight="1" x14ac:dyDescent="0.3">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row>
    <row r="543" spans="1:25" ht="14.25" customHeight="1" x14ac:dyDescent="0.3">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row>
    <row r="544" spans="1:25" ht="14.25" customHeight="1" x14ac:dyDescent="0.3">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row>
    <row r="545" spans="1:25" ht="14.25" customHeight="1" x14ac:dyDescent="0.3">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row>
    <row r="546" spans="1:25" ht="14.25" customHeight="1" x14ac:dyDescent="0.3">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row>
    <row r="547" spans="1:25" ht="14.25" customHeight="1" x14ac:dyDescent="0.3">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row>
    <row r="548" spans="1:25" ht="14.25" customHeight="1" x14ac:dyDescent="0.3">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row>
    <row r="549" spans="1:25" ht="14.25" customHeight="1" x14ac:dyDescent="0.3">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row>
    <row r="550" spans="1:25" ht="14.25" customHeight="1" x14ac:dyDescent="0.3">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row>
    <row r="551" spans="1:25" ht="14.25" customHeight="1" x14ac:dyDescent="0.3">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row>
    <row r="552" spans="1:25" ht="14.25" customHeight="1" x14ac:dyDescent="0.3">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row>
    <row r="553" spans="1:25" ht="14.25" customHeight="1" x14ac:dyDescent="0.3">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row>
    <row r="554" spans="1:25" ht="14.25" customHeight="1" x14ac:dyDescent="0.3">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row>
    <row r="555" spans="1:25" ht="14.25" customHeight="1" x14ac:dyDescent="0.3">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row>
    <row r="556" spans="1:25" ht="14.25" customHeight="1" x14ac:dyDescent="0.3">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row>
    <row r="557" spans="1:25" ht="14.25" customHeight="1" x14ac:dyDescent="0.3">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row>
    <row r="558" spans="1:25" ht="14.25" customHeight="1" x14ac:dyDescent="0.3">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row>
    <row r="559" spans="1:25" ht="14.25" customHeight="1" x14ac:dyDescent="0.3">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row>
    <row r="560" spans="1:25" ht="14.25" customHeight="1" x14ac:dyDescent="0.3">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row>
    <row r="561" spans="1:25" ht="14.25" customHeight="1" x14ac:dyDescent="0.3">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row>
    <row r="562" spans="1:25" ht="14.25" customHeight="1" x14ac:dyDescent="0.3">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row>
    <row r="563" spans="1:25" ht="14.25" customHeight="1" x14ac:dyDescent="0.3">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row>
    <row r="564" spans="1:25" ht="14.25" customHeight="1" x14ac:dyDescent="0.3">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row>
    <row r="565" spans="1:25" ht="14.25" customHeight="1" x14ac:dyDescent="0.3">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row>
    <row r="566" spans="1:25" ht="14.25" customHeight="1" x14ac:dyDescent="0.3">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row>
    <row r="567" spans="1:25" ht="14.25" customHeight="1" x14ac:dyDescent="0.3">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row>
    <row r="568" spans="1:25" ht="14.25" customHeight="1" x14ac:dyDescent="0.3">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row>
    <row r="569" spans="1:25" ht="14.25" customHeight="1" x14ac:dyDescent="0.3">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row>
    <row r="570" spans="1:25" ht="14.25" customHeight="1" x14ac:dyDescent="0.3">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row>
    <row r="571" spans="1:25" ht="14.25" customHeight="1" x14ac:dyDescent="0.3">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row>
    <row r="572" spans="1:25" ht="14.25" customHeight="1" x14ac:dyDescent="0.3">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row>
    <row r="573" spans="1:25" ht="14.25" customHeight="1" x14ac:dyDescent="0.3">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row>
    <row r="574" spans="1:25" ht="14.25" customHeight="1" x14ac:dyDescent="0.3">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row>
    <row r="575" spans="1:25" ht="14.25" customHeight="1" x14ac:dyDescent="0.3">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row>
    <row r="576" spans="1:25" ht="14.25" customHeight="1" x14ac:dyDescent="0.3">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row>
    <row r="577" spans="1:25" ht="14.25" customHeight="1" x14ac:dyDescent="0.3">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row>
    <row r="578" spans="1:25" ht="14.25" customHeight="1" x14ac:dyDescent="0.3">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row>
    <row r="579" spans="1:25" ht="14.25" customHeight="1" x14ac:dyDescent="0.3">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row>
    <row r="580" spans="1:25" ht="14.25" customHeight="1" x14ac:dyDescent="0.3">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row>
    <row r="581" spans="1:25" ht="14.25" customHeight="1" x14ac:dyDescent="0.3">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row>
    <row r="582" spans="1:25" ht="14.25" customHeight="1" x14ac:dyDescent="0.3">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row>
    <row r="583" spans="1:25" ht="14.25" customHeight="1" x14ac:dyDescent="0.3">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row>
    <row r="584" spans="1:25" ht="14.25" customHeight="1" x14ac:dyDescent="0.3">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row>
    <row r="585" spans="1:25" ht="14.25" customHeight="1" x14ac:dyDescent="0.3">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row>
    <row r="586" spans="1:25" ht="14.25" customHeight="1" x14ac:dyDescent="0.3">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row>
    <row r="587" spans="1:25" ht="14.25" customHeight="1" x14ac:dyDescent="0.3">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row>
    <row r="588" spans="1:25" ht="14.25" customHeight="1" x14ac:dyDescent="0.3">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row>
    <row r="589" spans="1:25" ht="14.25" customHeight="1" x14ac:dyDescent="0.3">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row>
    <row r="590" spans="1:25" ht="14.25" customHeight="1" x14ac:dyDescent="0.3">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row>
    <row r="591" spans="1:25" ht="14.25" customHeight="1" x14ac:dyDescent="0.3">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row>
    <row r="592" spans="1:25" ht="14.25" customHeight="1" x14ac:dyDescent="0.3">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row>
    <row r="593" spans="1:25" ht="14.25" customHeight="1" x14ac:dyDescent="0.3">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row>
    <row r="594" spans="1:25" ht="14.25" customHeight="1" x14ac:dyDescent="0.3">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row>
    <row r="595" spans="1:25" ht="14.25" customHeight="1" x14ac:dyDescent="0.3">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row>
    <row r="596" spans="1:25" ht="14.25" customHeight="1" x14ac:dyDescent="0.3">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row>
    <row r="597" spans="1:25" ht="14.25" customHeight="1" x14ac:dyDescent="0.3">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row>
    <row r="598" spans="1:25" ht="14.25" customHeight="1" x14ac:dyDescent="0.3">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row>
    <row r="599" spans="1:25" ht="14.25" customHeight="1" x14ac:dyDescent="0.3">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row>
    <row r="600" spans="1:25" ht="14.25" customHeight="1" x14ac:dyDescent="0.3">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row>
    <row r="601" spans="1:25" ht="14.25" customHeight="1" x14ac:dyDescent="0.3">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row>
    <row r="602" spans="1:25" ht="14.25" customHeight="1" x14ac:dyDescent="0.3">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row>
    <row r="603" spans="1:25" ht="14.25" customHeight="1" x14ac:dyDescent="0.3">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row>
    <row r="604" spans="1:25" ht="14.25" customHeight="1" x14ac:dyDescent="0.3">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row>
    <row r="605" spans="1:25" ht="14.25" customHeight="1" x14ac:dyDescent="0.3">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row>
    <row r="606" spans="1:25" ht="14.25" customHeight="1" x14ac:dyDescent="0.3">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row>
    <row r="607" spans="1:25" ht="14.25" customHeight="1" x14ac:dyDescent="0.3">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row>
    <row r="608" spans="1:25" ht="14.25" customHeight="1" x14ac:dyDescent="0.3">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row>
    <row r="609" spans="1:25" ht="14.25" customHeight="1" x14ac:dyDescent="0.3">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row>
    <row r="610" spans="1:25" ht="14.25" customHeight="1" x14ac:dyDescent="0.3">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row>
    <row r="611" spans="1:25" ht="14.25" customHeight="1" x14ac:dyDescent="0.3">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row>
    <row r="612" spans="1:25" ht="14.25" customHeight="1" x14ac:dyDescent="0.3">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row>
    <row r="613" spans="1:25" ht="14.25" customHeight="1" x14ac:dyDescent="0.3">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row>
    <row r="614" spans="1:25" ht="14.25" customHeight="1" x14ac:dyDescent="0.3">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row>
    <row r="615" spans="1:25" ht="14.25" customHeight="1" x14ac:dyDescent="0.3">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row>
    <row r="616" spans="1:25" ht="14.25" customHeight="1" x14ac:dyDescent="0.3">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row>
    <row r="617" spans="1:25" ht="14.25" customHeight="1" x14ac:dyDescent="0.3">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row>
    <row r="618" spans="1:25" ht="14.25" customHeight="1" x14ac:dyDescent="0.3">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row>
    <row r="619" spans="1:25" ht="14.25" customHeight="1" x14ac:dyDescent="0.3">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row>
    <row r="620" spans="1:25" ht="14.25" customHeight="1" x14ac:dyDescent="0.3">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row>
    <row r="621" spans="1:25" ht="14.25" customHeight="1" x14ac:dyDescent="0.3">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row>
    <row r="622" spans="1:25" ht="14.25" customHeight="1" x14ac:dyDescent="0.3">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row>
    <row r="623" spans="1:25" ht="14.25" customHeight="1" x14ac:dyDescent="0.3">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row>
    <row r="624" spans="1:25" ht="14.25" customHeight="1" x14ac:dyDescent="0.3">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row>
    <row r="625" spans="1:25" ht="14.25" customHeight="1" x14ac:dyDescent="0.3">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row>
    <row r="626" spans="1:25" ht="14.25" customHeight="1" x14ac:dyDescent="0.3">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row>
    <row r="627" spans="1:25" ht="14.25" customHeight="1" x14ac:dyDescent="0.3">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row>
    <row r="628" spans="1:25" ht="14.25" customHeight="1" x14ac:dyDescent="0.3">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row>
    <row r="629" spans="1:25" ht="14.25" customHeight="1" x14ac:dyDescent="0.3">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row>
    <row r="630" spans="1:25" ht="14.25" customHeight="1" x14ac:dyDescent="0.3">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row>
    <row r="631" spans="1:25" ht="14.25" customHeight="1" x14ac:dyDescent="0.3">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row>
    <row r="632" spans="1:25" ht="14.25" customHeight="1" x14ac:dyDescent="0.3">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row>
    <row r="633" spans="1:25" ht="14.25" customHeight="1" x14ac:dyDescent="0.3">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row>
    <row r="634" spans="1:25" ht="14.25" customHeight="1" x14ac:dyDescent="0.3">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row>
    <row r="635" spans="1:25" ht="14.25" customHeight="1" x14ac:dyDescent="0.3">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row>
    <row r="636" spans="1:25" ht="14.25" customHeight="1" x14ac:dyDescent="0.3">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row>
    <row r="637" spans="1:25" ht="14.25" customHeight="1" x14ac:dyDescent="0.3">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row>
    <row r="638" spans="1:25" ht="14.25" customHeight="1" x14ac:dyDescent="0.3">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row>
    <row r="639" spans="1:25" ht="14.25" customHeight="1" x14ac:dyDescent="0.3">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row>
    <row r="640" spans="1:25" ht="14.25" customHeight="1" x14ac:dyDescent="0.3">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row>
    <row r="641" spans="1:25" ht="14.25" customHeight="1" x14ac:dyDescent="0.3">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row>
    <row r="642" spans="1:25" ht="14.25" customHeight="1" x14ac:dyDescent="0.3">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row>
    <row r="643" spans="1:25" ht="14.25" customHeight="1" x14ac:dyDescent="0.3">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row>
    <row r="644" spans="1:25" ht="14.25" customHeight="1" x14ac:dyDescent="0.3">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row>
    <row r="645" spans="1:25" ht="14.25" customHeight="1" x14ac:dyDescent="0.3">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row>
    <row r="646" spans="1:25" ht="14.25" customHeight="1" x14ac:dyDescent="0.3">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row>
    <row r="647" spans="1:25" ht="14.25" customHeight="1" x14ac:dyDescent="0.3">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row>
    <row r="648" spans="1:25" ht="14.25" customHeight="1" x14ac:dyDescent="0.3">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row>
    <row r="649" spans="1:25" ht="14.25" customHeight="1" x14ac:dyDescent="0.3">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row>
    <row r="650" spans="1:25" ht="14.25" customHeight="1" x14ac:dyDescent="0.3">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row>
    <row r="651" spans="1:25" ht="14.25" customHeight="1" x14ac:dyDescent="0.3">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row>
    <row r="652" spans="1:25" ht="14.25" customHeight="1" x14ac:dyDescent="0.3">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row>
    <row r="653" spans="1:25" ht="14.25" customHeight="1" x14ac:dyDescent="0.3">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row>
    <row r="654" spans="1:25" ht="14.25" customHeight="1" x14ac:dyDescent="0.3">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row>
    <row r="655" spans="1:25" ht="14.25" customHeight="1" x14ac:dyDescent="0.3">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row>
    <row r="656" spans="1:25" ht="14.25" customHeight="1" x14ac:dyDescent="0.3">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row>
    <row r="657" spans="1:25" ht="14.25" customHeight="1" x14ac:dyDescent="0.3">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row>
    <row r="658" spans="1:25" ht="14.25" customHeight="1" x14ac:dyDescent="0.3">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row>
    <row r="659" spans="1:25" ht="14.25" customHeight="1" x14ac:dyDescent="0.3">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row>
    <row r="660" spans="1:25" ht="14.25" customHeight="1" x14ac:dyDescent="0.3">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row>
    <row r="661" spans="1:25" ht="14.25" customHeight="1" x14ac:dyDescent="0.3">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row>
    <row r="662" spans="1:25" ht="14.25" customHeight="1" x14ac:dyDescent="0.3">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row>
    <row r="663" spans="1:25" ht="14.25" customHeight="1" x14ac:dyDescent="0.3">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row>
    <row r="664" spans="1:25" ht="14.25" customHeight="1" x14ac:dyDescent="0.3">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row>
    <row r="665" spans="1:25" ht="14.25" customHeight="1" x14ac:dyDescent="0.3">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row>
    <row r="666" spans="1:25" ht="14.25" customHeight="1" x14ac:dyDescent="0.3">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row>
    <row r="667" spans="1:25" ht="14.25" customHeight="1" x14ac:dyDescent="0.3">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row>
    <row r="668" spans="1:25" ht="14.25" customHeight="1" x14ac:dyDescent="0.3">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row>
    <row r="669" spans="1:25" ht="14.25" customHeight="1" x14ac:dyDescent="0.3">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row>
    <row r="670" spans="1:25" ht="14.25" customHeight="1" x14ac:dyDescent="0.3">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row>
    <row r="671" spans="1:25" ht="14.25" customHeight="1" x14ac:dyDescent="0.3">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row>
    <row r="672" spans="1:25" ht="14.25" customHeight="1" x14ac:dyDescent="0.3">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row>
    <row r="673" spans="1:25" ht="14.25" customHeight="1" x14ac:dyDescent="0.3">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row>
    <row r="674" spans="1:25" ht="14.25" customHeight="1" x14ac:dyDescent="0.3">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row>
    <row r="675" spans="1:25" ht="14.25" customHeight="1" x14ac:dyDescent="0.3">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row>
    <row r="676" spans="1:25" ht="14.25" customHeight="1" x14ac:dyDescent="0.3">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row>
    <row r="677" spans="1:25" ht="14.25" customHeight="1" x14ac:dyDescent="0.3">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row>
    <row r="678" spans="1:25" ht="14.25" customHeight="1" x14ac:dyDescent="0.3">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row>
    <row r="679" spans="1:25" ht="14.25" customHeight="1" x14ac:dyDescent="0.3">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row>
    <row r="680" spans="1:25" ht="14.25" customHeight="1" x14ac:dyDescent="0.3">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row>
    <row r="681" spans="1:25" ht="14.25" customHeight="1" x14ac:dyDescent="0.3">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row>
    <row r="682" spans="1:25" ht="14.25" customHeight="1" x14ac:dyDescent="0.3">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row>
    <row r="683" spans="1:25" ht="14.25" customHeight="1" x14ac:dyDescent="0.3">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row>
    <row r="684" spans="1:25" ht="14.25" customHeight="1" x14ac:dyDescent="0.3">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row>
    <row r="685" spans="1:25" ht="14.25" customHeight="1" x14ac:dyDescent="0.3">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row>
    <row r="686" spans="1:25" ht="14.25" customHeight="1" x14ac:dyDescent="0.3">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row>
    <row r="687" spans="1:25" ht="14.25" customHeight="1" x14ac:dyDescent="0.3">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row>
    <row r="688" spans="1:25" ht="14.25" customHeight="1" x14ac:dyDescent="0.3">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row>
    <row r="689" spans="1:25" ht="14.25" customHeight="1" x14ac:dyDescent="0.3">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row>
    <row r="690" spans="1:25" ht="14.25" customHeight="1" x14ac:dyDescent="0.3">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row>
    <row r="691" spans="1:25" ht="14.25" customHeight="1" x14ac:dyDescent="0.3">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row>
    <row r="692" spans="1:25" ht="14.25" customHeight="1" x14ac:dyDescent="0.3">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row>
    <row r="693" spans="1:25" ht="14.25" customHeight="1" x14ac:dyDescent="0.3">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row>
    <row r="694" spans="1:25" ht="14.25" customHeight="1" x14ac:dyDescent="0.3">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row>
    <row r="695" spans="1:25" ht="14.25" customHeight="1" x14ac:dyDescent="0.3">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row>
    <row r="696" spans="1:25" ht="14.25" customHeight="1" x14ac:dyDescent="0.3">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row>
    <row r="697" spans="1:25" ht="14.25" customHeight="1" x14ac:dyDescent="0.3">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row>
    <row r="698" spans="1:25" ht="14.25" customHeight="1" x14ac:dyDescent="0.3">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row>
    <row r="699" spans="1:25" ht="14.25" customHeight="1" x14ac:dyDescent="0.3">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row>
    <row r="700" spans="1:25" ht="14.25" customHeight="1" x14ac:dyDescent="0.3">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row>
    <row r="701" spans="1:25" ht="14.25" customHeight="1" x14ac:dyDescent="0.3">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row>
    <row r="702" spans="1:25" ht="14.25" customHeight="1" x14ac:dyDescent="0.3">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row>
    <row r="703" spans="1:25" ht="14.25" customHeight="1" x14ac:dyDescent="0.3">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row>
    <row r="704" spans="1:25" ht="14.25" customHeight="1" x14ac:dyDescent="0.3">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row>
    <row r="705" spans="1:25" ht="14.25" customHeight="1" x14ac:dyDescent="0.3">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row>
    <row r="706" spans="1:25" ht="14.25" customHeight="1" x14ac:dyDescent="0.3">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row>
    <row r="707" spans="1:25" ht="14.25" customHeight="1" x14ac:dyDescent="0.3">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row>
    <row r="708" spans="1:25" ht="14.25" customHeight="1" x14ac:dyDescent="0.3">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row>
    <row r="709" spans="1:25" ht="14.25" customHeight="1" x14ac:dyDescent="0.3">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row>
    <row r="710" spans="1:25" ht="14.25" customHeight="1" x14ac:dyDescent="0.3">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row>
    <row r="711" spans="1:25" ht="14.25" customHeight="1" x14ac:dyDescent="0.3">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row>
    <row r="712" spans="1:25" ht="14.25" customHeight="1" x14ac:dyDescent="0.3">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row>
    <row r="713" spans="1:25" ht="14.25" customHeight="1" x14ac:dyDescent="0.3">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row>
    <row r="714" spans="1:25" ht="14.25" customHeight="1" x14ac:dyDescent="0.3">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row>
    <row r="715" spans="1:25" ht="14.25" customHeight="1" x14ac:dyDescent="0.3">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row>
    <row r="716" spans="1:25" ht="14.25" customHeight="1" x14ac:dyDescent="0.3">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row>
    <row r="717" spans="1:25" ht="14.25" customHeight="1" x14ac:dyDescent="0.3">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row>
    <row r="718" spans="1:25" ht="14.25" customHeight="1" x14ac:dyDescent="0.3">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row>
    <row r="719" spans="1:25" ht="14.25" customHeight="1" x14ac:dyDescent="0.3">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row>
    <row r="720" spans="1:25" ht="14.25" customHeight="1" x14ac:dyDescent="0.3">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row>
    <row r="721" spans="1:25" ht="14.25" customHeight="1" x14ac:dyDescent="0.3">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row>
    <row r="722" spans="1:25" ht="14.25" customHeight="1" x14ac:dyDescent="0.3">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row>
    <row r="723" spans="1:25" ht="14.25" customHeight="1" x14ac:dyDescent="0.3">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row>
    <row r="724" spans="1:25" ht="14.25" customHeight="1" x14ac:dyDescent="0.3">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row>
    <row r="725" spans="1:25" ht="14.25" customHeight="1" x14ac:dyDescent="0.3">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row>
    <row r="726" spans="1:25" ht="14.25" customHeight="1" x14ac:dyDescent="0.3">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row>
    <row r="727" spans="1:25" ht="14.25" customHeight="1" x14ac:dyDescent="0.3">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row>
    <row r="728" spans="1:25" ht="14.25" customHeight="1" x14ac:dyDescent="0.3">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row>
    <row r="729" spans="1:25" ht="14.25" customHeight="1" x14ac:dyDescent="0.3">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row>
    <row r="730" spans="1:25" ht="14.25" customHeight="1" x14ac:dyDescent="0.3">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row>
    <row r="731" spans="1:25" ht="14.25" customHeight="1" x14ac:dyDescent="0.3">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row>
    <row r="732" spans="1:25" ht="14.25" customHeight="1" x14ac:dyDescent="0.3">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row>
    <row r="733" spans="1:25" ht="14.25" customHeight="1" x14ac:dyDescent="0.3">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row>
    <row r="734" spans="1:25" ht="14.25" customHeight="1" x14ac:dyDescent="0.3">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row>
    <row r="735" spans="1:25" ht="14.25" customHeight="1" x14ac:dyDescent="0.3">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row>
    <row r="736" spans="1:25" ht="14.25" customHeight="1" x14ac:dyDescent="0.3">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row>
    <row r="737" spans="1:25" ht="14.25" customHeight="1" x14ac:dyDescent="0.3">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row>
    <row r="738" spans="1:25" ht="14.25" customHeight="1" x14ac:dyDescent="0.3">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row>
    <row r="739" spans="1:25" ht="14.25" customHeight="1" x14ac:dyDescent="0.3">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row>
    <row r="740" spans="1:25" ht="14.25" customHeight="1" x14ac:dyDescent="0.3">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row>
    <row r="741" spans="1:25" ht="14.25" customHeight="1" x14ac:dyDescent="0.3">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row>
    <row r="742" spans="1:25" ht="14.25" customHeight="1" x14ac:dyDescent="0.3">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row>
    <row r="743" spans="1:25" ht="14.25" customHeight="1" x14ac:dyDescent="0.3">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row>
    <row r="744" spans="1:25" ht="14.25" customHeight="1" x14ac:dyDescent="0.3">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row>
    <row r="745" spans="1:25" ht="14.25" customHeight="1" x14ac:dyDescent="0.3">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row>
    <row r="746" spans="1:25" ht="14.25" customHeight="1" x14ac:dyDescent="0.3">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row>
    <row r="747" spans="1:25" ht="14.25" customHeight="1" x14ac:dyDescent="0.3">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row>
    <row r="748" spans="1:25" ht="14.25" customHeight="1" x14ac:dyDescent="0.3">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row>
    <row r="749" spans="1:25" ht="14.25" customHeight="1" x14ac:dyDescent="0.3">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row>
    <row r="750" spans="1:25" ht="14.25" customHeight="1" x14ac:dyDescent="0.3">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row>
    <row r="751" spans="1:25" ht="14.25" customHeight="1" x14ac:dyDescent="0.3">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row>
    <row r="752" spans="1:25" ht="14.25" customHeight="1" x14ac:dyDescent="0.3">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row>
    <row r="753" spans="1:25" ht="14.25" customHeight="1" x14ac:dyDescent="0.3">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row>
    <row r="754" spans="1:25" ht="14.25" customHeight="1" x14ac:dyDescent="0.3">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row>
    <row r="755" spans="1:25" ht="14.25" customHeight="1" x14ac:dyDescent="0.3">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row>
    <row r="756" spans="1:25" ht="14.25" customHeight="1" x14ac:dyDescent="0.3">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row>
    <row r="757" spans="1:25" ht="14.25" customHeight="1" x14ac:dyDescent="0.3">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row>
    <row r="758" spans="1:25" ht="14.25" customHeight="1" x14ac:dyDescent="0.3">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row>
    <row r="759" spans="1:25" ht="14.25" customHeight="1" x14ac:dyDescent="0.3">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row>
    <row r="760" spans="1:25" ht="14.25" customHeight="1" x14ac:dyDescent="0.3">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row>
    <row r="761" spans="1:25" ht="14.25" customHeight="1" x14ac:dyDescent="0.3">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row>
    <row r="762" spans="1:25" ht="14.25" customHeight="1" x14ac:dyDescent="0.3">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row>
    <row r="763" spans="1:25" ht="14.25" customHeight="1" x14ac:dyDescent="0.3">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row>
    <row r="764" spans="1:25" ht="14.25" customHeight="1" x14ac:dyDescent="0.3">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row>
    <row r="765" spans="1:25" ht="14.25" customHeight="1" x14ac:dyDescent="0.3">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row>
    <row r="766" spans="1:25" ht="14.25" customHeight="1" x14ac:dyDescent="0.3">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row>
    <row r="767" spans="1:25" ht="14.25" customHeight="1" x14ac:dyDescent="0.3">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row>
    <row r="768" spans="1:25" ht="14.25" customHeight="1" x14ac:dyDescent="0.3">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row>
    <row r="769" spans="1:25" ht="14.25" customHeight="1" x14ac:dyDescent="0.3">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row>
    <row r="770" spans="1:25" ht="14.25" customHeight="1" x14ac:dyDescent="0.3">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row>
    <row r="771" spans="1:25" ht="14.25" customHeight="1" x14ac:dyDescent="0.3">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row>
    <row r="772" spans="1:25" ht="14.25" customHeight="1" x14ac:dyDescent="0.3">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row>
    <row r="773" spans="1:25" ht="14.25" customHeight="1" x14ac:dyDescent="0.3">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row>
    <row r="774" spans="1:25" ht="14.25" customHeight="1" x14ac:dyDescent="0.3">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row>
    <row r="775" spans="1:25" ht="14.25" customHeight="1" x14ac:dyDescent="0.3">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row>
    <row r="776" spans="1:25" ht="14.25" customHeight="1" x14ac:dyDescent="0.3">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row>
    <row r="777" spans="1:25" ht="14.25" customHeight="1" x14ac:dyDescent="0.3">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row>
    <row r="778" spans="1:25" ht="14.25" customHeight="1" x14ac:dyDescent="0.3">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row>
    <row r="779" spans="1:25" ht="14.25" customHeight="1" x14ac:dyDescent="0.3">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row>
    <row r="780" spans="1:25" ht="14.25" customHeight="1" x14ac:dyDescent="0.3">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row>
    <row r="781" spans="1:25" ht="14.25" customHeight="1" x14ac:dyDescent="0.3">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row>
    <row r="782" spans="1:25" ht="14.25" customHeight="1" x14ac:dyDescent="0.3">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row>
    <row r="783" spans="1:25" ht="14.25" customHeight="1" x14ac:dyDescent="0.3">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row>
    <row r="784" spans="1:25" ht="14.25" customHeight="1" x14ac:dyDescent="0.3">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row>
    <row r="785" spans="1:25" ht="14.25" customHeight="1" x14ac:dyDescent="0.3">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row>
    <row r="786" spans="1:25" ht="14.25" customHeight="1" x14ac:dyDescent="0.3">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row>
    <row r="787" spans="1:25" ht="14.25" customHeight="1" x14ac:dyDescent="0.3">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row>
    <row r="788" spans="1:25" ht="14.25" customHeight="1" x14ac:dyDescent="0.3">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row>
    <row r="789" spans="1:25" ht="14.25" customHeight="1" x14ac:dyDescent="0.3">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row>
    <row r="790" spans="1:25" ht="14.25" customHeight="1" x14ac:dyDescent="0.3">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row>
    <row r="791" spans="1:25" ht="14.25" customHeight="1" x14ac:dyDescent="0.3">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row>
    <row r="792" spans="1:25" ht="14.25" customHeight="1" x14ac:dyDescent="0.3">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row>
    <row r="793" spans="1:25" ht="14.25" customHeight="1" x14ac:dyDescent="0.3">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row>
    <row r="794" spans="1:25" ht="14.25" customHeight="1" x14ac:dyDescent="0.3">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row>
    <row r="795" spans="1:25" ht="14.25" customHeight="1" x14ac:dyDescent="0.3">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row>
    <row r="796" spans="1:25" ht="14.25" customHeight="1" x14ac:dyDescent="0.3">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row>
    <row r="797" spans="1:25" ht="14.25" customHeight="1" x14ac:dyDescent="0.3">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row>
    <row r="798" spans="1:25" ht="14.25" customHeight="1" x14ac:dyDescent="0.3">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row>
    <row r="799" spans="1:25" ht="14.25" customHeight="1" x14ac:dyDescent="0.3">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row>
    <row r="800" spans="1:25" ht="14.25" customHeight="1" x14ac:dyDescent="0.3">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row>
    <row r="801" spans="1:25" ht="14.25" customHeight="1" x14ac:dyDescent="0.3">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row>
    <row r="802" spans="1:25" ht="14.25" customHeight="1" x14ac:dyDescent="0.3">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row>
    <row r="803" spans="1:25" ht="14.25" customHeight="1" x14ac:dyDescent="0.3">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row>
    <row r="804" spans="1:25" ht="14.25" customHeight="1" x14ac:dyDescent="0.3">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row>
    <row r="805" spans="1:25" ht="14.25" customHeight="1" x14ac:dyDescent="0.3">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row>
    <row r="806" spans="1:25" ht="14.25" customHeight="1" x14ac:dyDescent="0.3">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row>
    <row r="807" spans="1:25" ht="14.25" customHeight="1" x14ac:dyDescent="0.3">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row>
    <row r="808" spans="1:25" ht="14.25" customHeight="1" x14ac:dyDescent="0.3">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row>
    <row r="809" spans="1:25" ht="14.25" customHeight="1" x14ac:dyDescent="0.3">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row>
    <row r="810" spans="1:25" ht="14.25" customHeight="1" x14ac:dyDescent="0.3">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row>
    <row r="811" spans="1:25" ht="14.25" customHeight="1" x14ac:dyDescent="0.3">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row>
    <row r="812" spans="1:25" ht="14.25" customHeight="1" x14ac:dyDescent="0.3">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row>
    <row r="813" spans="1:25" ht="14.25" customHeight="1" x14ac:dyDescent="0.3">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row>
    <row r="814" spans="1:25" ht="14.25" customHeight="1" x14ac:dyDescent="0.3">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row>
    <row r="815" spans="1:25" ht="14.25" customHeight="1" x14ac:dyDescent="0.3">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row>
    <row r="816" spans="1:25" ht="14.25" customHeight="1" x14ac:dyDescent="0.3">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row>
    <row r="817" spans="1:25" ht="14.25" customHeight="1" x14ac:dyDescent="0.3">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row>
    <row r="818" spans="1:25" ht="14.25" customHeight="1" x14ac:dyDescent="0.3">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row>
    <row r="819" spans="1:25" ht="14.25" customHeight="1" x14ac:dyDescent="0.3">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row>
    <row r="820" spans="1:25" ht="14.25" customHeight="1" x14ac:dyDescent="0.3">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row>
    <row r="821" spans="1:25" ht="14.25" customHeight="1" x14ac:dyDescent="0.3">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row>
    <row r="822" spans="1:25" ht="14.25" customHeight="1" x14ac:dyDescent="0.3">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row>
    <row r="823" spans="1:25" ht="14.25" customHeight="1" x14ac:dyDescent="0.3">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row>
    <row r="824" spans="1:25" ht="14.25" customHeight="1" x14ac:dyDescent="0.3">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row>
    <row r="825" spans="1:25" ht="14.25" customHeight="1" x14ac:dyDescent="0.3">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row>
    <row r="826" spans="1:25" ht="14.25" customHeight="1" x14ac:dyDescent="0.3">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row>
    <row r="827" spans="1:25" ht="14.25" customHeight="1" x14ac:dyDescent="0.3">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row>
    <row r="828" spans="1:25" ht="14.25" customHeight="1" x14ac:dyDescent="0.3">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row>
    <row r="829" spans="1:25" ht="14.25" customHeight="1" x14ac:dyDescent="0.3">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row>
    <row r="830" spans="1:25" ht="14.25" customHeight="1" x14ac:dyDescent="0.3">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row>
    <row r="831" spans="1:25" ht="14.25" customHeight="1" x14ac:dyDescent="0.3">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row>
    <row r="832" spans="1:25" ht="14.25" customHeight="1" x14ac:dyDescent="0.3">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row>
    <row r="833" spans="1:25" ht="14.25" customHeight="1" x14ac:dyDescent="0.3">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row>
    <row r="834" spans="1:25" ht="14.25" customHeight="1" x14ac:dyDescent="0.3">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row>
    <row r="835" spans="1:25" ht="14.25" customHeight="1" x14ac:dyDescent="0.3">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row>
    <row r="836" spans="1:25" ht="14.25" customHeight="1" x14ac:dyDescent="0.3">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row>
    <row r="837" spans="1:25" ht="14.25" customHeight="1" x14ac:dyDescent="0.3">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row>
    <row r="838" spans="1:25" ht="14.25" customHeight="1" x14ac:dyDescent="0.3">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row>
    <row r="839" spans="1:25" ht="14.25" customHeight="1" x14ac:dyDescent="0.3">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row>
    <row r="840" spans="1:25" ht="14.25" customHeight="1" x14ac:dyDescent="0.3">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row>
    <row r="841" spans="1:25" ht="14.25" customHeight="1" x14ac:dyDescent="0.3">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row>
    <row r="842" spans="1:25" ht="14.25" customHeight="1" x14ac:dyDescent="0.3">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row>
    <row r="843" spans="1:25" ht="14.25" customHeight="1" x14ac:dyDescent="0.3">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row>
    <row r="844" spans="1:25" ht="14.25" customHeight="1" x14ac:dyDescent="0.3">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row>
    <row r="845" spans="1:25" ht="14.25" customHeight="1" x14ac:dyDescent="0.3">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row>
    <row r="846" spans="1:25" ht="14.25" customHeight="1" x14ac:dyDescent="0.3">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row>
    <row r="847" spans="1:25" ht="14.25" customHeight="1" x14ac:dyDescent="0.3">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row>
    <row r="848" spans="1:25" ht="14.25" customHeight="1" x14ac:dyDescent="0.3">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row>
    <row r="849" spans="1:25" ht="14.25" customHeight="1" x14ac:dyDescent="0.3">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row>
    <row r="850" spans="1:25" ht="14.25" customHeight="1" x14ac:dyDescent="0.3">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row>
    <row r="851" spans="1:25" ht="14.25" customHeight="1" x14ac:dyDescent="0.3">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row>
    <row r="852" spans="1:25" ht="14.25" customHeight="1" x14ac:dyDescent="0.3">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row>
    <row r="853" spans="1:25" ht="14.25" customHeight="1" x14ac:dyDescent="0.3">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row>
    <row r="854" spans="1:25" ht="14.25" customHeight="1" x14ac:dyDescent="0.3">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row>
    <row r="855" spans="1:25" ht="14.25" customHeight="1" x14ac:dyDescent="0.3">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row>
    <row r="856" spans="1:25" ht="14.25" customHeight="1" x14ac:dyDescent="0.3">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row>
    <row r="857" spans="1:25" ht="14.25" customHeight="1" x14ac:dyDescent="0.3">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row>
    <row r="858" spans="1:25" ht="14.25" customHeight="1" x14ac:dyDescent="0.3">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row>
    <row r="859" spans="1:25" ht="14.25" customHeight="1" x14ac:dyDescent="0.3">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row>
    <row r="860" spans="1:25" ht="14.25" customHeight="1" x14ac:dyDescent="0.3">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row>
    <row r="861" spans="1:25" ht="14.25" customHeight="1" x14ac:dyDescent="0.3">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row>
    <row r="862" spans="1:25" ht="14.25" customHeight="1" x14ac:dyDescent="0.3">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row>
    <row r="863" spans="1:25" ht="14.25" customHeight="1" x14ac:dyDescent="0.3">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row>
    <row r="864" spans="1:25" ht="14.25" customHeight="1" x14ac:dyDescent="0.3">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row>
    <row r="865" spans="1:25" ht="14.25" customHeight="1" x14ac:dyDescent="0.3">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row>
    <row r="866" spans="1:25" ht="14.25" customHeight="1" x14ac:dyDescent="0.3">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row>
    <row r="867" spans="1:25" ht="14.25" customHeight="1" x14ac:dyDescent="0.3">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row>
    <row r="868" spans="1:25" ht="14.25" customHeight="1" x14ac:dyDescent="0.3">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row>
    <row r="869" spans="1:25" ht="14.25" customHeight="1" x14ac:dyDescent="0.3">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row>
    <row r="870" spans="1:25" ht="14.25" customHeight="1" x14ac:dyDescent="0.3">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row>
    <row r="871" spans="1:25" ht="14.25" customHeight="1" x14ac:dyDescent="0.3">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row>
    <row r="872" spans="1:25" ht="14.25" customHeight="1" x14ac:dyDescent="0.3">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row>
    <row r="873" spans="1:25" ht="14.25" customHeight="1" x14ac:dyDescent="0.3">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row>
    <row r="874" spans="1:25" ht="14.25" customHeight="1" x14ac:dyDescent="0.3">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row>
    <row r="875" spans="1:25" ht="14.25" customHeight="1" x14ac:dyDescent="0.3">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row>
    <row r="876" spans="1:25" ht="14.25" customHeight="1" x14ac:dyDescent="0.3">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row>
    <row r="877" spans="1:25" ht="14.25" customHeight="1" x14ac:dyDescent="0.3">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row>
    <row r="878" spans="1:25" ht="14.25" customHeight="1" x14ac:dyDescent="0.3">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row>
    <row r="879" spans="1:25" ht="14.25" customHeight="1" x14ac:dyDescent="0.3">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row>
    <row r="880" spans="1:25" ht="14.25" customHeight="1" x14ac:dyDescent="0.3">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row>
    <row r="881" spans="1:25" ht="14.25" customHeight="1" x14ac:dyDescent="0.3">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row>
    <row r="882" spans="1:25" ht="14.25" customHeight="1" x14ac:dyDescent="0.3">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row>
    <row r="883" spans="1:25" ht="14.25" customHeight="1" x14ac:dyDescent="0.3">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row>
    <row r="884" spans="1:25" ht="14.25" customHeight="1" x14ac:dyDescent="0.3">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row>
    <row r="885" spans="1:25" ht="14.25" customHeight="1" x14ac:dyDescent="0.3">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row>
    <row r="886" spans="1:25" ht="14.25" customHeight="1" x14ac:dyDescent="0.3">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row>
    <row r="887" spans="1:25" ht="14.25" customHeight="1" x14ac:dyDescent="0.3">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row>
    <row r="888" spans="1:25" ht="14.25" customHeight="1" x14ac:dyDescent="0.3">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row>
    <row r="889" spans="1:25" ht="14.25" customHeight="1" x14ac:dyDescent="0.3">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row>
    <row r="890" spans="1:25" ht="14.25" customHeight="1" x14ac:dyDescent="0.3">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row>
    <row r="891" spans="1:25" ht="14.25" customHeight="1" x14ac:dyDescent="0.3">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row>
    <row r="892" spans="1:25" ht="14.25" customHeight="1" x14ac:dyDescent="0.3">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row>
    <row r="893" spans="1:25" ht="14.25" customHeight="1" x14ac:dyDescent="0.3">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row>
    <row r="894" spans="1:25" ht="14.25" customHeight="1" x14ac:dyDescent="0.3">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row>
    <row r="895" spans="1:25" ht="14.25" customHeight="1" x14ac:dyDescent="0.3">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row>
    <row r="896" spans="1:25" ht="14.25" customHeight="1" x14ac:dyDescent="0.3">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row>
    <row r="897" spans="1:25" ht="14.25" customHeight="1" x14ac:dyDescent="0.3">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row>
    <row r="898" spans="1:25" ht="14.25" customHeight="1" x14ac:dyDescent="0.3">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row>
    <row r="899" spans="1:25" ht="14.25" customHeight="1" x14ac:dyDescent="0.3">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row>
    <row r="900" spans="1:25" ht="14.25" customHeight="1" x14ac:dyDescent="0.3">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row>
    <row r="901" spans="1:25" ht="14.25" customHeight="1" x14ac:dyDescent="0.3">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row>
    <row r="902" spans="1:25" ht="14.25" customHeight="1" x14ac:dyDescent="0.3">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row>
    <row r="903" spans="1:25" ht="14.25" customHeight="1" x14ac:dyDescent="0.3">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row>
    <row r="904" spans="1:25" ht="14.25" customHeight="1" x14ac:dyDescent="0.3">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row>
    <row r="905" spans="1:25" ht="14.25" customHeight="1" x14ac:dyDescent="0.3">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row>
    <row r="906" spans="1:25" ht="14.25" customHeight="1" x14ac:dyDescent="0.3">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row>
    <row r="907" spans="1:25" ht="14.25" customHeight="1" x14ac:dyDescent="0.3">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row>
    <row r="908" spans="1:25" ht="14.25" customHeight="1" x14ac:dyDescent="0.3">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row>
    <row r="909" spans="1:25" ht="14.25" customHeight="1" x14ac:dyDescent="0.3">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row>
    <row r="910" spans="1:25" ht="14.25" customHeight="1" x14ac:dyDescent="0.3">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row>
    <row r="911" spans="1:25" ht="14.25" customHeight="1" x14ac:dyDescent="0.3">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row>
    <row r="912" spans="1:25" ht="14.25" customHeight="1" x14ac:dyDescent="0.3">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row>
    <row r="913" spans="1:25" ht="14.25" customHeight="1" x14ac:dyDescent="0.3">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row>
    <row r="914" spans="1:25" ht="14.25" customHeight="1" x14ac:dyDescent="0.3">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row>
    <row r="915" spans="1:25" ht="14.25" customHeight="1" x14ac:dyDescent="0.3">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row>
    <row r="916" spans="1:25" ht="14.25" customHeight="1" x14ac:dyDescent="0.3">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row>
    <row r="917" spans="1:25" ht="14.25" customHeight="1" x14ac:dyDescent="0.3">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row>
    <row r="918" spans="1:25" ht="14.25" customHeight="1" x14ac:dyDescent="0.3">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row>
    <row r="919" spans="1:25" ht="14.25" customHeight="1" x14ac:dyDescent="0.3">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row>
    <row r="920" spans="1:25" ht="14.25" customHeight="1" x14ac:dyDescent="0.3">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row>
    <row r="921" spans="1:25" ht="14.25" customHeight="1" x14ac:dyDescent="0.3">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row>
    <row r="922" spans="1:25" ht="14.25" customHeight="1" x14ac:dyDescent="0.3">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row>
    <row r="923" spans="1:25" ht="14.25" customHeight="1" x14ac:dyDescent="0.3">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row>
    <row r="924" spans="1:25" ht="14.25" customHeight="1" x14ac:dyDescent="0.3">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row>
    <row r="925" spans="1:25" ht="14.25" customHeight="1" x14ac:dyDescent="0.3">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row>
    <row r="926" spans="1:25" ht="14.25" customHeight="1" x14ac:dyDescent="0.3">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row>
    <row r="927" spans="1:25" ht="14.25" customHeight="1" x14ac:dyDescent="0.3">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row>
    <row r="928" spans="1:25" ht="14.25" customHeight="1" x14ac:dyDescent="0.3">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row>
    <row r="929" spans="1:25" ht="14.25" customHeight="1" x14ac:dyDescent="0.3">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row>
    <row r="930" spans="1:25" ht="14.25" customHeight="1" x14ac:dyDescent="0.3">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row>
    <row r="931" spans="1:25" ht="14.25" customHeight="1" x14ac:dyDescent="0.3">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row>
    <row r="932" spans="1:25" ht="14.25" customHeight="1" x14ac:dyDescent="0.3">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row>
    <row r="933" spans="1:25" ht="14.25" customHeight="1" x14ac:dyDescent="0.3">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row>
    <row r="934" spans="1:25" ht="14.25" customHeight="1" x14ac:dyDescent="0.3">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row>
    <row r="935" spans="1:25" ht="14.25" customHeight="1" x14ac:dyDescent="0.3">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row>
    <row r="936" spans="1:25" ht="14.25" customHeight="1" x14ac:dyDescent="0.3">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row>
    <row r="937" spans="1:25" ht="14.25" customHeight="1" x14ac:dyDescent="0.3">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row>
    <row r="938" spans="1:25" ht="14.25" customHeight="1" x14ac:dyDescent="0.3">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row>
    <row r="939" spans="1:25" ht="14.25" customHeight="1" x14ac:dyDescent="0.3">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row>
    <row r="940" spans="1:25" ht="14.25" customHeight="1" x14ac:dyDescent="0.3">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row>
    <row r="941" spans="1:25" ht="14.25" customHeight="1" x14ac:dyDescent="0.3">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row>
    <row r="942" spans="1:25" ht="14.25" customHeight="1" x14ac:dyDescent="0.3">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row>
    <row r="943" spans="1:25" ht="14.25" customHeight="1" x14ac:dyDescent="0.3">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row>
    <row r="944" spans="1:25" ht="14.25" customHeight="1" x14ac:dyDescent="0.3">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row>
    <row r="945" spans="1:25" ht="14.25" customHeight="1" x14ac:dyDescent="0.3">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row>
    <row r="946" spans="1:25" ht="14.25" customHeight="1" x14ac:dyDescent="0.3">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row>
    <row r="947" spans="1:25" ht="14.25" customHeight="1" x14ac:dyDescent="0.3">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row>
    <row r="948" spans="1:25" ht="14.25" customHeight="1" x14ac:dyDescent="0.3">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row>
    <row r="949" spans="1:25" ht="14.25" customHeight="1" x14ac:dyDescent="0.3">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row>
    <row r="950" spans="1:25" ht="14.25" customHeight="1" x14ac:dyDescent="0.3">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row>
    <row r="951" spans="1:25" ht="14.25" customHeight="1" x14ac:dyDescent="0.3">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row>
    <row r="952" spans="1:25" ht="14.25" customHeight="1" x14ac:dyDescent="0.3">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row>
    <row r="953" spans="1:25" ht="14.25" customHeight="1" x14ac:dyDescent="0.3">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row>
    <row r="954" spans="1:25" ht="14.25" customHeight="1" x14ac:dyDescent="0.3">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row>
    <row r="955" spans="1:25" ht="14.25" customHeight="1" x14ac:dyDescent="0.3">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row>
    <row r="956" spans="1:25" ht="14.25" customHeight="1" x14ac:dyDescent="0.3">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row>
    <row r="957" spans="1:25" ht="14.25" customHeight="1" x14ac:dyDescent="0.3">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row>
    <row r="958" spans="1:25" ht="14.25" customHeight="1" x14ac:dyDescent="0.3">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row>
    <row r="959" spans="1:25" ht="14.25" customHeight="1" x14ac:dyDescent="0.3">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row>
    <row r="960" spans="1:25" ht="14.25" customHeight="1" x14ac:dyDescent="0.3">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row>
    <row r="961" spans="1:25" ht="14.25" customHeight="1" x14ac:dyDescent="0.3">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row>
    <row r="962" spans="1:25" ht="14.25" customHeight="1" x14ac:dyDescent="0.3">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row>
    <row r="963" spans="1:25" ht="14.25" customHeight="1" x14ac:dyDescent="0.3">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row>
    <row r="964" spans="1:25" ht="14.25" customHeight="1" x14ac:dyDescent="0.3">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row>
    <row r="965" spans="1:25" ht="14.25" customHeight="1" x14ac:dyDescent="0.3">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row>
    <row r="966" spans="1:25" ht="14.25" customHeight="1" x14ac:dyDescent="0.3">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row>
    <row r="967" spans="1:25" ht="14.25" customHeight="1" x14ac:dyDescent="0.3">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row>
    <row r="968" spans="1:25" ht="14.25" customHeight="1" x14ac:dyDescent="0.3">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row>
    <row r="969" spans="1:25" ht="14.25" customHeight="1" x14ac:dyDescent="0.3">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row>
    <row r="970" spans="1:25" ht="14.25" customHeight="1" x14ac:dyDescent="0.3">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row>
    <row r="971" spans="1:25" ht="14.25" customHeight="1" x14ac:dyDescent="0.3">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row>
    <row r="972" spans="1:25" ht="14.25" customHeight="1" x14ac:dyDescent="0.3">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row>
    <row r="973" spans="1:25" ht="14.25" customHeight="1" x14ac:dyDescent="0.3">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row>
    <row r="974" spans="1:25" ht="14.25" customHeight="1" x14ac:dyDescent="0.3">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row>
    <row r="975" spans="1:25" ht="14.25" customHeight="1" x14ac:dyDescent="0.3">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row>
    <row r="976" spans="1:25" ht="14.25" customHeight="1" x14ac:dyDescent="0.3">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row>
    <row r="977" spans="1:25" ht="14.25" customHeight="1" x14ac:dyDescent="0.3">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row>
    <row r="978" spans="1:25" ht="14.25" customHeight="1" x14ac:dyDescent="0.3">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row>
    <row r="979" spans="1:25" ht="14.25" customHeight="1" x14ac:dyDescent="0.3">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row>
    <row r="980" spans="1:25" ht="14.25" customHeight="1" x14ac:dyDescent="0.3">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row>
    <row r="981" spans="1:25" ht="14.25" customHeight="1" x14ac:dyDescent="0.3">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row>
    <row r="982" spans="1:25" ht="14.25" customHeight="1" x14ac:dyDescent="0.3">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row>
    <row r="983" spans="1:25" ht="14.25" customHeight="1" x14ac:dyDescent="0.3">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row>
    <row r="984" spans="1:25" ht="14.25" customHeight="1" x14ac:dyDescent="0.3">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row>
    <row r="985" spans="1:25" ht="14.25" customHeight="1" x14ac:dyDescent="0.3">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row>
    <row r="986" spans="1:25" ht="14.25" customHeight="1" x14ac:dyDescent="0.3">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row>
    <row r="987" spans="1:25" ht="14.25" customHeight="1" x14ac:dyDescent="0.3">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row>
    <row r="988" spans="1:25" ht="14.25" customHeight="1" x14ac:dyDescent="0.3">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row>
    <row r="989" spans="1:25" ht="14.25" customHeight="1" x14ac:dyDescent="0.3">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row>
    <row r="990" spans="1:25" ht="14.25" customHeight="1" x14ac:dyDescent="0.3">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row>
    <row r="991" spans="1:25" ht="14.25" customHeight="1" x14ac:dyDescent="0.3">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row>
    <row r="992" spans="1:25" ht="14.25" customHeight="1" x14ac:dyDescent="0.3">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row>
    <row r="993" spans="1:25" ht="14.25" customHeight="1" x14ac:dyDescent="0.3">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row>
    <row r="994" spans="1:25" ht="14.25" customHeight="1" x14ac:dyDescent="0.3">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row>
    <row r="995" spans="1:25" ht="14.25" customHeight="1" x14ac:dyDescent="0.3">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row>
    <row r="996" spans="1:25" ht="14.25" customHeight="1" x14ac:dyDescent="0.3">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row>
    <row r="997" spans="1:25" ht="14.25" customHeight="1" x14ac:dyDescent="0.3">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row>
    <row r="998" spans="1:25" ht="14.25" customHeight="1" x14ac:dyDescent="0.3">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row>
    <row r="999" spans="1:25" ht="14.25" customHeight="1" x14ac:dyDescent="0.3">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row>
    <row r="1000" spans="1:25" ht="14.25" customHeight="1" x14ac:dyDescent="0.3">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row>
  </sheetData>
  <mergeCells count="33">
    <mergeCell ref="B22:M22"/>
    <mergeCell ref="B18:C18"/>
    <mergeCell ref="E18:G18"/>
    <mergeCell ref="B19:C19"/>
    <mergeCell ref="E19:G19"/>
    <mergeCell ref="B20:C20"/>
    <mergeCell ref="E20:G20"/>
    <mergeCell ref="B17:C17"/>
    <mergeCell ref="E17:G17"/>
    <mergeCell ref="B9:C9"/>
    <mergeCell ref="E9:M9"/>
    <mergeCell ref="B11:C11"/>
    <mergeCell ref="E11:G11"/>
    <mergeCell ref="B12:C12"/>
    <mergeCell ref="E12:G12"/>
    <mergeCell ref="B13:C13"/>
    <mergeCell ref="E13:G13"/>
    <mergeCell ref="B14:C14"/>
    <mergeCell ref="E14:G14"/>
    <mergeCell ref="B16:G16"/>
    <mergeCell ref="B6:C6"/>
    <mergeCell ref="E6:M6"/>
    <mergeCell ref="B7:C7"/>
    <mergeCell ref="E7:M7"/>
    <mergeCell ref="B8:C8"/>
    <mergeCell ref="E8:M8"/>
    <mergeCell ref="B5:C5"/>
    <mergeCell ref="E5:M5"/>
    <mergeCell ref="B1:M1"/>
    <mergeCell ref="B3:C3"/>
    <mergeCell ref="E3:M3"/>
    <mergeCell ref="B4:C4"/>
    <mergeCell ref="E4:M4"/>
  </mergeCells>
  <pageMargins left="0.7" right="0.7" top="0.75" bottom="0.75" header="0" footer="0"/>
  <pageSetup scale="6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8774-64A9-4333-949A-EA2412A9AA5A}">
  <dimension ref="A1:B15"/>
  <sheetViews>
    <sheetView workbookViewId="0">
      <selection activeCell="F9" sqref="F9"/>
    </sheetView>
  </sheetViews>
  <sheetFormatPr defaultRowHeight="14.4" x14ac:dyDescent="0.3"/>
  <sheetData>
    <row r="1" spans="1:2" x14ac:dyDescent="0.3">
      <c r="A1" s="126" t="s">
        <v>482</v>
      </c>
      <c r="B1" s="126" t="s">
        <v>483</v>
      </c>
    </row>
    <row r="2" spans="1:2" x14ac:dyDescent="0.3">
      <c r="A2" s="126" t="s">
        <v>484</v>
      </c>
      <c r="B2" s="126">
        <v>0</v>
      </c>
    </row>
    <row r="3" spans="1:2" x14ac:dyDescent="0.3">
      <c r="A3" s="126" t="s">
        <v>485</v>
      </c>
      <c r="B3" s="126">
        <v>10</v>
      </c>
    </row>
    <row r="4" spans="1:2" x14ac:dyDescent="0.3">
      <c r="A4" s="126" t="s">
        <v>486</v>
      </c>
      <c r="B4" s="126">
        <v>50</v>
      </c>
    </row>
    <row r="5" spans="1:2" x14ac:dyDescent="0.3">
      <c r="A5" s="126" t="s">
        <v>209</v>
      </c>
      <c r="B5" s="126">
        <v>80</v>
      </c>
    </row>
    <row r="6" spans="1:2" x14ac:dyDescent="0.3">
      <c r="A6" s="126" t="s">
        <v>202</v>
      </c>
      <c r="B6" s="126">
        <v>90</v>
      </c>
    </row>
    <row r="7" spans="1:2" x14ac:dyDescent="0.3">
      <c r="A7" s="126" t="s">
        <v>487</v>
      </c>
      <c r="B7" s="126">
        <v>100</v>
      </c>
    </row>
    <row r="11" spans="1:2" x14ac:dyDescent="0.3">
      <c r="A11" s="126" t="s">
        <v>488</v>
      </c>
      <c r="B11" s="126" t="s">
        <v>489</v>
      </c>
    </row>
    <row r="12" spans="1:2" x14ac:dyDescent="0.3">
      <c r="A12" s="127" t="s">
        <v>38</v>
      </c>
      <c r="B12" s="127">
        <v>90</v>
      </c>
    </row>
    <row r="13" spans="1:2" x14ac:dyDescent="0.3">
      <c r="A13" s="127" t="s">
        <v>35</v>
      </c>
      <c r="B13" s="127">
        <v>80</v>
      </c>
    </row>
    <row r="14" spans="1:2" x14ac:dyDescent="0.3">
      <c r="A14" s="127" t="s">
        <v>37</v>
      </c>
      <c r="B14" s="127">
        <v>50</v>
      </c>
    </row>
    <row r="15" spans="1:2" x14ac:dyDescent="0.3">
      <c r="A15" s="128" t="s">
        <v>71</v>
      </c>
      <c r="B15" s="12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7E0333-FA27-45DE-9C8D-E74538672AF7}">
  <ds:schemaRefs>
    <ds:schemaRef ds:uri="http://www.w3.org/XML/1998/namespace"/>
    <ds:schemaRef ds:uri="http://schemas.microsoft.com/office/infopath/2007/PartnerControls"/>
    <ds:schemaRef ds:uri="http://purl.org/dc/dcmitype/"/>
    <ds:schemaRef ds:uri="157c0300-1a4d-4765-81f9-fd1314fe0b95"/>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519B0EAB-D5DE-4069-BDD3-CC93AB5CB859}">
  <ds:schemaRefs>
    <ds:schemaRef ds:uri="http://schemas.microsoft.com/sharepoint/v3/contenttype/forms"/>
  </ds:schemaRefs>
</ds:datastoreItem>
</file>

<file path=customXml/itemProps3.xml><?xml version="1.0" encoding="utf-8"?>
<ds:datastoreItem xmlns:ds="http://schemas.openxmlformats.org/officeDocument/2006/customXml" ds:itemID="{B0465421-3A69-4BAC-82B7-ECCAA2FB4B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6</vt:i4>
      </vt:variant>
      <vt:variant>
        <vt:lpstr>Intervals amb nom</vt:lpstr>
      </vt:variant>
      <vt:variant>
        <vt:i4>8</vt:i4>
      </vt:variant>
    </vt:vector>
  </HeadingPairs>
  <TitlesOfParts>
    <vt:vector size="14" baseType="lpstr">
      <vt:lpstr>Cabecera</vt:lpstr>
      <vt:lpstr>Categorización</vt:lpstr>
      <vt:lpstr>Articulado</vt:lpstr>
      <vt:lpstr>Aplicabilidad</vt:lpstr>
      <vt:lpstr>Criterios IM-IC</vt:lpstr>
      <vt:lpstr>Tablas</vt:lpstr>
      <vt:lpstr>Categorización!_ftn1</vt:lpstr>
      <vt:lpstr>Categorización!_ftnref1</vt:lpstr>
      <vt:lpstr>Aplicabilidad!Àrea_d'impressió</vt:lpstr>
      <vt:lpstr>Articulado!Àrea_d'impressió</vt:lpstr>
      <vt:lpstr>'Criterios IM-IC'!Àrea_d'impressió</vt:lpstr>
      <vt:lpstr>IM</vt:lpstr>
      <vt:lpstr>Nivel_cumplimiento</vt:lpstr>
      <vt:lpstr>Nivel_madurez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2022-06-13T20:40:50Z</dcterms:created>
  <dcterms:modified xsi:type="dcterms:W3CDTF">2025-12-12T10:36:52Z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y fmtid="{D5CDD505-2E9C-101B-9397-08002B2CF9AE}" pid="3" name="MediaServiceImageTags">
    <vt:lpwstr/>
  </property>
  <property fmtid="{D5CDD505-2E9C-101B-9397-08002B2CF9AE}" pid="4" name="_ExtendedDescription">
    <vt:lpwstr/>
  </property>
</Properties>
</file>