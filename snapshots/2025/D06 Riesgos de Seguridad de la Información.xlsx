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xr:revisionPtr revIDLastSave="472" documentId="8_{AD22B0A0-D159-48CC-9A47-D4EAB1ABDC5D}" xr6:coauthVersionLast="47" xr6:coauthVersionMax="47" xr10:uidLastSave="{9066F018-F535-42A1-820A-2679A3E63A15}"/>
  <bookViews>
    <workbookView xWindow="-120" yWindow="-16320" windowWidth="29040" windowHeight="16440" activeTab="2" xr2:uid="{00000000-000D-0000-FFFF-FFFF00000000}"/>
  </bookViews>
  <sheets>
    <sheet name="Cabecera" sheetId="8" r:id="rId1"/>
    <sheet name="Oportunidades SGSI" sheetId="3" state="hidden" r:id="rId2"/>
    <sheet name="Evaluació Riesgos 2025" sheetId="10" r:id="rId3"/>
    <sheet name="Criterios NR" sheetId="11" r:id="rId4"/>
    <sheet name="Listas" sheetId="5" r:id="rId5"/>
    <sheet name="Lista sugerencias" sheetId="6" r:id="rId6"/>
  </sheets>
  <externalReferences>
    <externalReference r:id="rId7"/>
    <externalReference r:id="rId8"/>
  </externalReferences>
  <definedNames>
    <definedName name="_xlnm._FilterDatabase" localSheetId="2" hidden="1">'Evaluació Riesgos 2025'!$U$1:$U$297</definedName>
    <definedName name="_xlnm._FilterDatabase" localSheetId="1" hidden="1">'Oportunidades SGSI'!$A$3:$L$3</definedName>
    <definedName name="Detectabilidad" localSheetId="3">#REF!</definedName>
    <definedName name="Detectabilidad">#REF!</definedName>
    <definedName name="EFICACIA">Listas!$I$3:$I$5</definedName>
    <definedName name="IMPACTO" localSheetId="3">[1]Listas!$B$3:$B$7</definedName>
    <definedName name="IMPACTO">Listas!$B$3:$B$7</definedName>
    <definedName name="Ocurrencia" localSheetId="3">#REF!</definedName>
    <definedName name="Ocurrencia">#REF!</definedName>
    <definedName name="PRIORIDAD" localSheetId="3">[1]Listas!$A$12:$A$14</definedName>
    <definedName name="PRIORIDAD">Listas!$A$12:$A$14</definedName>
    <definedName name="PRIORITAT">[2]Listas!$I$10:$I$13</definedName>
    <definedName name="PROBABILIDAD" localSheetId="3">[1]Listas!$E$3:$E$7</definedName>
    <definedName name="PROBABILIDAD">Listas!$E$3:$E$7</definedName>
    <definedName name="Severidad" localSheetId="3">#REF!</definedName>
    <definedName name="Severidad">#REF!</definedName>
    <definedName name="State" localSheetId="3">#REF!</definedName>
    <definedName name="State">#REF!</definedName>
    <definedName name="TRATAMIENTO" localSheetId="3">[1]Listas!$G$3:$G$6</definedName>
    <definedName name="TRATAMIENTO">Listas!$G$3:$G$6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9" i="10" l="1"/>
  <c r="AD107" i="10"/>
  <c r="R134" i="10" l="1"/>
  <c r="R132" i="10"/>
  <c r="R131" i="10"/>
  <c r="G28" i="11" l="1"/>
  <c r="F28" i="11"/>
  <c r="E28" i="11"/>
  <c r="D28" i="11"/>
  <c r="C28" i="11"/>
  <c r="G27" i="11"/>
  <c r="F27" i="11"/>
  <c r="E27" i="11"/>
  <c r="D27" i="11"/>
  <c r="C27" i="11"/>
  <c r="G26" i="11"/>
  <c r="F26" i="11"/>
  <c r="E26" i="11"/>
  <c r="D26" i="11"/>
  <c r="C26" i="11"/>
  <c r="G25" i="11"/>
  <c r="F25" i="11"/>
  <c r="E25" i="11"/>
  <c r="D25" i="11"/>
  <c r="C25" i="11"/>
  <c r="G24" i="11"/>
  <c r="F24" i="11"/>
  <c r="E24" i="11"/>
  <c r="D24" i="11"/>
  <c r="C24" i="11"/>
  <c r="R297" i="10" l="1"/>
  <c r="AC297" i="10"/>
  <c r="R296" i="10"/>
  <c r="AC296" i="10" s="1"/>
  <c r="R295" i="10"/>
  <c r="AC295" i="10"/>
  <c r="R294" i="10"/>
  <c r="T294" i="10" s="1"/>
  <c r="U294" i="10" s="1"/>
  <c r="AF294" i="10" s="1"/>
  <c r="AC294" i="10"/>
  <c r="R293" i="10"/>
  <c r="AC293" i="10" s="1"/>
  <c r="AE293" i="10" s="1"/>
  <c r="R292" i="10"/>
  <c r="AC292" i="10" s="1"/>
  <c r="R291" i="10"/>
  <c r="AC291" i="10" s="1"/>
  <c r="R290" i="10"/>
  <c r="AC290" i="10" s="1"/>
  <c r="R289" i="10"/>
  <c r="AC289" i="10" s="1"/>
  <c r="R288" i="10"/>
  <c r="T288" i="10" s="1"/>
  <c r="R287" i="10"/>
  <c r="AC287" i="10"/>
  <c r="R286" i="10"/>
  <c r="AC286" i="10" s="1"/>
  <c r="R285" i="10"/>
  <c r="AC285" i="10"/>
  <c r="AE285" i="10" s="1"/>
  <c r="R284" i="10"/>
  <c r="T284" i="10" s="1"/>
  <c r="U284" i="10" s="1"/>
  <c r="AF284" i="10" s="1"/>
  <c r="R283" i="10"/>
  <c r="AC283" i="10"/>
  <c r="R282" i="10"/>
  <c r="T282" i="10" s="1"/>
  <c r="U282" i="10" s="1"/>
  <c r="AF282" i="10" s="1"/>
  <c r="R281" i="10"/>
  <c r="T281" i="10" s="1"/>
  <c r="U281" i="10" s="1"/>
  <c r="R280" i="10"/>
  <c r="AC280" i="10" s="1"/>
  <c r="R279" i="10"/>
  <c r="AC279" i="10" s="1"/>
  <c r="R278" i="10"/>
  <c r="AC278" i="10" s="1"/>
  <c r="R277" i="10"/>
  <c r="T277" i="10" s="1"/>
  <c r="U277" i="10" s="1"/>
  <c r="AF277" i="10" s="1"/>
  <c r="R276" i="10"/>
  <c r="AC276" i="10" s="1"/>
  <c r="R275" i="10"/>
  <c r="AC275" i="10" s="1"/>
  <c r="AE275" i="10" s="1"/>
  <c r="R274" i="10"/>
  <c r="AC274" i="10" s="1"/>
  <c r="R273" i="10"/>
  <c r="T273" i="10" s="1"/>
  <c r="U273" i="10" s="1"/>
  <c r="AF273" i="10" s="1"/>
  <c r="R272" i="10"/>
  <c r="AC272" i="10" s="1"/>
  <c r="R271" i="10"/>
  <c r="AC271" i="10" s="1"/>
  <c r="R270" i="10"/>
  <c r="AC270" i="10" s="1"/>
  <c r="AE270" i="10" s="1"/>
  <c r="R269" i="10"/>
  <c r="AC269" i="10"/>
  <c r="R268" i="10"/>
  <c r="T268" i="10" s="1"/>
  <c r="AC268" i="10"/>
  <c r="R267" i="10"/>
  <c r="T267" i="10" s="1"/>
  <c r="U267" i="10" s="1"/>
  <c r="AF267" i="10" s="1"/>
  <c r="R266" i="10"/>
  <c r="T266" i="10" s="1"/>
  <c r="U266" i="10" s="1"/>
  <c r="AF266" i="10" s="1"/>
  <c r="R265" i="10"/>
  <c r="T265" i="10" s="1"/>
  <c r="U265" i="10" s="1"/>
  <c r="AF265" i="10" s="1"/>
  <c r="R264" i="10"/>
  <c r="AC264" i="10" s="1"/>
  <c r="AE264" i="10" s="1"/>
  <c r="R263" i="10"/>
  <c r="T263" i="10" s="1"/>
  <c r="U263" i="10" s="1"/>
  <c r="AF263" i="10" s="1"/>
  <c r="R262" i="10"/>
  <c r="AC262" i="10"/>
  <c r="R261" i="10"/>
  <c r="T261" i="10" s="1"/>
  <c r="U261" i="10" s="1"/>
  <c r="AF261" i="10" s="1"/>
  <c r="R260" i="10"/>
  <c r="T260" i="10" s="1"/>
  <c r="U260" i="10" s="1"/>
  <c r="AF260" i="10" s="1"/>
  <c r="R259" i="10"/>
  <c r="T259" i="10" s="1"/>
  <c r="U259" i="10" s="1"/>
  <c r="AF259" i="10" s="1"/>
  <c r="R258" i="10"/>
  <c r="AC258" i="10" s="1"/>
  <c r="AE258" i="10" s="1"/>
  <c r="R257" i="10"/>
  <c r="T257" i="10" s="1"/>
  <c r="U257" i="10" s="1"/>
  <c r="AF257" i="10" s="1"/>
  <c r="R256" i="10"/>
  <c r="AC256" i="10" s="1"/>
  <c r="R255" i="10"/>
  <c r="T255" i="10" s="1"/>
  <c r="U255" i="10" s="1"/>
  <c r="AF255" i="10" s="1"/>
  <c r="R254" i="10"/>
  <c r="AC254" i="10" s="1"/>
  <c r="R253" i="10"/>
  <c r="AC253" i="10" s="1"/>
  <c r="R252" i="10"/>
  <c r="AC252" i="10"/>
  <c r="R251" i="10"/>
  <c r="AC251" i="10"/>
  <c r="R250" i="10"/>
  <c r="AC250" i="10"/>
  <c r="R249" i="10"/>
  <c r="T249" i="10" s="1"/>
  <c r="U249" i="10" s="1"/>
  <c r="AF249" i="10" s="1"/>
  <c r="AC249" i="10"/>
  <c r="R248" i="10"/>
  <c r="AC248" i="10" s="1"/>
  <c r="R247" i="10"/>
  <c r="AC247" i="10"/>
  <c r="R246" i="10"/>
  <c r="AC246" i="10"/>
  <c r="AE246" i="10" s="1"/>
  <c r="R245" i="10"/>
  <c r="AC245" i="10" s="1"/>
  <c r="AE245" i="10" s="1"/>
  <c r="R244" i="10"/>
  <c r="AC244" i="10" s="1"/>
  <c r="R243" i="10"/>
  <c r="T243" i="10" s="1"/>
  <c r="U243" i="10" s="1"/>
  <c r="AF243" i="10" s="1"/>
  <c r="R242" i="10"/>
  <c r="T242" i="10" s="1"/>
  <c r="U242" i="10" s="1"/>
  <c r="AF242" i="10" s="1"/>
  <c r="R241" i="10"/>
  <c r="R240" i="10"/>
  <c r="AC240" i="10" s="1"/>
  <c r="R239" i="10"/>
  <c r="AC239" i="10"/>
  <c r="R238" i="10"/>
  <c r="R237" i="10"/>
  <c r="AC237" i="10" s="1"/>
  <c r="R236" i="10"/>
  <c r="AC236" i="10" s="1"/>
  <c r="R235" i="10"/>
  <c r="AC235" i="10" s="1"/>
  <c r="AE235" i="10" s="1"/>
  <c r="R234" i="10"/>
  <c r="AC234" i="10" s="1"/>
  <c r="R233" i="10"/>
  <c r="AC233" i="10" s="1"/>
  <c r="R232" i="10"/>
  <c r="AC232" i="10" s="1"/>
  <c r="R231" i="10"/>
  <c r="AC231" i="10" s="1"/>
  <c r="R230" i="10"/>
  <c r="AC230" i="10" s="1"/>
  <c r="R229" i="10"/>
  <c r="T229" i="10"/>
  <c r="U229" i="10" s="1"/>
  <c r="AF229" i="10" s="1"/>
  <c r="R228" i="10"/>
  <c r="AC228" i="10" s="1"/>
  <c r="R227" i="10"/>
  <c r="AC227" i="10"/>
  <c r="AE227" i="10" s="1"/>
  <c r="R226" i="10"/>
  <c r="T226" i="10" s="1"/>
  <c r="U226" i="10" s="1"/>
  <c r="AF226" i="10" s="1"/>
  <c r="R225" i="10"/>
  <c r="AC225" i="10" s="1"/>
  <c r="R224" i="10"/>
  <c r="AC224" i="10" s="1"/>
  <c r="R223" i="10"/>
  <c r="AC223" i="10" s="1"/>
  <c r="AE223" i="10" s="1"/>
  <c r="R222" i="10"/>
  <c r="AC222" i="10" s="1"/>
  <c r="R221" i="10"/>
  <c r="T221" i="10" s="1"/>
  <c r="U221" i="10" s="1"/>
  <c r="AF221" i="10" s="1"/>
  <c r="AC221" i="10"/>
  <c r="R220" i="10"/>
  <c r="R219" i="10"/>
  <c r="AC219" i="10"/>
  <c r="AE219" i="10" s="1"/>
  <c r="R218" i="10"/>
  <c r="R217" i="10"/>
  <c r="AC217" i="10" s="1"/>
  <c r="R216" i="10"/>
  <c r="R215" i="10"/>
  <c r="AC215" i="10" s="1"/>
  <c r="R214" i="10"/>
  <c r="AC214" i="10" s="1"/>
  <c r="R213" i="10"/>
  <c r="AC213" i="10" s="1"/>
  <c r="R212" i="10"/>
  <c r="T212" i="10" s="1"/>
  <c r="U212" i="10" s="1"/>
  <c r="R211" i="10"/>
  <c r="AC211" i="10" s="1"/>
  <c r="R210" i="10"/>
  <c r="AC210" i="10" s="1"/>
  <c r="R209" i="10"/>
  <c r="AC209" i="10"/>
  <c r="AE209" i="10" s="1"/>
  <c r="R208" i="10"/>
  <c r="AC208" i="10" s="1"/>
  <c r="AE208" i="10" s="1"/>
  <c r="R207" i="10"/>
  <c r="AC207" i="10"/>
  <c r="R206" i="10"/>
  <c r="T206" i="10" s="1"/>
  <c r="U206" i="10" s="1"/>
  <c r="AF206" i="10" s="1"/>
  <c r="R205" i="10"/>
  <c r="R204" i="10"/>
  <c r="AC204" i="10"/>
  <c r="R203" i="10"/>
  <c r="R202" i="10"/>
  <c r="AC202" i="10" s="1"/>
  <c r="R201" i="10"/>
  <c r="AC201" i="10"/>
  <c r="R200" i="10"/>
  <c r="AC200" i="10" s="1"/>
  <c r="AE200" i="10" s="1"/>
  <c r="R199" i="10"/>
  <c r="T199" i="10" s="1"/>
  <c r="U199" i="10" s="1"/>
  <c r="AF199" i="10" s="1"/>
  <c r="R198" i="10"/>
  <c r="AC198" i="10" s="1"/>
  <c r="R197" i="10"/>
  <c r="T197" i="10" s="1"/>
  <c r="U197" i="10" s="1"/>
  <c r="AF197" i="10" s="1"/>
  <c r="R196" i="10"/>
  <c r="AC196" i="10" s="1"/>
  <c r="R195" i="10"/>
  <c r="T195" i="10" s="1"/>
  <c r="U195" i="10" s="1"/>
  <c r="AF195" i="10" s="1"/>
  <c r="R194" i="10"/>
  <c r="AC194" i="10"/>
  <c r="R193" i="10"/>
  <c r="AC193" i="10" s="1"/>
  <c r="R192" i="10"/>
  <c r="AC192" i="10" s="1"/>
  <c r="R191" i="10"/>
  <c r="AC191" i="10" s="1"/>
  <c r="R190" i="10"/>
  <c r="AC190" i="10" s="1"/>
  <c r="R189" i="10"/>
  <c r="AC189" i="10" s="1"/>
  <c r="AE189" i="10" s="1"/>
  <c r="R188" i="10"/>
  <c r="T188" i="10" s="1"/>
  <c r="U188" i="10" s="1"/>
  <c r="AF188" i="10" s="1"/>
  <c r="R187" i="10"/>
  <c r="AC187" i="10" s="1"/>
  <c r="AE187" i="10" s="1"/>
  <c r="R186" i="10"/>
  <c r="T186" i="10" s="1"/>
  <c r="U186" i="10" s="1"/>
  <c r="AF186" i="10" s="1"/>
  <c r="R185" i="10"/>
  <c r="T185" i="10" s="1"/>
  <c r="R184" i="10"/>
  <c r="AC184" i="10" s="1"/>
  <c r="R183" i="10"/>
  <c r="AC183" i="10" s="1"/>
  <c r="R182" i="10"/>
  <c r="T182" i="10" s="1"/>
  <c r="U182" i="10" s="1"/>
  <c r="AF182" i="10" s="1"/>
  <c r="R181" i="10"/>
  <c r="T181" i="10" s="1"/>
  <c r="U181" i="10" s="1"/>
  <c r="AF181" i="10" s="1"/>
  <c r="AC181" i="10"/>
  <c r="R180" i="10"/>
  <c r="AC180" i="10"/>
  <c r="R179" i="10"/>
  <c r="T179" i="10" s="1"/>
  <c r="U179" i="10" s="1"/>
  <c r="AF179" i="10" s="1"/>
  <c r="AC179" i="10"/>
  <c r="R178" i="10"/>
  <c r="AC178" i="10" s="1"/>
  <c r="R177" i="10"/>
  <c r="AC177" i="10" s="1"/>
  <c r="R176" i="10"/>
  <c r="R175" i="10"/>
  <c r="T175" i="10" s="1"/>
  <c r="U175" i="10" s="1"/>
  <c r="AF175" i="10" s="1"/>
  <c r="R174" i="10"/>
  <c r="R173" i="10"/>
  <c r="T173" i="10" s="1"/>
  <c r="U173" i="10" s="1"/>
  <c r="AF173" i="10" s="1"/>
  <c r="R172" i="10"/>
  <c r="T172" i="10" s="1"/>
  <c r="U172" i="10" s="1"/>
  <c r="AF172" i="10" s="1"/>
  <c r="R171" i="10"/>
  <c r="T171" i="10" s="1"/>
  <c r="U171" i="10" s="1"/>
  <c r="AF171" i="10" s="1"/>
  <c r="R170" i="10"/>
  <c r="AC170" i="10" s="1"/>
  <c r="R169" i="10"/>
  <c r="T169" i="10" s="1"/>
  <c r="U169" i="10" s="1"/>
  <c r="AF169" i="10" s="1"/>
  <c r="R168" i="10"/>
  <c r="AC168" i="10" s="1"/>
  <c r="AE168" i="10" s="1"/>
  <c r="R167" i="10"/>
  <c r="T167" i="10" s="1"/>
  <c r="U167" i="10" s="1"/>
  <c r="R166" i="10"/>
  <c r="AC166" i="10" s="1"/>
  <c r="R165" i="10"/>
  <c r="AC165" i="10"/>
  <c r="R164" i="10"/>
  <c r="AC164" i="10" s="1"/>
  <c r="R163" i="10"/>
  <c r="T163" i="10" s="1"/>
  <c r="U163" i="10" s="1"/>
  <c r="AF163" i="10" s="1"/>
  <c r="R162" i="10"/>
  <c r="AC162" i="10" s="1"/>
  <c r="R161" i="10"/>
  <c r="AC161" i="10"/>
  <c r="R160" i="10"/>
  <c r="R159" i="10"/>
  <c r="AC159" i="10" s="1"/>
  <c r="R158" i="10"/>
  <c r="R157" i="10"/>
  <c r="AC157" i="10" s="1"/>
  <c r="R156" i="10"/>
  <c r="T156" i="10" s="1"/>
  <c r="U156" i="10" s="1"/>
  <c r="AF156" i="10" s="1"/>
  <c r="AC156" i="10"/>
  <c r="R155" i="10"/>
  <c r="AC155" i="10" s="1"/>
  <c r="R154" i="10"/>
  <c r="T154" i="10" s="1"/>
  <c r="U154" i="10" s="1"/>
  <c r="R153" i="10"/>
  <c r="AC153" i="10" s="1"/>
  <c r="R152" i="10"/>
  <c r="AC152" i="10" s="1"/>
  <c r="R151" i="10"/>
  <c r="AC151" i="10" s="1"/>
  <c r="R150" i="10"/>
  <c r="AC150" i="10" s="1"/>
  <c r="AE150" i="10" s="1"/>
  <c r="R149" i="10"/>
  <c r="T149" i="10" s="1"/>
  <c r="U149" i="10" s="1"/>
  <c r="AF149" i="10" s="1"/>
  <c r="AC149" i="10"/>
  <c r="AE149" i="10" s="1"/>
  <c r="R148" i="10"/>
  <c r="AC148" i="10" s="1"/>
  <c r="R147" i="10"/>
  <c r="AC147" i="10" s="1"/>
  <c r="R146" i="10"/>
  <c r="R145" i="10"/>
  <c r="AC145" i="10" s="1"/>
  <c r="R144" i="10"/>
  <c r="T144" i="10" s="1"/>
  <c r="U144" i="10" s="1"/>
  <c r="AF144" i="10" s="1"/>
  <c r="AC144" i="10"/>
  <c r="AE144" i="10" s="1"/>
  <c r="R143" i="10"/>
  <c r="AC143" i="10" s="1"/>
  <c r="R142" i="10"/>
  <c r="T142" i="10" s="1"/>
  <c r="U142" i="10" s="1"/>
  <c r="AF142" i="10" s="1"/>
  <c r="R141" i="10"/>
  <c r="R140" i="10"/>
  <c r="T140" i="10" s="1"/>
  <c r="U140" i="10" s="1"/>
  <c r="AF140" i="10" s="1"/>
  <c r="R139" i="10"/>
  <c r="AC139" i="10" s="1"/>
  <c r="R138" i="10"/>
  <c r="T138" i="10" s="1"/>
  <c r="U138" i="10" s="1"/>
  <c r="AF138" i="10" s="1"/>
  <c r="R137" i="10"/>
  <c r="AC137" i="10" s="1"/>
  <c r="R136" i="10"/>
  <c r="T136" i="10" s="1"/>
  <c r="U136" i="10" s="1"/>
  <c r="AF136" i="10" s="1"/>
  <c r="R135" i="10"/>
  <c r="AC135" i="10" s="1"/>
  <c r="AC134" i="10"/>
  <c r="R133" i="10"/>
  <c r="AC132" i="10"/>
  <c r="AC131" i="10"/>
  <c r="R130" i="10"/>
  <c r="AC130" i="10" s="1"/>
  <c r="R129" i="10"/>
  <c r="AC129" i="10" s="1"/>
  <c r="R128" i="10"/>
  <c r="T128" i="10" s="1"/>
  <c r="U128" i="10" s="1"/>
  <c r="R127" i="10"/>
  <c r="AC127" i="10" s="1"/>
  <c r="R126" i="10"/>
  <c r="T126" i="10" s="1"/>
  <c r="U126" i="10" s="1"/>
  <c r="R125" i="10"/>
  <c r="AC125" i="10" s="1"/>
  <c r="R124" i="10"/>
  <c r="T124" i="10" s="1"/>
  <c r="U124" i="10" s="1"/>
  <c r="AF124" i="10" s="1"/>
  <c r="AC124" i="10"/>
  <c r="AE124" i="10" s="1"/>
  <c r="R123" i="10"/>
  <c r="AC123" i="10" s="1"/>
  <c r="AE123" i="10" s="1"/>
  <c r="R122" i="10"/>
  <c r="AC122" i="10" s="1"/>
  <c r="R121" i="10"/>
  <c r="AC121" i="10" s="1"/>
  <c r="R120" i="10"/>
  <c r="AC120" i="10"/>
  <c r="AE120" i="10" s="1"/>
  <c r="R119" i="10"/>
  <c r="AC119" i="10"/>
  <c r="AE119" i="10" s="1"/>
  <c r="R118" i="10"/>
  <c r="T118" i="10" s="1"/>
  <c r="R117" i="10"/>
  <c r="AC117" i="10" s="1"/>
  <c r="R116" i="10"/>
  <c r="AC116" i="10" s="1"/>
  <c r="R115" i="10"/>
  <c r="AC115" i="10" s="1"/>
  <c r="AE115" i="10" s="1"/>
  <c r="R114" i="10"/>
  <c r="AC114" i="10" s="1"/>
  <c r="R113" i="10"/>
  <c r="T113" i="10" s="1"/>
  <c r="U113" i="10" s="1"/>
  <c r="AC113" i="10"/>
  <c r="R112" i="10"/>
  <c r="T112" i="10" s="1"/>
  <c r="AC112" i="10"/>
  <c r="R111" i="10"/>
  <c r="AC111" i="10" s="1"/>
  <c r="R110" i="10"/>
  <c r="AC110" i="10" s="1"/>
  <c r="R109" i="10"/>
  <c r="AC109" i="10" s="1"/>
  <c r="R108" i="10"/>
  <c r="AC108" i="10" s="1"/>
  <c r="R107" i="10"/>
  <c r="AC107" i="10" s="1"/>
  <c r="AE107" i="10" s="1"/>
  <c r="R106" i="10"/>
  <c r="AC106" i="10" s="1"/>
  <c r="R105" i="10"/>
  <c r="AC105" i="10" s="1"/>
  <c r="AE105" i="10" s="1"/>
  <c r="R104" i="10"/>
  <c r="AC104" i="10" s="1"/>
  <c r="R103" i="10"/>
  <c r="AC103" i="10" s="1"/>
  <c r="AE103" i="10" s="1"/>
  <c r="R102" i="10"/>
  <c r="T102" i="10" s="1"/>
  <c r="U102" i="10" s="1"/>
  <c r="AF102" i="10" s="1"/>
  <c r="R101" i="10"/>
  <c r="AC101" i="10" s="1"/>
  <c r="R100" i="10"/>
  <c r="T100" i="10" s="1"/>
  <c r="U100" i="10" s="1"/>
  <c r="AF100" i="10" s="1"/>
  <c r="R99" i="10"/>
  <c r="T99" i="10" s="1"/>
  <c r="U99" i="10" s="1"/>
  <c r="AF99" i="10" s="1"/>
  <c r="R98" i="10"/>
  <c r="AC98" i="10" s="1"/>
  <c r="R97" i="10"/>
  <c r="T97" i="10" s="1"/>
  <c r="U97" i="10" s="1"/>
  <c r="AF97" i="10" s="1"/>
  <c r="R96" i="10"/>
  <c r="AC96" i="10" s="1"/>
  <c r="R95" i="10"/>
  <c r="T95" i="10" s="1"/>
  <c r="U95" i="10" s="1"/>
  <c r="AF95" i="10" s="1"/>
  <c r="AC95" i="10"/>
  <c r="AE95" i="10" s="1"/>
  <c r="R94" i="10"/>
  <c r="AC94" i="10"/>
  <c r="R93" i="10"/>
  <c r="T93" i="10" s="1"/>
  <c r="U93" i="10" s="1"/>
  <c r="AF93" i="10" s="1"/>
  <c r="R92" i="10"/>
  <c r="AC92" i="10" s="1"/>
  <c r="AE92" i="10" s="1"/>
  <c r="R91" i="10"/>
  <c r="AC91" i="10" s="1"/>
  <c r="R90" i="10"/>
  <c r="AC90" i="10" s="1"/>
  <c r="AE90" i="10" s="1"/>
  <c r="R89" i="10"/>
  <c r="T89" i="10" s="1"/>
  <c r="U89" i="10" s="1"/>
  <c r="AF89" i="10" s="1"/>
  <c r="R88" i="10"/>
  <c r="AC88" i="10" s="1"/>
  <c r="AE88" i="10" s="1"/>
  <c r="R87" i="10"/>
  <c r="AC87" i="10" s="1"/>
  <c r="AE87" i="10" s="1"/>
  <c r="R86" i="10"/>
  <c r="T86" i="10" s="1"/>
  <c r="U86" i="10" s="1"/>
  <c r="AF86" i="10" s="1"/>
  <c r="R85" i="10"/>
  <c r="R84" i="10"/>
  <c r="AC84" i="10" s="1"/>
  <c r="R83" i="10"/>
  <c r="T83" i="10" s="1"/>
  <c r="U83" i="10" s="1"/>
  <c r="AF83" i="10" s="1"/>
  <c r="AC83" i="10"/>
  <c r="AE83" i="10" s="1"/>
  <c r="R82" i="10"/>
  <c r="AC82" i="10" s="1"/>
  <c r="R81" i="10"/>
  <c r="AC81" i="10" s="1"/>
  <c r="R80" i="10"/>
  <c r="AC80" i="10" s="1"/>
  <c r="R79" i="10"/>
  <c r="AC79" i="10" s="1"/>
  <c r="R78" i="10"/>
  <c r="AC78" i="10" s="1"/>
  <c r="R77" i="10"/>
  <c r="R76" i="10"/>
  <c r="AC76" i="10" s="1"/>
  <c r="R75" i="10"/>
  <c r="AC75" i="10" s="1"/>
  <c r="R74" i="10"/>
  <c r="AC74" i="10" s="1"/>
  <c r="R73" i="10"/>
  <c r="R72" i="10"/>
  <c r="AC72" i="10" s="1"/>
  <c r="R71" i="10"/>
  <c r="AC71" i="10" s="1"/>
  <c r="AE71" i="10" s="1"/>
  <c r="R70" i="10"/>
  <c r="T70" i="10" s="1"/>
  <c r="U70" i="10" s="1"/>
  <c r="AF70" i="10" s="1"/>
  <c r="AC70" i="10"/>
  <c r="R69" i="10"/>
  <c r="AC69" i="10" s="1"/>
  <c r="AE69" i="10" s="1"/>
  <c r="R68" i="10"/>
  <c r="AC68" i="10" s="1"/>
  <c r="R67" i="10"/>
  <c r="AC67" i="10" s="1"/>
  <c r="R66" i="10"/>
  <c r="T66" i="10" s="1"/>
  <c r="U66" i="10" s="1"/>
  <c r="AF66" i="10" s="1"/>
  <c r="AC66" i="10"/>
  <c r="R65" i="10"/>
  <c r="AC65" i="10" s="1"/>
  <c r="R64" i="10"/>
  <c r="AC64" i="10"/>
  <c r="R63" i="10"/>
  <c r="T63" i="10" s="1"/>
  <c r="U63" i="10" s="1"/>
  <c r="AF63" i="10" s="1"/>
  <c r="R62" i="10"/>
  <c r="R61" i="10"/>
  <c r="AC61" i="10" s="1"/>
  <c r="R60" i="10"/>
  <c r="AC60" i="10" s="1"/>
  <c r="R59" i="10"/>
  <c r="T59" i="10" s="1"/>
  <c r="U59" i="10" s="1"/>
  <c r="AF59" i="10" s="1"/>
  <c r="R58" i="10"/>
  <c r="T58" i="10" s="1"/>
  <c r="U58" i="10" s="1"/>
  <c r="AF58" i="10" s="1"/>
  <c r="R57" i="10"/>
  <c r="AC57" i="10" s="1"/>
  <c r="R56" i="10"/>
  <c r="AC56" i="10" s="1"/>
  <c r="R55" i="10"/>
  <c r="AC55" i="10"/>
  <c r="R54" i="10"/>
  <c r="AC54" i="10" s="1"/>
  <c r="R53" i="10"/>
  <c r="T53" i="10" s="1"/>
  <c r="U53" i="10" s="1"/>
  <c r="AF53" i="10" s="1"/>
  <c r="R52" i="10"/>
  <c r="AC52" i="10" s="1"/>
  <c r="AE52" i="10" s="1"/>
  <c r="R51" i="10"/>
  <c r="AC51" i="10" s="1"/>
  <c r="R50" i="10"/>
  <c r="T50" i="10" s="1"/>
  <c r="U50" i="10" s="1"/>
  <c r="AF50" i="10" s="1"/>
  <c r="R49" i="10"/>
  <c r="AC49" i="10" s="1"/>
  <c r="R48" i="10"/>
  <c r="AC48" i="10" s="1"/>
  <c r="R47" i="10"/>
  <c r="AC47" i="10"/>
  <c r="R46" i="10"/>
  <c r="AC46" i="10" s="1"/>
  <c r="R45" i="10"/>
  <c r="T45" i="10" s="1"/>
  <c r="U45" i="10" s="1"/>
  <c r="AF45" i="10" s="1"/>
  <c r="R44" i="10"/>
  <c r="T44" i="10" s="1"/>
  <c r="U44" i="10" s="1"/>
  <c r="AF44" i="10" s="1"/>
  <c r="R43" i="10"/>
  <c r="AC43" i="10" s="1"/>
  <c r="AE43" i="10" s="1"/>
  <c r="R42" i="10"/>
  <c r="T42" i="10" s="1"/>
  <c r="U42" i="10" s="1"/>
  <c r="AF42" i="10" s="1"/>
  <c r="R41" i="10"/>
  <c r="AC41" i="10"/>
  <c r="R40" i="10"/>
  <c r="AC40" i="10" s="1"/>
  <c r="R39" i="10"/>
  <c r="R38" i="10"/>
  <c r="T38" i="10" s="1"/>
  <c r="U38" i="10" s="1"/>
  <c r="AF38" i="10" s="1"/>
  <c r="R37" i="10"/>
  <c r="T37" i="10" s="1"/>
  <c r="U37" i="10" s="1"/>
  <c r="AF37" i="10" s="1"/>
  <c r="AC37" i="10"/>
  <c r="AE37" i="10" s="1"/>
  <c r="R36" i="10"/>
  <c r="T36" i="10" s="1"/>
  <c r="AC36" i="10"/>
  <c r="AE36" i="10" s="1"/>
  <c r="R35" i="10"/>
  <c r="AC35" i="10" s="1"/>
  <c r="R34" i="10"/>
  <c r="AC34" i="10" s="1"/>
  <c r="R33" i="10"/>
  <c r="AC33" i="10" s="1"/>
  <c r="R32" i="10"/>
  <c r="AC32" i="10" s="1"/>
  <c r="R31" i="10"/>
  <c r="R30" i="10"/>
  <c r="AC30" i="10" s="1"/>
  <c r="AE30" i="10" s="1"/>
  <c r="R29" i="10"/>
  <c r="R28" i="10"/>
  <c r="AC28" i="10" s="1"/>
  <c r="R27" i="10"/>
  <c r="AC27" i="10" s="1"/>
  <c r="R26" i="10"/>
  <c r="AC26" i="10" s="1"/>
  <c r="AE26" i="10" s="1"/>
  <c r="R25" i="10"/>
  <c r="T25" i="10" s="1"/>
  <c r="U25" i="10" s="1"/>
  <c r="AF25" i="10" s="1"/>
  <c r="R24" i="10"/>
  <c r="AC24" i="10" s="1"/>
  <c r="R23" i="10"/>
  <c r="T23" i="10" s="1"/>
  <c r="AC23" i="10"/>
  <c r="R22" i="10"/>
  <c r="AC22" i="10" s="1"/>
  <c r="R21" i="10"/>
  <c r="AC21" i="10" s="1"/>
  <c r="AE21" i="10" s="1"/>
  <c r="R20" i="10"/>
  <c r="T20" i="10" s="1"/>
  <c r="U20" i="10" s="1"/>
  <c r="AF20" i="10" s="1"/>
  <c r="R19" i="10"/>
  <c r="AC19" i="10" s="1"/>
  <c r="R18" i="10"/>
  <c r="R17" i="10"/>
  <c r="AC17" i="10" s="1"/>
  <c r="AE17" i="10" s="1"/>
  <c r="R16" i="10"/>
  <c r="AC16" i="10" s="1"/>
  <c r="R15" i="10"/>
  <c r="T15" i="10" s="1"/>
  <c r="U15" i="10" s="1"/>
  <c r="AF15" i="10" s="1"/>
  <c r="R14" i="10"/>
  <c r="R13" i="10"/>
  <c r="AC13" i="10" s="1"/>
  <c r="R12" i="10"/>
  <c r="AC12" i="10"/>
  <c r="R11" i="10"/>
  <c r="T11" i="10" s="1"/>
  <c r="U11" i="10" s="1"/>
  <c r="AF11" i="10" s="1"/>
  <c r="R10" i="10"/>
  <c r="T10" i="10" s="1"/>
  <c r="U10" i="10" s="1"/>
  <c r="AF10" i="10" s="1"/>
  <c r="AC10" i="10"/>
  <c r="R9" i="10"/>
  <c r="AC9" i="10" s="1"/>
  <c r="AE9" i="10" s="1"/>
  <c r="R8" i="10"/>
  <c r="T8" i="10" s="1"/>
  <c r="U8" i="10" s="1"/>
  <c r="AF8" i="10" s="1"/>
  <c r="R7" i="10"/>
  <c r="AC7" i="10" s="1"/>
  <c r="R6" i="10"/>
  <c r="AC6" i="10" s="1"/>
  <c r="R5" i="10"/>
  <c r="AC5" i="10" s="1"/>
  <c r="R4" i="10"/>
  <c r="AC4" i="10" s="1"/>
  <c r="AE4" i="10" s="1"/>
  <c r="AF133" i="10"/>
  <c r="AF6" i="10"/>
  <c r="AD297" i="10"/>
  <c r="AE297" i="10" s="1"/>
  <c r="AD296" i="10"/>
  <c r="AD295" i="10"/>
  <c r="AE295" i="10" s="1"/>
  <c r="AF295" i="10" s="1"/>
  <c r="AD294" i="10"/>
  <c r="AD293" i="10"/>
  <c r="AD292" i="10"/>
  <c r="AD291" i="10"/>
  <c r="AD290" i="10"/>
  <c r="AD289" i="10"/>
  <c r="AD288" i="10"/>
  <c r="AD287" i="10"/>
  <c r="AD286" i="10"/>
  <c r="AD285" i="10"/>
  <c r="AD284" i="10"/>
  <c r="AD283" i="10"/>
  <c r="AD282" i="10"/>
  <c r="AD281" i="10"/>
  <c r="AD280" i="10"/>
  <c r="AD279" i="10"/>
  <c r="AD278" i="10"/>
  <c r="AE278" i="10" s="1"/>
  <c r="AD277" i="10"/>
  <c r="AD276" i="10"/>
  <c r="AD275" i="10"/>
  <c r="AD274" i="10"/>
  <c r="AD273" i="10"/>
  <c r="AC273" i="10"/>
  <c r="AD272" i="10"/>
  <c r="AD271" i="10"/>
  <c r="AD270" i="10"/>
  <c r="AD269" i="10"/>
  <c r="AD268" i="10"/>
  <c r="AD267" i="10"/>
  <c r="AD266" i="10"/>
  <c r="AD265" i="10"/>
  <c r="AD264" i="10"/>
  <c r="AD263" i="10"/>
  <c r="AD262" i="10"/>
  <c r="AD261" i="10"/>
  <c r="AD260" i="10"/>
  <c r="AD259" i="10"/>
  <c r="AD258" i="10"/>
  <c r="AD257" i="10"/>
  <c r="AD256" i="10"/>
  <c r="AD255" i="10"/>
  <c r="AD254" i="10"/>
  <c r="AD253" i="10"/>
  <c r="AE253" i="10" s="1"/>
  <c r="AD252" i="10"/>
  <c r="AD251" i="10"/>
  <c r="AD250" i="10"/>
  <c r="AD249" i="10"/>
  <c r="AD248" i="10"/>
  <c r="AE248" i="10" s="1"/>
  <c r="AD247" i="10"/>
  <c r="AD246" i="10"/>
  <c r="AD245" i="10"/>
  <c r="AD244" i="10"/>
  <c r="AD243" i="10"/>
  <c r="AD242" i="10"/>
  <c r="AD241" i="10"/>
  <c r="AC241" i="10"/>
  <c r="AD240" i="10"/>
  <c r="AE240" i="10" s="1"/>
  <c r="AD239" i="10"/>
  <c r="AD238" i="10"/>
  <c r="AD237" i="10"/>
  <c r="AD236" i="10"/>
  <c r="AD235" i="10"/>
  <c r="AD234" i="10"/>
  <c r="AD233" i="10"/>
  <c r="AD232" i="10"/>
  <c r="AD231" i="10"/>
  <c r="AD230" i="10"/>
  <c r="AE230" i="10" s="1"/>
  <c r="AD229" i="10"/>
  <c r="AC229" i="10"/>
  <c r="AD228" i="10"/>
  <c r="AD227" i="10"/>
  <c r="AD226" i="10"/>
  <c r="AD225" i="10"/>
  <c r="AD224" i="10"/>
  <c r="AD223" i="10"/>
  <c r="AD222" i="10"/>
  <c r="AE222" i="10" s="1"/>
  <c r="AD221" i="10"/>
  <c r="AD220" i="10"/>
  <c r="AD219" i="10"/>
  <c r="AD218" i="10"/>
  <c r="AD217" i="10"/>
  <c r="AD216" i="10"/>
  <c r="AC216" i="10"/>
  <c r="AE216" i="10" s="1"/>
  <c r="AD215" i="10"/>
  <c r="AE215" i="10" s="1"/>
  <c r="AD214" i="10"/>
  <c r="AD213" i="10"/>
  <c r="AD212" i="10"/>
  <c r="AD211" i="10"/>
  <c r="AD210" i="10"/>
  <c r="AD209" i="10"/>
  <c r="AD208" i="10"/>
  <c r="AD207" i="10"/>
  <c r="AD206" i="10"/>
  <c r="AD205" i="10"/>
  <c r="AD204" i="10"/>
  <c r="AD203" i="10"/>
  <c r="AD202" i="10"/>
  <c r="AE202" i="10" s="1"/>
  <c r="AD201" i="10"/>
  <c r="AD200" i="10"/>
  <c r="AD199" i="10"/>
  <c r="AD198" i="10"/>
  <c r="AD197" i="10"/>
  <c r="AD196" i="10"/>
  <c r="AD195" i="10"/>
  <c r="AD194" i="10"/>
  <c r="AD193" i="10"/>
  <c r="AD192" i="10"/>
  <c r="AE192" i="10" s="1"/>
  <c r="AD191" i="10"/>
  <c r="AD190" i="10"/>
  <c r="AD189" i="10"/>
  <c r="AD188" i="10"/>
  <c r="AD187" i="10"/>
  <c r="AD186" i="10"/>
  <c r="AD185" i="10"/>
  <c r="AD184" i="10"/>
  <c r="AE184" i="10" s="1"/>
  <c r="AD183" i="10"/>
  <c r="AD182" i="10"/>
  <c r="AD181" i="10"/>
  <c r="AD180" i="10"/>
  <c r="AE180" i="10" s="1"/>
  <c r="AD179" i="10"/>
  <c r="AD178" i="10"/>
  <c r="AE178" i="10" s="1"/>
  <c r="AD177" i="10"/>
  <c r="AD176" i="10"/>
  <c r="AC176" i="10"/>
  <c r="AD175" i="10"/>
  <c r="AD174" i="10"/>
  <c r="AD173" i="10"/>
  <c r="AD172" i="10"/>
  <c r="AD171" i="10"/>
  <c r="AD170" i="10"/>
  <c r="AD169" i="10"/>
  <c r="AC169" i="10"/>
  <c r="AE169" i="10" s="1"/>
  <c r="AD168" i="10"/>
  <c r="AD167" i="10"/>
  <c r="AD166" i="10"/>
  <c r="AD165" i="10"/>
  <c r="AD164" i="10"/>
  <c r="AE164" i="10" s="1"/>
  <c r="AD163" i="10"/>
  <c r="AD162" i="10"/>
  <c r="AD161" i="10"/>
  <c r="AD160" i="10"/>
  <c r="AD159" i="10"/>
  <c r="AD158" i="10"/>
  <c r="AC158" i="10"/>
  <c r="AE158" i="10" s="1"/>
  <c r="AD157" i="10"/>
  <c r="AD156" i="10"/>
  <c r="AD155" i="10"/>
  <c r="AD154" i="10"/>
  <c r="AD153" i="10"/>
  <c r="AD152" i="10"/>
  <c r="AD151" i="10"/>
  <c r="AD150" i="10"/>
  <c r="AD149" i="10"/>
  <c r="AD148" i="10"/>
  <c r="AD147" i="10"/>
  <c r="AD146" i="10"/>
  <c r="AD145" i="10"/>
  <c r="AE145" i="10" s="1"/>
  <c r="AD144" i="10"/>
  <c r="AD143" i="10"/>
  <c r="AD142" i="10"/>
  <c r="AD141" i="10"/>
  <c r="AD140" i="10"/>
  <c r="AD139" i="10"/>
  <c r="AD138" i="10"/>
  <c r="AD137" i="10"/>
  <c r="AD136" i="10"/>
  <c r="AD135" i="10"/>
  <c r="AD134" i="10"/>
  <c r="AD133" i="10"/>
  <c r="AD132" i="10"/>
  <c r="AD131" i="10"/>
  <c r="AD130" i="10"/>
  <c r="AD129" i="10"/>
  <c r="AD128" i="10"/>
  <c r="AD127" i="10"/>
  <c r="AD126" i="10"/>
  <c r="AD125" i="10"/>
  <c r="AD124" i="10"/>
  <c r="AD123" i="10"/>
  <c r="AD122" i="10"/>
  <c r="AD121" i="10"/>
  <c r="AD120" i="10"/>
  <c r="AD119" i="10"/>
  <c r="AD118" i="10"/>
  <c r="AD117" i="10"/>
  <c r="AE117" i="10" s="1"/>
  <c r="AD116" i="10"/>
  <c r="AD115" i="10"/>
  <c r="AD114" i="10"/>
  <c r="AD113" i="10"/>
  <c r="AD112" i="10"/>
  <c r="AD111" i="10"/>
  <c r="AD110" i="10"/>
  <c r="AD109" i="10"/>
  <c r="AD108" i="10"/>
  <c r="AD106" i="10"/>
  <c r="AD105" i="10"/>
  <c r="AD104" i="10"/>
  <c r="AD103" i="10"/>
  <c r="AD102" i="10"/>
  <c r="AD101" i="10"/>
  <c r="AD100" i="10"/>
  <c r="AD99" i="10"/>
  <c r="AD98" i="10"/>
  <c r="AD97" i="10"/>
  <c r="AD96" i="10"/>
  <c r="AD95" i="10"/>
  <c r="AD94" i="10"/>
  <c r="AD93" i="10"/>
  <c r="AD92" i="10"/>
  <c r="AD91" i="10"/>
  <c r="AD90" i="10"/>
  <c r="AD89" i="10"/>
  <c r="AD88" i="10"/>
  <c r="AD87" i="10"/>
  <c r="AD86" i="10"/>
  <c r="AD85" i="10"/>
  <c r="AD84" i="10"/>
  <c r="AD82" i="10"/>
  <c r="AD81" i="10"/>
  <c r="AD80" i="10"/>
  <c r="AD79" i="10"/>
  <c r="AD78" i="10"/>
  <c r="AD77" i="10"/>
  <c r="AD76" i="10"/>
  <c r="AD75" i="10"/>
  <c r="AD74" i="10"/>
  <c r="AD73" i="10"/>
  <c r="AC73" i="10"/>
  <c r="AD72" i="10"/>
  <c r="AD71" i="10"/>
  <c r="AD70" i="10"/>
  <c r="AD69" i="10"/>
  <c r="AD68" i="10"/>
  <c r="AD67" i="10"/>
  <c r="AD66" i="10"/>
  <c r="AD65" i="10"/>
  <c r="AD64" i="10"/>
  <c r="AD63" i="10"/>
  <c r="AD62" i="10"/>
  <c r="AD61" i="10"/>
  <c r="AD60" i="10"/>
  <c r="AD59" i="10"/>
  <c r="AD58" i="10"/>
  <c r="AD57" i="10"/>
  <c r="AD56" i="10"/>
  <c r="AD55" i="10"/>
  <c r="AD54" i="10"/>
  <c r="AD53" i="10"/>
  <c r="AD52" i="10"/>
  <c r="AD51" i="10"/>
  <c r="AD50" i="10"/>
  <c r="AD49" i="10"/>
  <c r="AD48" i="10"/>
  <c r="AD47" i="10"/>
  <c r="AD46" i="10"/>
  <c r="AD45" i="10"/>
  <c r="AD44" i="10"/>
  <c r="AD43" i="10"/>
  <c r="AD42" i="10"/>
  <c r="AD41" i="10"/>
  <c r="AD40" i="10"/>
  <c r="AD39" i="10"/>
  <c r="AC39" i="10"/>
  <c r="AE39" i="10" s="1"/>
  <c r="AD38" i="10"/>
  <c r="AD37" i="10"/>
  <c r="AD36" i="10"/>
  <c r="AD35" i="10"/>
  <c r="AD34" i="10"/>
  <c r="AD33" i="10"/>
  <c r="AD32" i="10"/>
  <c r="AD31" i="10"/>
  <c r="AD30" i="10"/>
  <c r="AD29" i="10"/>
  <c r="AD28" i="10"/>
  <c r="AD27" i="10"/>
  <c r="AD26" i="10"/>
  <c r="AD25" i="10"/>
  <c r="AD24" i="10"/>
  <c r="AD23" i="10"/>
  <c r="AD22" i="10"/>
  <c r="AD21" i="10"/>
  <c r="AD20" i="10"/>
  <c r="AD19" i="10"/>
  <c r="AD18" i="10"/>
  <c r="AD17" i="10"/>
  <c r="AD16" i="10"/>
  <c r="AD15" i="10"/>
  <c r="AD14" i="10"/>
  <c r="AD13" i="10"/>
  <c r="AD12" i="10"/>
  <c r="AD11" i="10"/>
  <c r="AD10" i="10"/>
  <c r="AD8" i="10"/>
  <c r="AD7" i="10"/>
  <c r="AD5" i="10"/>
  <c r="AD4" i="10"/>
  <c r="AC277" i="10"/>
  <c r="AE277" i="10" s="1"/>
  <c r="T111" i="10"/>
  <c r="U111" i="10" s="1"/>
  <c r="AF111" i="10" s="1"/>
  <c r="T244" i="10"/>
  <c r="U244" i="10" s="1"/>
  <c r="T297" i="10"/>
  <c r="U297" i="10" s="1"/>
  <c r="AF297" i="10" s="1"/>
  <c r="T296" i="10"/>
  <c r="U296" i="10" s="1"/>
  <c r="AF296" i="10" s="1"/>
  <c r="T295" i="10"/>
  <c r="U295" i="10" s="1"/>
  <c r="T283" i="10"/>
  <c r="U283" i="10" s="1"/>
  <c r="AF281" i="10"/>
  <c r="T247" i="10"/>
  <c r="U247" i="10" s="1"/>
  <c r="AF247" i="10" s="1"/>
  <c r="T246" i="10"/>
  <c r="U246" i="10"/>
  <c r="AF246" i="10" s="1"/>
  <c r="T241" i="10"/>
  <c r="U241" i="10" s="1"/>
  <c r="AF241" i="10" s="1"/>
  <c r="T235" i="10"/>
  <c r="U235" i="10" s="1"/>
  <c r="AF235" i="10" s="1"/>
  <c r="T292" i="10"/>
  <c r="U292" i="10"/>
  <c r="AF292" i="10" s="1"/>
  <c r="T289" i="10"/>
  <c r="U289" i="10" s="1"/>
  <c r="AF289" i="10" s="1"/>
  <c r="U288" i="10"/>
  <c r="AF288" i="10" s="1"/>
  <c r="T287" i="10"/>
  <c r="U287" i="10"/>
  <c r="AF287" i="10" s="1"/>
  <c r="T285" i="10"/>
  <c r="U285" i="10" s="1"/>
  <c r="T274" i="10"/>
  <c r="U274" i="10" s="1"/>
  <c r="AF274" i="10" s="1"/>
  <c r="T270" i="10"/>
  <c r="U270" i="10"/>
  <c r="AF270" i="10" s="1"/>
  <c r="T269" i="10"/>
  <c r="U269" i="10" s="1"/>
  <c r="U268" i="10"/>
  <c r="AF268" i="10" s="1"/>
  <c r="T262" i="10"/>
  <c r="U262" i="10" s="1"/>
  <c r="AF262" i="10" s="1"/>
  <c r="T258" i="10"/>
  <c r="U258" i="10" s="1"/>
  <c r="AF258" i="10" s="1"/>
  <c r="T256" i="10"/>
  <c r="U256" i="10" s="1"/>
  <c r="AF256" i="10" s="1"/>
  <c r="T253" i="10"/>
  <c r="U253" i="10" s="1"/>
  <c r="AF253" i="10" s="1"/>
  <c r="T252" i="10"/>
  <c r="U252" i="10" s="1"/>
  <c r="AF252" i="10" s="1"/>
  <c r="T251" i="10"/>
  <c r="U251" i="10" s="1"/>
  <c r="AF251" i="10" s="1"/>
  <c r="T250" i="10"/>
  <c r="U250" i="10" s="1"/>
  <c r="AF250" i="10" s="1"/>
  <c r="T248" i="10"/>
  <c r="U248" i="10" s="1"/>
  <c r="AF248" i="10" s="1"/>
  <c r="T240" i="10"/>
  <c r="U240" i="10" s="1"/>
  <c r="AF240" i="10" s="1"/>
  <c r="T239" i="10"/>
  <c r="U239" i="10" s="1"/>
  <c r="AF239" i="10" s="1"/>
  <c r="T237" i="10"/>
  <c r="U237" i="10" s="1"/>
  <c r="AF237" i="10" s="1"/>
  <c r="T231" i="10"/>
  <c r="U231" i="10" s="1"/>
  <c r="AF231" i="10" s="1"/>
  <c r="AE276" i="10"/>
  <c r="AE251" i="10"/>
  <c r="T230" i="10"/>
  <c r="U230" i="10" s="1"/>
  <c r="AF230" i="10" s="1"/>
  <c r="T227" i="10"/>
  <c r="U227" i="10" s="1"/>
  <c r="AF227" i="10" s="1"/>
  <c r="T225" i="10"/>
  <c r="U225" i="10"/>
  <c r="AF225" i="10" s="1"/>
  <c r="T224" i="10"/>
  <c r="U224" i="10" s="1"/>
  <c r="AF224" i="10" s="1"/>
  <c r="T222" i="10"/>
  <c r="U222" i="10"/>
  <c r="AF222" i="10" s="1"/>
  <c r="T219" i="10"/>
  <c r="U219" i="10" s="1"/>
  <c r="AF219" i="10" s="1"/>
  <c r="T217" i="10"/>
  <c r="U217" i="10" s="1"/>
  <c r="AF217" i="10" s="1"/>
  <c r="T216" i="10"/>
  <c r="U216" i="10" s="1"/>
  <c r="AF216" i="10" s="1"/>
  <c r="T215" i="10"/>
  <c r="U215" i="10" s="1"/>
  <c r="AF215" i="10" s="1"/>
  <c r="T103" i="10"/>
  <c r="U103" i="10" s="1"/>
  <c r="AF103" i="10" s="1"/>
  <c r="T90" i="10"/>
  <c r="U90" i="10" s="1"/>
  <c r="AF90" i="10"/>
  <c r="T71" i="10"/>
  <c r="U71" i="10" s="1"/>
  <c r="AF71" i="10" s="1"/>
  <c r="T73" i="10"/>
  <c r="U73" i="10"/>
  <c r="AF73" i="10" s="1"/>
  <c r="T69" i="10"/>
  <c r="U69" i="10" s="1"/>
  <c r="AF69" i="10" s="1"/>
  <c r="T65" i="10"/>
  <c r="U65" i="10" s="1"/>
  <c r="AF65" i="10" s="1"/>
  <c r="T64" i="10"/>
  <c r="U64" i="10" s="1"/>
  <c r="AF64" i="10" s="1"/>
  <c r="T60" i="10"/>
  <c r="U60" i="10" s="1"/>
  <c r="AF60" i="10" s="1"/>
  <c r="T56" i="10"/>
  <c r="U56" i="10" s="1"/>
  <c r="AF56" i="10" s="1"/>
  <c r="T210" i="10"/>
  <c r="U210" i="10" s="1"/>
  <c r="AF210" i="10" s="1"/>
  <c r="T209" i="10"/>
  <c r="U209" i="10"/>
  <c r="AF209" i="10" s="1"/>
  <c r="T207" i="10"/>
  <c r="U207" i="10" s="1"/>
  <c r="AF207" i="10" s="1"/>
  <c r="T204" i="10"/>
  <c r="U204" i="10" s="1"/>
  <c r="AF204" i="10"/>
  <c r="T202" i="10"/>
  <c r="U202" i="10" s="1"/>
  <c r="AF202" i="10" s="1"/>
  <c r="T201" i="10"/>
  <c r="U201" i="10" s="1"/>
  <c r="AF201" i="10" s="1"/>
  <c r="T198" i="10"/>
  <c r="U198" i="10"/>
  <c r="AF198" i="10" s="1"/>
  <c r="T194" i="10"/>
  <c r="U194" i="10" s="1"/>
  <c r="T192" i="10"/>
  <c r="U192" i="10"/>
  <c r="AF192" i="10" s="1"/>
  <c r="T191" i="10"/>
  <c r="U191" i="10" s="1"/>
  <c r="AF191" i="10" s="1"/>
  <c r="T187" i="10"/>
  <c r="U187" i="10" s="1"/>
  <c r="AF187" i="10" s="1"/>
  <c r="U185" i="10"/>
  <c r="AF185" i="10" s="1"/>
  <c r="T184" i="10"/>
  <c r="U184" i="10"/>
  <c r="AF184" i="10" s="1"/>
  <c r="T183" i="10"/>
  <c r="U183" i="10" s="1"/>
  <c r="AF183" i="10" s="1"/>
  <c r="T180" i="10"/>
  <c r="U180" i="10" s="1"/>
  <c r="AF180" i="10" s="1"/>
  <c r="T178" i="10"/>
  <c r="U178" i="10" s="1"/>
  <c r="AF178" i="10" s="1"/>
  <c r="T177" i="10"/>
  <c r="U177" i="10" s="1"/>
  <c r="AF177" i="10"/>
  <c r="T176" i="10"/>
  <c r="U176" i="10" s="1"/>
  <c r="AF176" i="10" s="1"/>
  <c r="T165" i="10"/>
  <c r="U165" i="10" s="1"/>
  <c r="AF165" i="10" s="1"/>
  <c r="T161" i="10"/>
  <c r="U161" i="10" s="1"/>
  <c r="AF161" i="10" s="1"/>
  <c r="T159" i="10"/>
  <c r="U159" i="10" s="1"/>
  <c r="AF159" i="10" s="1"/>
  <c r="T158" i="10"/>
  <c r="U158" i="10" s="1"/>
  <c r="AF158" i="10" s="1"/>
  <c r="T157" i="10"/>
  <c r="U157" i="10" s="1"/>
  <c r="AF157" i="10" s="1"/>
  <c r="T151" i="10"/>
  <c r="U151" i="10" s="1"/>
  <c r="AF151" i="10" s="1"/>
  <c r="T148" i="10"/>
  <c r="U148" i="10" s="1"/>
  <c r="AF148" i="10" s="1"/>
  <c r="T147" i="10"/>
  <c r="U147" i="10" s="1"/>
  <c r="AF147" i="10" s="1"/>
  <c r="T145" i="10"/>
  <c r="U145" i="10" s="1"/>
  <c r="AF145" i="10" s="1"/>
  <c r="T143" i="10"/>
  <c r="U143" i="10" s="1"/>
  <c r="AF143" i="10" s="1"/>
  <c r="T137" i="10"/>
  <c r="U137" i="10" s="1"/>
  <c r="AF137" i="10" s="1"/>
  <c r="T134" i="10"/>
  <c r="U134" i="10" s="1"/>
  <c r="AF134" i="10" s="1"/>
  <c r="T132" i="10"/>
  <c r="U132" i="10" s="1"/>
  <c r="AF132" i="10" s="1"/>
  <c r="T131" i="10"/>
  <c r="U131" i="10" s="1"/>
  <c r="AF131" i="10" s="1"/>
  <c r="T129" i="10"/>
  <c r="U129" i="10" s="1"/>
  <c r="AF129" i="10" s="1"/>
  <c r="T127" i="10"/>
  <c r="U127" i="10" s="1"/>
  <c r="AF127" i="10" s="1"/>
  <c r="T122" i="10"/>
  <c r="U122" i="10" s="1"/>
  <c r="AF122" i="10" s="1"/>
  <c r="T121" i="10"/>
  <c r="U121" i="10" s="1"/>
  <c r="AF121" i="10" s="1"/>
  <c r="T120" i="10"/>
  <c r="U120" i="10" s="1"/>
  <c r="AF120" i="10" s="1"/>
  <c r="T119" i="10"/>
  <c r="U119" i="10" s="1"/>
  <c r="AF119" i="10" s="1"/>
  <c r="U118" i="10"/>
  <c r="T117" i="10"/>
  <c r="U117" i="10" s="1"/>
  <c r="AF117" i="10" s="1"/>
  <c r="T116" i="10"/>
  <c r="U116" i="10" s="1"/>
  <c r="AF116" i="10" s="1"/>
  <c r="U112" i="10"/>
  <c r="T109" i="10"/>
  <c r="U109" i="10" s="1"/>
  <c r="T108" i="10"/>
  <c r="U108" i="10" s="1"/>
  <c r="AF108" i="10" s="1"/>
  <c r="T107" i="10"/>
  <c r="U107" i="10" s="1"/>
  <c r="T104" i="10"/>
  <c r="U104" i="10" s="1"/>
  <c r="AF104" i="10"/>
  <c r="T101" i="10"/>
  <c r="U101" i="10" s="1"/>
  <c r="AF101" i="10" s="1"/>
  <c r="T96" i="10"/>
  <c r="U96" i="10" s="1"/>
  <c r="AF96" i="10" s="1"/>
  <c r="T94" i="10"/>
  <c r="U94" i="10" s="1"/>
  <c r="AF94" i="10" s="1"/>
  <c r="T88" i="10"/>
  <c r="U88" i="10" s="1"/>
  <c r="AF88" i="10" s="1"/>
  <c r="T84" i="10"/>
  <c r="U84" i="10" s="1"/>
  <c r="T82" i="10"/>
  <c r="U82" i="10" s="1"/>
  <c r="AF82" i="10" s="1"/>
  <c r="T81" i="10"/>
  <c r="U81" i="10" s="1"/>
  <c r="AF81" i="10" s="1"/>
  <c r="T79" i="10"/>
  <c r="U79" i="10" s="1"/>
  <c r="AF79" i="10" s="1"/>
  <c r="T68" i="10"/>
  <c r="U68" i="10" s="1"/>
  <c r="AF68" i="10" s="1"/>
  <c r="T55" i="10"/>
  <c r="U55" i="10" s="1"/>
  <c r="AF55" i="10" s="1"/>
  <c r="T51" i="10"/>
  <c r="U51" i="10" s="1"/>
  <c r="AF51" i="10" s="1"/>
  <c r="T49" i="10"/>
  <c r="U49" i="10"/>
  <c r="AF49" i="10" s="1"/>
  <c r="T47" i="10"/>
  <c r="U47" i="10" s="1"/>
  <c r="AF47" i="10" s="1"/>
  <c r="T43" i="10"/>
  <c r="U43" i="10" s="1"/>
  <c r="AF43" i="10" s="1"/>
  <c r="T41" i="10"/>
  <c r="U41" i="10" s="1"/>
  <c r="AF41" i="10" s="1"/>
  <c r="T39" i="10"/>
  <c r="U39" i="10" s="1"/>
  <c r="AF39" i="10" s="1"/>
  <c r="U36" i="10"/>
  <c r="AF36" i="10" s="1"/>
  <c r="T33" i="10"/>
  <c r="U33" i="10" s="1"/>
  <c r="AF33" i="10" s="1"/>
  <c r="T32" i="10"/>
  <c r="U32" i="10" s="1"/>
  <c r="AF32" i="10" s="1"/>
  <c r="T27" i="10"/>
  <c r="U27" i="10" s="1"/>
  <c r="AF27" i="10" s="1"/>
  <c r="T26" i="10"/>
  <c r="U26" i="10" s="1"/>
  <c r="AF26" i="10" s="1"/>
  <c r="T24" i="10"/>
  <c r="U24" i="10" s="1"/>
  <c r="AF24" i="10" s="1"/>
  <c r="U23" i="10"/>
  <c r="AF23" i="10" s="1"/>
  <c r="T22" i="10"/>
  <c r="U22" i="10" s="1"/>
  <c r="AF22" i="10" s="1"/>
  <c r="T19" i="10"/>
  <c r="U19" i="10" s="1"/>
  <c r="AF19" i="10" s="1"/>
  <c r="T13" i="10"/>
  <c r="U13" i="10" s="1"/>
  <c r="AF13" i="10" s="1"/>
  <c r="T12" i="10"/>
  <c r="U12" i="10" s="1"/>
  <c r="AF12" i="10" s="1"/>
  <c r="AD6" i="10"/>
  <c r="T5" i="10"/>
  <c r="U5" i="10" s="1"/>
  <c r="AF5" i="10" s="1"/>
  <c r="T4" i="10"/>
  <c r="U4" i="10" s="1"/>
  <c r="AF4" i="10" s="1"/>
  <c r="AE60" i="10"/>
  <c r="AE56" i="10"/>
  <c r="AE13" i="10"/>
  <c r="AE151" i="10"/>
  <c r="AE207" i="10"/>
  <c r="AE46" i="10"/>
  <c r="AE104" i="10"/>
  <c r="AE33" i="10"/>
  <c r="AE176" i="10"/>
  <c r="AE47" i="10"/>
  <c r="AE28" i="10"/>
  <c r="Q8" i="5"/>
  <c r="P8" i="5"/>
  <c r="O8" i="5"/>
  <c r="N8" i="5"/>
  <c r="M8" i="5"/>
  <c r="Q7" i="5"/>
  <c r="P7" i="5"/>
  <c r="O7" i="5"/>
  <c r="N7" i="5"/>
  <c r="M7" i="5"/>
  <c r="Q6" i="5"/>
  <c r="P6" i="5"/>
  <c r="O6" i="5"/>
  <c r="N6" i="5"/>
  <c r="M6" i="5"/>
  <c r="Q5" i="5"/>
  <c r="P5" i="5"/>
  <c r="O5" i="5"/>
  <c r="N5" i="5"/>
  <c r="M5" i="5"/>
  <c r="Q4" i="5"/>
  <c r="P4" i="5"/>
  <c r="O4" i="5"/>
  <c r="N4" i="5"/>
  <c r="M4" i="5"/>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AF283" i="10" l="1"/>
  <c r="AE232" i="10"/>
  <c r="T75" i="10"/>
  <c r="U75" i="10" s="1"/>
  <c r="AF75" i="10" s="1"/>
  <c r="AE196" i="10"/>
  <c r="AE224" i="10"/>
  <c r="AE233" i="10"/>
  <c r="AC243" i="10"/>
  <c r="AE243" i="10" s="1"/>
  <c r="AC265" i="10"/>
  <c r="AE265" i="10" s="1"/>
  <c r="T92" i="10"/>
  <c r="U92" i="10" s="1"/>
  <c r="AF92" i="10" s="1"/>
  <c r="AE121" i="10"/>
  <c r="AE152" i="10"/>
  <c r="AE162" i="10"/>
  <c r="AE234" i="10"/>
  <c r="AC284" i="10"/>
  <c r="T114" i="10"/>
  <c r="U114" i="10" s="1"/>
  <c r="T155" i="10"/>
  <c r="U155" i="10" s="1"/>
  <c r="AF155" i="10" s="1"/>
  <c r="T48" i="10"/>
  <c r="U48" i="10" s="1"/>
  <c r="AF48" i="10" s="1"/>
  <c r="T115" i="10"/>
  <c r="U115" i="10" s="1"/>
  <c r="AF115" i="10" s="1"/>
  <c r="AE19" i="10"/>
  <c r="AE143" i="10"/>
  <c r="AE153" i="10"/>
  <c r="AC163" i="10"/>
  <c r="AE163" i="10" s="1"/>
  <c r="AC188" i="10"/>
  <c r="AE188" i="10" s="1"/>
  <c r="AC226" i="10"/>
  <c r="AC259" i="10"/>
  <c r="AE259" i="10" s="1"/>
  <c r="AE274" i="10"/>
  <c r="AE179" i="10"/>
  <c r="AE273" i="10"/>
  <c r="AE32" i="10"/>
  <c r="AC50" i="10"/>
  <c r="AE50" i="10" s="1"/>
  <c r="AC59" i="10"/>
  <c r="AE59" i="10" s="1"/>
  <c r="AE96" i="10"/>
  <c r="AE156" i="10"/>
  <c r="AE165" i="10"/>
  <c r="AE190" i="10"/>
  <c r="AE201" i="10"/>
  <c r="T223" i="10"/>
  <c r="U223" i="10" s="1"/>
  <c r="AF223" i="10" s="1"/>
  <c r="AE40" i="10"/>
  <c r="AE112" i="10"/>
  <c r="AF112" i="10" s="1"/>
  <c r="AE108" i="10"/>
  <c r="AE135" i="10"/>
  <c r="AC175" i="10"/>
  <c r="AE175" i="10" s="1"/>
  <c r="AE228" i="10"/>
  <c r="AE254" i="10"/>
  <c r="AE269" i="10"/>
  <c r="AF269" i="10" s="1"/>
  <c r="AE226" i="10"/>
  <c r="AE283" i="10"/>
  <c r="T40" i="10"/>
  <c r="U40" i="10" s="1"/>
  <c r="AF40" i="10" s="1"/>
  <c r="T164" i="10"/>
  <c r="U164" i="10" s="1"/>
  <c r="AF164" i="10" s="1"/>
  <c r="T232" i="10"/>
  <c r="U232" i="10" s="1"/>
  <c r="AF232" i="10" s="1"/>
  <c r="AE41" i="10"/>
  <c r="AE34" i="10"/>
  <c r="AC118" i="10"/>
  <c r="AE118" i="10" s="1"/>
  <c r="AF118" i="10" s="1"/>
  <c r="AC126" i="10"/>
  <c r="AE157" i="10"/>
  <c r="AE166" i="10"/>
  <c r="AE211" i="10"/>
  <c r="AC86" i="10"/>
  <c r="AE86" i="10" s="1"/>
  <c r="T214" i="10"/>
  <c r="U214" i="10" s="1"/>
  <c r="AF214" i="10" s="1"/>
  <c r="AE241" i="10"/>
  <c r="AE24" i="10"/>
  <c r="AE35" i="10"/>
  <c r="AC167" i="10"/>
  <c r="AE167" i="10" s="1"/>
  <c r="AF167" i="10" s="1"/>
  <c r="AC185" i="10"/>
  <c r="AE185" i="10" s="1"/>
  <c r="AC263" i="10"/>
  <c r="AE263" i="10" s="1"/>
  <c r="AE280" i="10"/>
  <c r="AC288" i="10"/>
  <c r="AE288" i="10" s="1"/>
  <c r="AE271" i="10"/>
  <c r="AE10" i="10"/>
  <c r="AE110" i="10"/>
  <c r="AE213" i="10"/>
  <c r="AE73" i="10"/>
  <c r="T123" i="10"/>
  <c r="U123" i="10" s="1"/>
  <c r="AF123" i="10" s="1"/>
  <c r="T150" i="10"/>
  <c r="U150" i="10" s="1"/>
  <c r="AF150" i="10" s="1"/>
  <c r="T168" i="10"/>
  <c r="U168" i="10" s="1"/>
  <c r="AF168" i="10" s="1"/>
  <c r="T189" i="10"/>
  <c r="U189" i="10" s="1"/>
  <c r="AF189" i="10" s="1"/>
  <c r="T264" i="10"/>
  <c r="U264" i="10" s="1"/>
  <c r="AF264" i="10" s="1"/>
  <c r="T271" i="10"/>
  <c r="U271" i="10" s="1"/>
  <c r="AF271" i="10" s="1"/>
  <c r="AC45" i="10"/>
  <c r="AE45" i="10" s="1"/>
  <c r="AC63" i="10"/>
  <c r="AE63" i="10" s="1"/>
  <c r="AE101" i="10"/>
  <c r="AE111" i="10"/>
  <c r="AC128" i="10"/>
  <c r="AC186" i="10"/>
  <c r="AE186" i="10" s="1"/>
  <c r="AC257" i="10"/>
  <c r="AE257" i="10" s="1"/>
  <c r="T200" i="10"/>
  <c r="U200" i="10" s="1"/>
  <c r="AF200" i="10" s="1"/>
  <c r="AE181" i="10"/>
  <c r="AE250" i="10"/>
  <c r="AE284" i="10"/>
  <c r="AE78" i="10"/>
  <c r="T34" i="10"/>
  <c r="U34" i="10" s="1"/>
  <c r="AF34" i="10" s="1"/>
  <c r="T152" i="10"/>
  <c r="U152" i="10" s="1"/>
  <c r="AF152" i="10" s="1"/>
  <c r="T166" i="10"/>
  <c r="U166" i="10" s="1"/>
  <c r="AF166" i="10" s="1"/>
  <c r="T193" i="10"/>
  <c r="U193" i="10" s="1"/>
  <c r="T290" i="10"/>
  <c r="T254" i="10"/>
  <c r="U254" i="10" s="1"/>
  <c r="AF254" i="10" s="1"/>
  <c r="T272" i="10"/>
  <c r="U272" i="10" s="1"/>
  <c r="AF272" i="10" s="1"/>
  <c r="AE113" i="10"/>
  <c r="AE229" i="10"/>
  <c r="AC11" i="10"/>
  <c r="AE11" i="10" s="1"/>
  <c r="AC20" i="10"/>
  <c r="AE20" i="10" s="1"/>
  <c r="AE27" i="10"/>
  <c r="AC44" i="10"/>
  <c r="AE44" i="10" s="1"/>
  <c r="AC89" i="10"/>
  <c r="AE89" i="10" s="1"/>
  <c r="AC97" i="10"/>
  <c r="AE97" i="10" s="1"/>
  <c r="AE127" i="10"/>
  <c r="AC138" i="10"/>
  <c r="AE138" i="10" s="1"/>
  <c r="AE155" i="10"/>
  <c r="AC172" i="10"/>
  <c r="AE172" i="10" s="1"/>
  <c r="AC195" i="10"/>
  <c r="AE195" i="10" s="1"/>
  <c r="AE210" i="10"/>
  <c r="AE244" i="10"/>
  <c r="AF244" i="10" s="1"/>
  <c r="AE98" i="10"/>
  <c r="AE139" i="10"/>
  <c r="AE147" i="10"/>
  <c r="AE237" i="10"/>
  <c r="AE287" i="10"/>
  <c r="AE294" i="10"/>
  <c r="T275" i="10"/>
  <c r="U275" i="10" s="1"/>
  <c r="AF275" i="10" s="1"/>
  <c r="T35" i="10"/>
  <c r="U35" i="10" s="1"/>
  <c r="AF35" i="10" s="1"/>
  <c r="T153" i="10"/>
  <c r="U153" i="10" s="1"/>
  <c r="AF153" i="10" s="1"/>
  <c r="T162" i="10"/>
  <c r="U162" i="10" s="1"/>
  <c r="AF162" i="10" s="1"/>
  <c r="T276" i="10"/>
  <c r="U276" i="10" s="1"/>
  <c r="AF276" i="10" s="1"/>
  <c r="T234" i="10"/>
  <c r="U234" i="10" s="1"/>
  <c r="AF234" i="10" s="1"/>
  <c r="AE91" i="10"/>
  <c r="AE128" i="10"/>
  <c r="AF128" i="10" s="1"/>
  <c r="AC38" i="10"/>
  <c r="AE38" i="10" s="1"/>
  <c r="AC99" i="10"/>
  <c r="AE99" i="10" s="1"/>
  <c r="AE129" i="10"/>
  <c r="AC140" i="10"/>
  <c r="AE140" i="10" s="1"/>
  <c r="AC182" i="10"/>
  <c r="AE182" i="10" s="1"/>
  <c r="AC197" i="10"/>
  <c r="AE197" i="10" s="1"/>
  <c r="AC260" i="10"/>
  <c r="AC266" i="10"/>
  <c r="AE266" i="10" s="1"/>
  <c r="AC281" i="10"/>
  <c r="AE281" i="10" s="1"/>
  <c r="AE260" i="10"/>
  <c r="T135" i="10"/>
  <c r="U135" i="10" s="1"/>
  <c r="AF135" i="10" s="1"/>
  <c r="AE252" i="10"/>
  <c r="T105" i="10"/>
  <c r="U105" i="10" s="1"/>
  <c r="AF105" i="10" s="1"/>
  <c r="T233" i="10"/>
  <c r="U233" i="10" s="1"/>
  <c r="AF233" i="10" s="1"/>
  <c r="T279" i="10"/>
  <c r="U279" i="10" s="1"/>
  <c r="AF279" i="10" s="1"/>
  <c r="AE64" i="10"/>
  <c r="T98" i="10"/>
  <c r="U98" i="10" s="1"/>
  <c r="AF98" i="10" s="1"/>
  <c r="T170" i="10"/>
  <c r="U170" i="10" s="1"/>
  <c r="AF170" i="10" s="1"/>
  <c r="AE12" i="10"/>
  <c r="AE23" i="10"/>
  <c r="AE290" i="10"/>
  <c r="AF290" i="10" s="1"/>
  <c r="AE5" i="10"/>
  <c r="AE122" i="10"/>
  <c r="AE183" i="10"/>
  <c r="AE198" i="10"/>
  <c r="AC206" i="10"/>
  <c r="AE206" i="10" s="1"/>
  <c r="AE231" i="10"/>
  <c r="AC255" i="10"/>
  <c r="AE255" i="10" s="1"/>
  <c r="AC261" i="10"/>
  <c r="AC267" i="10"/>
  <c r="AE267" i="10" s="1"/>
  <c r="AC282" i="10"/>
  <c r="AE282" i="10" s="1"/>
  <c r="T208" i="10"/>
  <c r="U208" i="10" s="1"/>
  <c r="AF208" i="10" s="1"/>
  <c r="T110" i="10"/>
  <c r="U110" i="10" s="1"/>
  <c r="AF110" i="10" s="1"/>
  <c r="AE272" i="10"/>
  <c r="AE126" i="10"/>
  <c r="AF126" i="10" s="1"/>
  <c r="T87" i="10"/>
  <c r="AF87" i="10" s="1"/>
  <c r="T76" i="10"/>
  <c r="U76" i="10" s="1"/>
  <c r="AF76" i="10" s="1"/>
  <c r="AE279" i="10"/>
  <c r="AE291" i="10"/>
  <c r="AC15" i="10"/>
  <c r="AE15" i="10" s="1"/>
  <c r="AE65" i="10"/>
  <c r="AE84" i="10"/>
  <c r="AF84" i="10" s="1"/>
  <c r="AE132" i="10"/>
  <c r="AC142" i="10"/>
  <c r="AE142" i="10" s="1"/>
  <c r="AC199" i="10"/>
  <c r="AE199" i="10" s="1"/>
  <c r="AE221" i="10"/>
  <c r="T91" i="10"/>
  <c r="U91" i="10" s="1"/>
  <c r="AF91" i="10" s="1"/>
  <c r="T196" i="10"/>
  <c r="U196" i="10" s="1"/>
  <c r="AF196" i="10" s="1"/>
  <c r="T21" i="10"/>
  <c r="U21" i="10" s="1"/>
  <c r="AF21" i="10" s="1"/>
  <c r="T30" i="10"/>
  <c r="U30" i="10" s="1"/>
  <c r="AF30" i="10" s="1"/>
  <c r="T52" i="10"/>
  <c r="U52" i="10" s="1"/>
  <c r="AF52" i="10" s="1"/>
  <c r="T228" i="10"/>
  <c r="U228" i="10" s="1"/>
  <c r="AF228" i="10" s="1"/>
  <c r="AE292" i="10"/>
  <c r="AE48" i="10"/>
  <c r="AE66" i="10"/>
  <c r="AE94" i="10"/>
  <c r="AE109" i="10"/>
  <c r="AF109" i="10" s="1"/>
  <c r="AE116" i="10"/>
  <c r="AE161" i="10"/>
  <c r="AE177" i="10"/>
  <c r="AE256" i="10"/>
  <c r="AE268" i="10"/>
  <c r="T28" i="10"/>
  <c r="U28" i="10" s="1"/>
  <c r="AF28" i="10" s="1"/>
  <c r="T139" i="10"/>
  <c r="U139" i="10" s="1"/>
  <c r="AF139" i="10" s="1"/>
  <c r="AE247" i="10"/>
  <c r="AE16" i="10"/>
  <c r="AC25" i="10"/>
  <c r="AE25" i="10" s="1"/>
  <c r="AE49" i="10"/>
  <c r="AE75" i="10"/>
  <c r="AC102" i="10"/>
  <c r="AE102" i="10" s="1"/>
  <c r="AE134" i="10"/>
  <c r="AE225" i="10"/>
  <c r="AC242" i="10"/>
  <c r="AE242" i="10" s="1"/>
  <c r="AF107" i="10"/>
  <c r="AC146" i="10"/>
  <c r="AE146" i="10" s="1"/>
  <c r="T146" i="10"/>
  <c r="U146" i="10" s="1"/>
  <c r="AF146" i="10" s="1"/>
  <c r="T14" i="10"/>
  <c r="U14" i="10" s="1"/>
  <c r="AF14" i="10" s="1"/>
  <c r="AC14" i="10"/>
  <c r="AE14" i="10" s="1"/>
  <c r="T31" i="10"/>
  <c r="U31" i="10" s="1"/>
  <c r="AF31" i="10" s="1"/>
  <c r="AC31" i="10"/>
  <c r="AE31" i="10" s="1"/>
  <c r="T203" i="10"/>
  <c r="U203" i="10" s="1"/>
  <c r="AF203" i="10" s="1"/>
  <c r="AC203" i="10"/>
  <c r="AE203" i="10" s="1"/>
  <c r="AC220" i="10"/>
  <c r="AE220" i="10" s="1"/>
  <c r="T220" i="10"/>
  <c r="U220" i="10" s="1"/>
  <c r="AF220" i="10" s="1"/>
  <c r="AF285" i="10"/>
  <c r="T190" i="10"/>
  <c r="U190" i="10" s="1"/>
  <c r="AF190" i="10" s="1"/>
  <c r="AE7" i="10"/>
  <c r="AC93" i="10"/>
  <c r="AE93" i="10" s="1"/>
  <c r="AC100" i="10"/>
  <c r="AE100" i="10" s="1"/>
  <c r="AE148" i="10"/>
  <c r="AE204" i="10"/>
  <c r="AC174" i="10"/>
  <c r="AE174" i="10" s="1"/>
  <c r="T174" i="10"/>
  <c r="U174" i="10" s="1"/>
  <c r="AF174" i="10" s="1"/>
  <c r="T280" i="10"/>
  <c r="U280" i="10" s="1"/>
  <c r="AF280" i="10" s="1"/>
  <c r="T18" i="10"/>
  <c r="U18" i="10" s="1"/>
  <c r="AC18" i="10"/>
  <c r="AE18" i="10" s="1"/>
  <c r="AC133" i="10"/>
  <c r="AE133" i="10" s="1"/>
  <c r="T133" i="10"/>
  <c r="AE191" i="10"/>
  <c r="AE214" i="10"/>
  <c r="AC238" i="10"/>
  <c r="AE238" i="10" s="1"/>
  <c r="T238" i="10"/>
  <c r="U238" i="10" s="1"/>
  <c r="AE159" i="10"/>
  <c r="T77" i="10"/>
  <c r="U77" i="10" s="1"/>
  <c r="AF77" i="10" s="1"/>
  <c r="AC77" i="10"/>
  <c r="AE77" i="10" s="1"/>
  <c r="AC160" i="10"/>
  <c r="AE160" i="10" s="1"/>
  <c r="T160" i="10"/>
  <c r="U160" i="10" s="1"/>
  <c r="AF160" i="10" s="1"/>
  <c r="T293" i="10"/>
  <c r="U293" i="10" s="1"/>
  <c r="AF293" i="10" s="1"/>
  <c r="AE51" i="10"/>
  <c r="AE125" i="10"/>
  <c r="AE261" i="10"/>
  <c r="T286" i="10"/>
  <c r="U286" i="10" s="1"/>
  <c r="AF286" i="10" s="1"/>
  <c r="AE114" i="10"/>
  <c r="AF114" i="10" s="1"/>
  <c r="AE79" i="10"/>
  <c r="AE193" i="10"/>
  <c r="AF193" i="10" s="1"/>
  <c r="AC205" i="10"/>
  <c r="AE205" i="10" s="1"/>
  <c r="T205" i="10"/>
  <c r="U205" i="10" s="1"/>
  <c r="AF205" i="10" s="1"/>
  <c r="T245" i="10"/>
  <c r="U245" i="10" s="1"/>
  <c r="AF245" i="10" s="1"/>
  <c r="AC29" i="10"/>
  <c r="AE29" i="10" s="1"/>
  <c r="T29" i="10"/>
  <c r="U29" i="10" s="1"/>
  <c r="AF29" i="10" s="1"/>
  <c r="AC62" i="10"/>
  <c r="AE62" i="10" s="1"/>
  <c r="T62" i="10"/>
  <c r="U62" i="10" s="1"/>
  <c r="AF62" i="10" s="1"/>
  <c r="AE217" i="10"/>
  <c r="AE249" i="10"/>
  <c r="AC85" i="10"/>
  <c r="AE85" i="10" s="1"/>
  <c r="T85" i="10"/>
  <c r="U85" i="10" s="1"/>
  <c r="AF85" i="10" s="1"/>
  <c r="T141" i="10"/>
  <c r="U141" i="10" s="1"/>
  <c r="AF141" i="10" s="1"/>
  <c r="AC141" i="10"/>
  <c r="AE141" i="10" s="1"/>
  <c r="AE22" i="10"/>
  <c r="AC154" i="10"/>
  <c r="AE154" i="10" s="1"/>
  <c r="AF154" i="10" s="1"/>
  <c r="AE194" i="10"/>
  <c r="AF194" i="10" s="1"/>
  <c r="AC218" i="10"/>
  <c r="AE218" i="10" s="1"/>
  <c r="T218" i="10"/>
  <c r="U218" i="10" s="1"/>
  <c r="AF218" i="10" s="1"/>
  <c r="AE239" i="10"/>
  <c r="AF113" i="10"/>
  <c r="AE131" i="10"/>
  <c r="AE81" i="10"/>
  <c r="AE236" i="10"/>
  <c r="AE262" i="10"/>
  <c r="T278" i="10"/>
  <c r="U278" i="10" s="1"/>
  <c r="AF278" i="10" s="1"/>
  <c r="AE286" i="10"/>
  <c r="AE82" i="10"/>
  <c r="AC173" i="10"/>
  <c r="AE173" i="10" s="1"/>
  <c r="AC42" i="10"/>
  <c r="AE42" i="10" s="1"/>
  <c r="T291" i="10"/>
  <c r="U291" i="10" s="1"/>
  <c r="AF291" i="10" s="1"/>
  <c r="AE57" i="10"/>
  <c r="AE106" i="10"/>
  <c r="AE289" i="10"/>
  <c r="AE67" i="10"/>
  <c r="AE170" i="10"/>
  <c r="T46" i="10"/>
  <c r="U46" i="10" s="1"/>
  <c r="AF46" i="10" s="1"/>
  <c r="AC171" i="10"/>
  <c r="AE171" i="10" s="1"/>
  <c r="AE80" i="10"/>
  <c r="AE76" i="10"/>
  <c r="AE74" i="10"/>
  <c r="AE72" i="10"/>
  <c r="AE70" i="10"/>
  <c r="AE68" i="10"/>
  <c r="AE61" i="10"/>
  <c r="AE55" i="10"/>
  <c r="AE54" i="10"/>
  <c r="AE296" i="10"/>
  <c r="T236" i="10"/>
  <c r="U236" i="10" s="1"/>
  <c r="AF236" i="10" s="1"/>
  <c r="T213" i="10"/>
  <c r="U213" i="10" s="1"/>
  <c r="AF213" i="10" s="1"/>
  <c r="AC212" i="10"/>
  <c r="AE212" i="10" s="1"/>
  <c r="AF212" i="10"/>
  <c r="T211" i="10"/>
  <c r="U211" i="10" s="1"/>
  <c r="AF211" i="10" s="1"/>
  <c r="AE137" i="10"/>
  <c r="AC136" i="10"/>
  <c r="AE136" i="10" s="1"/>
  <c r="AE130" i="10"/>
  <c r="T130" i="10"/>
  <c r="U130" i="10" s="1"/>
  <c r="AF130" i="10" s="1"/>
  <c r="T125" i="10"/>
  <c r="U125" i="10" s="1"/>
  <c r="AF125" i="10" s="1"/>
  <c r="T106" i="10"/>
  <c r="U106" i="10" s="1"/>
  <c r="AF106" i="10" s="1"/>
  <c r="T80" i="10"/>
  <c r="U80" i="10" s="1"/>
  <c r="AF80" i="10" s="1"/>
  <c r="T78" i="10"/>
  <c r="U78" i="10" s="1"/>
  <c r="AF78" i="10" s="1"/>
  <c r="T72" i="10"/>
  <c r="U72" i="10" s="1"/>
  <c r="AF72" i="10" s="1"/>
  <c r="T74" i="10"/>
  <c r="U74" i="10" s="1"/>
  <c r="AF74" i="10" s="1"/>
  <c r="T67" i="10"/>
  <c r="U67" i="10" s="1"/>
  <c r="AF67" i="10" s="1"/>
  <c r="T61" i="10"/>
  <c r="U61" i="10" s="1"/>
  <c r="AF61" i="10" s="1"/>
  <c r="T57" i="10"/>
  <c r="U57" i="10" s="1"/>
  <c r="AF57" i="10" s="1"/>
  <c r="T54" i="10"/>
  <c r="U54" i="10" s="1"/>
  <c r="AF54" i="10" s="1"/>
  <c r="AC53" i="10"/>
  <c r="AE53" i="10" s="1"/>
  <c r="AC58" i="10"/>
  <c r="AE58" i="10" s="1"/>
  <c r="T17" i="10"/>
  <c r="AF17" i="10" s="1"/>
  <c r="T16" i="10"/>
  <c r="U16" i="10" s="1"/>
  <c r="AF16" i="10" s="1"/>
  <c r="T9" i="10"/>
  <c r="U9" i="10" s="1"/>
  <c r="AF9" i="10" s="1"/>
  <c r="AC8" i="10"/>
  <c r="AE8" i="10" s="1"/>
  <c r="T7" i="10"/>
  <c r="U7" i="10" s="1"/>
  <c r="AF7" i="10" s="1"/>
  <c r="T6" i="10"/>
  <c r="AE6" i="10"/>
  <c r="AF238" i="10" l="1"/>
  <c r="AF1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R2" authorId="0" shapeId="0" xr:uid="{4E4FBA90-E693-402C-9D58-16DA1C98DC56}">
      <text>
        <r>
          <rPr>
            <b/>
            <sz val="9"/>
            <color indexed="81"/>
            <rFont val="Tahoma"/>
            <family val="2"/>
          </rPr>
          <t>Autor:</t>
        </r>
        <r>
          <rPr>
            <sz val="9"/>
            <color indexed="81"/>
            <rFont val="Tahoma"/>
            <family val="2"/>
          </rPr>
          <t xml:space="preserve">
Se calcual directamente el riesgo residual ya que que se tieen en cuenta la existencia de controles que ya están mitigndo los riesgos existentes</t>
        </r>
      </text>
    </comment>
    <comment ref="H3" authorId="0" shapeId="0" xr:uid="{688AC75D-BD56-451D-A62E-ABFA58234C91}">
      <text>
        <r>
          <rPr>
            <b/>
            <sz val="9"/>
            <color indexed="81"/>
            <rFont val="Tahoma"/>
            <family val="2"/>
          </rPr>
          <t>Autor:</t>
        </r>
        <r>
          <rPr>
            <sz val="9"/>
            <color indexed="81"/>
            <rFont val="Tahoma"/>
            <family val="2"/>
          </rPr>
          <t xml:space="preserve">
Valor náximo de los activos en riesgo</t>
        </r>
      </text>
    </comment>
    <comment ref="L3" authorId="0" shapeId="0" xr:uid="{B36F26C7-05E5-40AE-96F7-35EBDBE97D74}">
      <text>
        <r>
          <rPr>
            <b/>
            <sz val="9"/>
            <color indexed="81"/>
            <rFont val="Tahoma"/>
            <family val="2"/>
          </rPr>
          <t>Autor:</t>
        </r>
        <r>
          <rPr>
            <sz val="9"/>
            <color indexed="81"/>
            <rFont val="Tahoma"/>
            <family val="2"/>
          </rPr>
          <t xml:space="preserve">
Disponibilidad</t>
        </r>
      </text>
    </comment>
    <comment ref="M3" authorId="0" shapeId="0" xr:uid="{443803EA-436D-4A44-9659-42F2D507077C}">
      <text>
        <r>
          <rPr>
            <b/>
            <sz val="9"/>
            <color indexed="81"/>
            <rFont val="Tahoma"/>
            <family val="2"/>
          </rPr>
          <t>Autor:</t>
        </r>
        <r>
          <rPr>
            <sz val="9"/>
            <color indexed="81"/>
            <rFont val="Tahoma"/>
            <family val="2"/>
          </rPr>
          <t xml:space="preserve">
Integridad</t>
        </r>
      </text>
    </comment>
    <comment ref="N3" authorId="0" shapeId="0" xr:uid="{8D89E4E6-234A-4BB0-AB4C-49CA5344FF83}">
      <text>
        <r>
          <rPr>
            <b/>
            <sz val="9"/>
            <color indexed="81"/>
            <rFont val="Tahoma"/>
            <family val="2"/>
          </rPr>
          <t>Autor:</t>
        </r>
        <r>
          <rPr>
            <sz val="9"/>
            <color indexed="81"/>
            <rFont val="Tahoma"/>
            <family val="2"/>
          </rPr>
          <t xml:space="preserve">
Confidencialidad</t>
        </r>
      </text>
    </comment>
    <comment ref="O3" authorId="0" shapeId="0" xr:uid="{F595816D-682E-42FF-9785-B3FC9B5E3A09}">
      <text>
        <r>
          <rPr>
            <b/>
            <sz val="9"/>
            <color indexed="81"/>
            <rFont val="Tahoma"/>
            <family val="2"/>
          </rPr>
          <t>Autor:</t>
        </r>
        <r>
          <rPr>
            <sz val="9"/>
            <color indexed="81"/>
            <rFont val="Tahoma"/>
            <family val="2"/>
          </rPr>
          <t xml:space="preserve">
Autenticidad</t>
        </r>
      </text>
    </comment>
    <comment ref="P3" authorId="0" shapeId="0" xr:uid="{B23B26CD-5E32-410B-A6A0-683C39E965E6}">
      <text>
        <r>
          <rPr>
            <b/>
            <sz val="9"/>
            <color indexed="81"/>
            <rFont val="Tahoma"/>
            <family val="2"/>
          </rPr>
          <t>Autor:</t>
        </r>
        <r>
          <rPr>
            <sz val="9"/>
            <color indexed="81"/>
            <rFont val="Tahoma"/>
            <family val="2"/>
          </rPr>
          <t xml:space="preserve">
Trazabilidad</t>
        </r>
      </text>
    </comment>
    <comment ref="Q3" authorId="0" shapeId="0" xr:uid="{42CF1F34-EFBE-4940-9BE0-4F4A8E377731}">
      <text>
        <r>
          <rPr>
            <b/>
            <sz val="9"/>
            <color indexed="81"/>
            <rFont val="Tahoma"/>
            <family val="2"/>
          </rPr>
          <t>Autor:</t>
        </r>
        <r>
          <rPr>
            <sz val="9"/>
            <color indexed="81"/>
            <rFont val="Tahoma"/>
            <family val="2"/>
          </rPr>
          <t xml:space="preserve">
Incumplimiento directo Legal/Normativo/Contractual.
Se excluye cumplimiento de ENS que está implícito
Tampoco se consideran el incumplimiento legal derivado indirectamente de problemas de seguridad
</t>
        </r>
      </text>
    </comment>
    <comment ref="R3" authorId="0" shapeId="0" xr:uid="{BF5C77BE-988C-4CD7-B33A-78759A8CF5BC}">
      <text>
        <r>
          <rPr>
            <b/>
            <sz val="9"/>
            <color indexed="81"/>
            <rFont val="Tahoma"/>
            <family val="2"/>
          </rPr>
          <t>Autor:</t>
        </r>
        <r>
          <rPr>
            <sz val="9"/>
            <color indexed="81"/>
            <rFont val="Tahoma"/>
            <family val="2"/>
          </rPr>
          <t xml:space="preserve">
Impacto Residual
</t>
        </r>
      </text>
    </comment>
    <comment ref="S3" authorId="0" shapeId="0" xr:uid="{4CFD09D3-DABD-4FF5-9C76-6CDC0904F9A0}">
      <text>
        <r>
          <rPr>
            <b/>
            <sz val="9"/>
            <color indexed="81"/>
            <rFont val="Tahoma"/>
            <family val="2"/>
          </rPr>
          <t>Autor:</t>
        </r>
        <r>
          <rPr>
            <sz val="9"/>
            <color indexed="81"/>
            <rFont val="Tahoma"/>
            <family val="2"/>
          </rPr>
          <t xml:space="preserve">
Probabilidad residual</t>
        </r>
      </text>
    </comment>
    <comment ref="T3" authorId="0" shapeId="0" xr:uid="{EFF6FB0D-D279-4069-ABDE-1BBC13813443}">
      <text>
        <r>
          <rPr>
            <b/>
            <sz val="9"/>
            <color indexed="81"/>
            <rFont val="Tahoma"/>
            <family val="2"/>
          </rPr>
          <t>Autor:</t>
        </r>
        <r>
          <rPr>
            <sz val="9"/>
            <color indexed="81"/>
            <rFont val="Tahoma"/>
            <family val="2"/>
          </rPr>
          <t xml:space="preserve">
Riesgo Residual teniendo en cuenta el tratamiento (control) aplicado</t>
        </r>
      </text>
    </comment>
    <comment ref="AC3" authorId="0" shapeId="0" xr:uid="{2ED0CF6B-5A54-470F-A528-BE824F3753E4}">
      <text>
        <r>
          <rPr>
            <b/>
            <sz val="9"/>
            <color indexed="81"/>
            <rFont val="Tahoma"/>
            <family val="2"/>
          </rPr>
          <t>Autor:</t>
        </r>
        <r>
          <rPr>
            <sz val="9"/>
            <color indexed="81"/>
            <rFont val="Tahoma"/>
            <family val="2"/>
          </rPr>
          <t xml:space="preserve">
Impacto Residual Resultante</t>
        </r>
      </text>
    </comment>
    <comment ref="AD3" authorId="0" shapeId="0" xr:uid="{BD0DBD05-1749-4031-BF09-FC9457A6CA82}">
      <text>
        <r>
          <rPr>
            <b/>
            <sz val="9"/>
            <color indexed="81"/>
            <rFont val="Tahoma"/>
            <family val="2"/>
          </rPr>
          <t>Autor:</t>
        </r>
        <r>
          <rPr>
            <sz val="9"/>
            <color indexed="81"/>
            <rFont val="Tahoma"/>
            <family val="2"/>
          </rPr>
          <t xml:space="preserve">
Probabilidad  ResidualResultante</t>
        </r>
      </text>
    </comment>
    <comment ref="AE3" authorId="0" shapeId="0" xr:uid="{AAE8E49A-AAD1-4699-B013-50642E270A98}">
      <text>
        <r>
          <rPr>
            <b/>
            <sz val="9"/>
            <color indexed="81"/>
            <rFont val="Tahoma"/>
            <family val="2"/>
          </rPr>
          <t>Autor:</t>
        </r>
        <r>
          <rPr>
            <sz val="9"/>
            <color indexed="81"/>
            <rFont val="Tahoma"/>
            <family val="2"/>
          </rPr>
          <t xml:space="preserve">
Nivel de riesgo residual resultante</t>
        </r>
      </text>
    </comment>
    <comment ref="AF3" authorId="0" shapeId="0" xr:uid="{C8E731FD-60B3-4D27-84E9-A5F743940CFD}">
      <text>
        <r>
          <rPr>
            <b/>
            <sz val="9"/>
            <color indexed="81"/>
            <rFont val="Tahoma"/>
            <family val="2"/>
          </rPr>
          <t>Autor:</t>
        </r>
        <r>
          <rPr>
            <sz val="9"/>
            <color indexed="81"/>
            <rFont val="Tahoma"/>
            <family val="2"/>
          </rPr>
          <t xml:space="preserve">
Se considera SI es eficaz si se ha bajado el riesgo residual a un nivel aceptables.
Si se ha bajado el riesgo residual pero no a un nivel aceptable se considera INSUFICIENTE
Si no se ha bajado el riesgo, se considera que NO ha sido eficaz</t>
        </r>
      </text>
    </comment>
  </commentList>
</comments>
</file>

<file path=xl/sharedStrings.xml><?xml version="1.0" encoding="utf-8"?>
<sst xmlns="http://schemas.openxmlformats.org/spreadsheetml/2006/main" count="3344" uniqueCount="1963">
  <si>
    <t>Código</t>
  </si>
  <si>
    <t>D06 Riesgos de Seguridad de la Informaci´´on</t>
  </si>
  <si>
    <t>Fecha</t>
  </si>
  <si>
    <t>Aprobado por:</t>
  </si>
  <si>
    <t>Jordi Roca
Marc Muixí</t>
  </si>
  <si>
    <t>Versión</t>
  </si>
  <si>
    <t>1.0</t>
  </si>
  <si>
    <t>Clasificación</t>
  </si>
  <si>
    <t>CONFIDENTIAL</t>
  </si>
  <si>
    <t>Contenido</t>
  </si>
  <si>
    <t>Identificar y evaluar los diferentes riesgos que afectan a la seguridad de la información y definir su plan de tratamiento.</t>
  </si>
  <si>
    <t>Registro de cambioos</t>
  </si>
  <si>
    <t>Version</t>
  </si>
  <si>
    <t>Date</t>
  </si>
  <si>
    <t>Cause</t>
  </si>
  <si>
    <t>v1</t>
  </si>
  <si>
    <t>Initial version</t>
  </si>
  <si>
    <t>Oportunidades</t>
  </si>
  <si>
    <t>Origen</t>
  </si>
  <si>
    <t>Situación actual</t>
  </si>
  <si>
    <t>O</t>
  </si>
  <si>
    <t>Oportunidad</t>
  </si>
  <si>
    <t>Beneficio</t>
  </si>
  <si>
    <t>Coste</t>
  </si>
  <si>
    <t>Valor de la Oportunidad</t>
  </si>
  <si>
    <t>Acción</t>
  </si>
  <si>
    <t>Responsable</t>
  </si>
  <si>
    <t>Fecha prevista</t>
  </si>
  <si>
    <t>Fecha realización</t>
  </si>
  <si>
    <t>Revisión Y monitorización</t>
  </si>
  <si>
    <t>DAFO (SIG-MD-FR-01)</t>
  </si>
  <si>
    <t>O1</t>
  </si>
  <si>
    <t>Posibilidad de prestar nuevos servicios de IT a otras áreas de la compañía</t>
  </si>
  <si>
    <t>O2</t>
  </si>
  <si>
    <t>Uso del Cloud: Flexibilización del coste y incremento de la disponibilidad</t>
  </si>
  <si>
    <t>O3</t>
  </si>
  <si>
    <t>Incremento del portfolio de soluciones y servicios de Global IT</t>
  </si>
  <si>
    <t>O4</t>
  </si>
  <si>
    <t>Crear una nueva área de CyberSecurity</t>
  </si>
  <si>
    <t>O5</t>
  </si>
  <si>
    <t>Mejorar la adopción de las buenas prácticas descritas en ITIL</t>
  </si>
  <si>
    <t>Anàlisis PPII (SIG-MD-FR-02)</t>
  </si>
  <si>
    <t>O6</t>
  </si>
  <si>
    <t>newsletter especifica service desk sobre bones pràctiques de seguretat de la informació</t>
  </si>
  <si>
    <t>O7</t>
  </si>
  <si>
    <t>Protocolos de anonimación (con universidades)</t>
  </si>
  <si>
    <t>EVALUACIÓN DE RIESGOS DE SEGURIDAD DE LA INFORMACIÓN</t>
  </si>
  <si>
    <t xml:space="preserve">Risk identification </t>
  </si>
  <si>
    <t>Evaluación del Impacto</t>
  </si>
  <si>
    <t>Evaluación de Riesgo Residual</t>
  </si>
  <si>
    <t>Risk treatment plan</t>
  </si>
  <si>
    <t xml:space="preserve"> Performance assessment</t>
  </si>
  <si>
    <t>Capítulo Anexo  A</t>
  </si>
  <si>
    <t>ID</t>
  </si>
  <si>
    <t>Propietario del riesgo</t>
  </si>
  <si>
    <t>Vulnerabilidad</t>
  </si>
  <si>
    <t>Amenaza/Evento</t>
  </si>
  <si>
    <t>Consecuencias</t>
  </si>
  <si>
    <t>Activos en Riesgo</t>
  </si>
  <si>
    <t>Valor Máximo del Activo</t>
  </si>
  <si>
    <t>Control 
27001:13</t>
  </si>
  <si>
    <t>Control 
27001:22</t>
  </si>
  <si>
    <t>Medida
ENS</t>
  </si>
  <si>
    <t>D</t>
  </si>
  <si>
    <t>I</t>
  </si>
  <si>
    <t>C</t>
  </si>
  <si>
    <t>A</t>
  </si>
  <si>
    <t>T</t>
  </si>
  <si>
    <t>L/R/C</t>
  </si>
  <si>
    <t>IR</t>
  </si>
  <si>
    <t>PR</t>
  </si>
  <si>
    <t>Nivel de Riesgo Residual</t>
  </si>
  <si>
    <t>Decision</t>
  </si>
  <si>
    <t>Acción requerida</t>
  </si>
  <si>
    <t>Ticket</t>
  </si>
  <si>
    <t>Responsable de la acción</t>
  </si>
  <si>
    <t>Recursos</t>
  </si>
  <si>
    <t>Fecha Planificada</t>
  </si>
  <si>
    <t>Fecha Finalización</t>
  </si>
  <si>
    <t>Revisión y monitorización</t>
  </si>
  <si>
    <t>IRR</t>
  </si>
  <si>
    <t>PRR</t>
  </si>
  <si>
    <t xml:space="preserve">Nivel de Riesgo Residual Resultante </t>
  </si>
  <si>
    <t>Evaluación de eficacia</t>
  </si>
  <si>
    <t>A.5 Políticas de Seguridad de la Información</t>
  </si>
  <si>
    <t>R1</t>
  </si>
  <si>
    <t>CEO</t>
  </si>
  <si>
    <t>No se dispone de un conjunto de políticas de la seguridad de la información aprobadas, publicada y revisada periódicamente.</t>
  </si>
  <si>
    <t>La organización no está preparada para gestionar los riesgos sobre la seguridad de la información</t>
  </si>
  <si>
    <r>
      <t xml:space="preserve">Se pone en riesgo la seguridad de la información ya que </t>
    </r>
    <r>
      <rPr>
        <sz val="11"/>
        <rFont val="Calibri"/>
        <family val="2"/>
        <scheme val="minor"/>
      </rPr>
      <t>la organización no está preparada para prevenir, detectar y responder a los incidentes de seguridad de la información.
Falta de aplicación de las políticas y procedimientos definidos.</t>
    </r>
  </si>
  <si>
    <t>SP-Servicios Propios
D-Datos</t>
  </si>
  <si>
    <t xml:space="preserve">A.5.1.1
A.5.1.2
</t>
  </si>
  <si>
    <t>5.1</t>
  </si>
  <si>
    <t>ORG.2</t>
  </si>
  <si>
    <t>A.6 Organización de la Seguridad de la información</t>
  </si>
  <si>
    <t>R2</t>
  </si>
  <si>
    <r>
      <t>No se han definido los roles y responsablidades en seguridad de la información.</t>
    </r>
    <r>
      <rPr>
        <sz val="11"/>
        <color theme="1"/>
        <rFont val="Calibri"/>
        <family val="2"/>
        <scheme val="minor"/>
      </rPr>
      <t xml:space="preserve">
</t>
    </r>
  </si>
  <si>
    <t>Se pone en riesgo la seguridad de la información ya que la organización no está preparada para prevenir, detectar y responder a los incidentes de seguridad de la información.</t>
  </si>
  <si>
    <t>SP-Servicios Propios
D-Datos
P-Personal</t>
  </si>
  <si>
    <t>A.6.1.1</t>
  </si>
  <si>
    <t>5.2</t>
  </si>
  <si>
    <t xml:space="preserve">
ORG.1</t>
  </si>
  <si>
    <t>R3</t>
  </si>
  <si>
    <r>
      <t xml:space="preserve">Los funciones y áreas de responsabilidad no estan definidas ni separadas por lo que se pueden producir conflictos de interés.
</t>
    </r>
    <r>
      <rPr>
        <sz val="11"/>
        <color rgb="FFFF0000"/>
        <rFont val="Calibri"/>
        <family val="2"/>
        <scheme val="minor"/>
      </rPr>
      <t>Función de Responsable de IT y Responsable de Seguridad recaen en la misma persona</t>
    </r>
  </si>
  <si>
    <t xml:space="preserve">
Se pueden realizar una modificación no autorizada o un mal uso de la información o servicios.</t>
  </si>
  <si>
    <t>A.6.1.2</t>
  </si>
  <si>
    <t>5.3</t>
  </si>
  <si>
    <t>ORG.1
OP.ACC.3</t>
  </si>
  <si>
    <t>ACEPTAR</t>
  </si>
  <si>
    <t>Dada la dimensión de la empresa se considera que es un riesgo asumible.
El Responsable TIC tiene suficiente autoridad para tomar las deciones que afecten ambos ámbiutos.
En caso de situación de conflicto de interés se toman decisiones y se lleva a cabo la supervisión en el marco del Comité de Seguridad de la Información</t>
  </si>
  <si>
    <t>R4</t>
  </si>
  <si>
    <t>Resp. Seg. Inf.</t>
  </si>
  <si>
    <t>No existe un procedimiento de contacto con las autoridades que determine quien, en que circunstancias y como se deben realizar los contactos con las autoridades, ya sea cuando se recibe una solicitud por parte de estas, o se deba comunicar alguna circunstancia que así lo requiera.</t>
  </si>
  <si>
    <t>Recibir peticiones por parte de las autoridades o tener necesidad de comunicar o solicitar ayuda en caso de algún incidente</t>
  </si>
  <si>
    <t>La demora en responder o contactar con las autoridades puede dar pie a sanciones, lentitud en la respuesta a amenazas o respuestas inadecuadas e insuficientes que incrementen los riesgos y su impacto.</t>
  </si>
  <si>
    <t>A.6.1.3</t>
  </si>
  <si>
    <t>5.5</t>
  </si>
  <si>
    <t>ORG.3
OP.EXP.7</t>
  </si>
  <si>
    <t>R5</t>
  </si>
  <si>
    <t xml:space="preserve"> Los individuos relevantes de la organización no mantienen asociación activa con grupos de interés especial u otros foros y asocianes profesionales especializados en seguridad</t>
  </si>
  <si>
    <t>Por desconocimiento la organización está expuesta a nuevas amenazas.</t>
  </si>
  <si>
    <t>Vulnerabilidad ante nuevos tipos de amenazas, lentitud en la respuesta o falta de actualización de conocimientos sobre mejores prácticas para  proteger la seguridad de la información.</t>
  </si>
  <si>
    <t>A.6.1.4</t>
  </si>
  <si>
    <t>5.6</t>
  </si>
  <si>
    <t>OP.EXP.7</t>
  </si>
  <si>
    <t>R6</t>
  </si>
  <si>
    <r>
      <t xml:space="preserve"> No existe un procedimiento de gestión de proyectos o este no incluye la necesidad de que por diseño se valoren los riesgos y requisitos que puedan afectar a la seguridad de la información.
</t>
    </r>
    <r>
      <rPr>
        <sz val="11"/>
        <color rgb="FFFF0000"/>
        <rFont val="Calibri"/>
        <family val="2"/>
        <scheme val="minor"/>
      </rPr>
      <t>Falta disponer de una metodología general de gestión de proyectos de desarrollo que tenga en cuenta los aspectos de seguridad de la información (requisitos, riesgos, ...) en todo el ciclo de vida, no solamente en los requisitos</t>
    </r>
  </si>
  <si>
    <t>Poner en marcha proyectos sin tener determinados los riesgos y requisitos sobre la seguridad de la información.</t>
  </si>
  <si>
    <t>Los sistemas o procesos que tratan la información no cumplen unos requisitos mínimos de seguridad o existen riesgos no detectados.</t>
  </si>
  <si>
    <t>A.6.1.5
A.12.1.2
A.14.1.1</t>
  </si>
  <si>
    <t>5.8
8.26
8.32</t>
  </si>
  <si>
    <t>ORG.4
OP.EXP.5
MP.SW.1</t>
  </si>
  <si>
    <t>Establecer un proceso de desarrollo seguro de software en el marco de los proyectos que se desarrollan</t>
  </si>
  <si>
    <t>Marc Muxí</t>
  </si>
  <si>
    <t>5FTE</t>
  </si>
  <si>
    <t>Q1 2026</t>
  </si>
  <si>
    <t>R7</t>
  </si>
  <si>
    <t>No existen unas políticas de uso de dispositivos móviles que determinen quien los pueden utilizar, en qué circunstáncias, las normas de uso y las obligaciones en cuanto a su custodia y protección.</t>
  </si>
  <si>
    <t>Pérdida, robo o uso inadecuado de dispositivos móviles</t>
  </si>
  <si>
    <t>Pérdida de dispositivos móviles que pueden poner en riesgo la confidencialidad y disponibilidad de información clasificada</t>
  </si>
  <si>
    <t>SP-Servicios de informática interna
D-Gestión interna
HW-Uso personal</t>
  </si>
  <si>
    <t>A.6.2.1</t>
  </si>
  <si>
    <t>8.1</t>
  </si>
  <si>
    <t>ORG.4
MP.EQ.3</t>
  </si>
  <si>
    <t>R8</t>
  </si>
  <si>
    <t>No existe una política de teletrabajo que determine quien puede trabajar remotamente, en qué circunstáncias, desde qué emplazamientos y las normas y precauciones que se deben respetar</t>
  </si>
  <si>
    <t xml:space="preserve">Interceptación de comunicaciones
Acceso no autorizado a la información
</t>
  </si>
  <si>
    <t>Pérdida de confidencialidad de la información a la que se accede</t>
  </si>
  <si>
    <t>SP-Servicios de informática interna
D-Datos
P- Personal</t>
  </si>
  <si>
    <t>A.6.2.2</t>
  </si>
  <si>
    <t>6.7</t>
  </si>
  <si>
    <t>MP.PER.2</t>
  </si>
  <si>
    <t>R9</t>
  </si>
  <si>
    <t>No se han adoptado las medidas técnicas adecuadas para asegurar las comunicaciones en teletrabajo</t>
  </si>
  <si>
    <t>Interceptación de comunicaciones</t>
  </si>
  <si>
    <t>MP.COM.1
MP.COM.2
MP.COM.3
OP.ACC.6</t>
  </si>
  <si>
    <t>A.7 Seguridad relativa recursos humanos</t>
  </si>
  <si>
    <t>R10</t>
  </si>
  <si>
    <t>Resp. RRHH</t>
  </si>
  <si>
    <t>No se han revisado y validado los antecedentes de los candidatos a ocupar un puesto de trabajo</t>
  </si>
  <si>
    <t>Contratación de personal no tienen los conocimientos o habilidades necesarias para tratar con seguridad la información a la que pueda acceder o manipular.</t>
  </si>
  <si>
    <t>Manipulación o tratamiento incorrecto de la información</t>
  </si>
  <si>
    <t>SP-Servicios Propios
D-Datos
P- Personal</t>
  </si>
  <si>
    <t>A.7.1.1</t>
  </si>
  <si>
    <t>6.1</t>
  </si>
  <si>
    <t>MP.PER.1</t>
  </si>
  <si>
    <t>R11</t>
  </si>
  <si>
    <t>Contratación de pesonal con antecendentes delictivos o improcedentes</t>
  </si>
  <si>
    <t>Robo, destrucción deliberada o publicación de información clasificada</t>
  </si>
  <si>
    <t>R12</t>
  </si>
  <si>
    <t>Resp. Seg. Inf.
Resp. RRHH</t>
  </si>
  <si>
    <t>En las  obligaciones contractuales de los empleados y colaboradores no se establecen los términos y condiciones  en lo que respecta a la seguridad de la información, la obligación de confidencialidad y las normas de tratamiento de la información.</t>
  </si>
  <si>
    <t>Desconocimiento por parte del personal y colaboradores de sus obligaciones en cuanto a seguridad de la información</t>
  </si>
  <si>
    <t>Acceso, publicación o manipulación no autorizada a la información
Manipulación o tratamiento incorrecto de la información</t>
  </si>
  <si>
    <t>A.7.1.2</t>
  </si>
  <si>
    <t>6.2
6.6</t>
  </si>
  <si>
    <t>ORG.2
MP.PER.2</t>
  </si>
  <si>
    <t>R13</t>
  </si>
  <si>
    <t>Los mandos no estan comprometidos ni supervisan la aplicación de las políticas de seguridad de la información.</t>
  </si>
  <si>
    <t>Relajación en la aplicación de los controles de seguridad</t>
  </si>
  <si>
    <t>A.7.2.1</t>
  </si>
  <si>
    <t>5.4</t>
  </si>
  <si>
    <t>ORG.1
MP.PER.2</t>
  </si>
  <si>
    <t>R14</t>
  </si>
  <si>
    <t>Los empleados y colaboradores no tienen una adecuada formación y conscienciación de la seguridad de la información adecuadas a  función dentro de la empresa</t>
  </si>
  <si>
    <t>Desconocimiento por parte del personal y colaboradores de sus obligaciones y buenas prácticas en cuanto a seguridad de la información</t>
  </si>
  <si>
    <t>A.7.2.2</t>
  </si>
  <si>
    <t>6.3</t>
  </si>
  <si>
    <t xml:space="preserve">
MP.PER.3
MP.PER.4</t>
  </si>
  <si>
    <r>
      <t xml:space="preserve">Los empleados y colaboradores no tienen una adecuada formación y conscienciación de la seguridad de la información adecuadas a  función dentro de la empresa
</t>
    </r>
    <r>
      <rPr>
        <sz val="11"/>
        <color rgb="FFFF0000"/>
        <rFont val="Calibri"/>
        <family val="2"/>
        <scheme val="minor"/>
      </rPr>
      <t>No se está llevando a cabo sistemáticamente un plan de concienciación en seguridad de la información</t>
    </r>
  </si>
  <si>
    <t>Dada la dimensión actual de la empresa se considera un riesgo aceptable.</t>
  </si>
  <si>
    <t>R15</t>
  </si>
  <si>
    <t>No existe un procedimiento disciplinario o el personal y colaboradores no lo conocen relativo al incumplimiento o falta de diligencia de las obligaciones en seguridad de la información.</t>
  </si>
  <si>
    <t>Incumplimiento deliberado o falta de diligencia en el cumplimiento de la normativa de seguridad de la información.</t>
  </si>
  <si>
    <t>Se pone en riesgo la seguridad de la información ya que la organización no está preparada para prevenir, detectar y responder a los incidentes de seguridad de la información.
Imposibilidad de tomar las medidas disciplinarias adecuadas o reclamar por los perjudicios causados</t>
  </si>
  <si>
    <t>A.7.2.3</t>
  </si>
  <si>
    <t>6.4</t>
  </si>
  <si>
    <t>R16</t>
  </si>
  <si>
    <t>En las  obligaciones contractuales de los empleados y colaboradores no se establecen los términos y condiciones  en lo que respecta a la seguridad de la información al finalizar la relación laboral o contractual</t>
  </si>
  <si>
    <t>Divulgación o uso de información confidencial por parte de exempleados</t>
  </si>
  <si>
    <t>Acceso o uso no autorizada a la información</t>
  </si>
  <si>
    <t>D-Datos
P-Personal</t>
  </si>
  <si>
    <t>A.7.3.1</t>
  </si>
  <si>
    <t>6.5</t>
  </si>
  <si>
    <t>A.8 Gestión de activos</t>
  </si>
  <si>
    <t>R17</t>
  </si>
  <si>
    <t>Resp. Informática
CTO</t>
  </si>
  <si>
    <t>No existe un  inventario actualizado de todos los activos asociados con la información e instalaciones de procesamiento de la información.</t>
  </si>
  <si>
    <t>Pérdida, robo o uso inadecuado de activos.
Indisponibilidad de los equipos</t>
  </si>
  <si>
    <t>Imposibilidad de gestionar la confidencialidad, integridad y disponibilidad de los activos de información o los requeridos para su tratamiento.
Retrasos en la recuperación de la disponibilidad de los servicios</t>
  </si>
  <si>
    <t>SP-Servicios Propios
D-Datos
HW-Hardware / IS-IaaS
SW-Software / SS-SaaS
K-Claves criptográficas
LOC-Localizaciones</t>
  </si>
  <si>
    <t>A.8.1.1</t>
  </si>
  <si>
    <t>5.9</t>
  </si>
  <si>
    <t>OP.PL.2
OP.EXP.1</t>
  </si>
  <si>
    <t>R18</t>
  </si>
  <si>
    <t>Resp. Seg. Inf.
Resp. Compliance</t>
  </si>
  <si>
    <t>No se ha determinado quien es el propietario de cada uno de los activos</t>
  </si>
  <si>
    <t>Uso o acceso a los activos por parte de personal no autorizado</t>
  </si>
  <si>
    <t>Imposibilidad de gestionar la confidencialidad, integridad y disponibilidad de los activos de información o los requeridos para su tratamiento.</t>
  </si>
  <si>
    <t>A.8.1.2</t>
  </si>
  <si>
    <t>R19</t>
  </si>
  <si>
    <t>No existe una política de uso aceptable para cada clase/tipo de activo de la información</t>
  </si>
  <si>
    <t>Pérdida, robo o uso inadecuado de activos</t>
  </si>
  <si>
    <t>SP-Servicios de informática interna
HW-Uso personal</t>
  </si>
  <si>
    <t>A.8.1.3</t>
  </si>
  <si>
    <t>5.10</t>
  </si>
  <si>
    <t>R20</t>
  </si>
  <si>
    <t>No existe un procedimiento para garantizar que todos los empleados y colaboradores devuelven los activos de la organización en finalizar su empleo o contrato</t>
  </si>
  <si>
    <t>Pérdida o uso no autorizado de los activos</t>
  </si>
  <si>
    <t>Pérdida de activos importantes o pérdida de control sobre la confidencialidad de los activos de información..</t>
  </si>
  <si>
    <t>A.8.1.4</t>
  </si>
  <si>
    <t>5.11</t>
  </si>
  <si>
    <t>R21</t>
  </si>
  <si>
    <t>No existe una política que clasifique la información de acuerdo con su grado de confidencialidad requerido</t>
  </si>
  <si>
    <t>Desconocimiento por parte del personal del grado de confidencialidad que debe aplicar a la información.</t>
  </si>
  <si>
    <t>Publicació o manipulación de la información por parte de personas no autoritzadas (internas o externas)</t>
  </si>
  <si>
    <t>D-Datos</t>
  </si>
  <si>
    <t>A.8.2.1</t>
  </si>
  <si>
    <t>5.12</t>
  </si>
  <si>
    <t>MP.INFO.2</t>
  </si>
  <si>
    <t>R22</t>
  </si>
  <si>
    <t>No se ha definido un método o procedimiento para etiquetar cada activo de información en función de su clasificación</t>
  </si>
  <si>
    <t>A.8.2.2</t>
  </si>
  <si>
    <t>5.13</t>
  </si>
  <si>
    <t>ORG.3
MP.SI.1
MP.INFO.2</t>
  </si>
  <si>
    <t>R23</t>
  </si>
  <si>
    <t>No se ha definido un procedimiento o protocolo para manipular la información en función de su grado de confidencialidad</t>
  </si>
  <si>
    <t>Desconocimiento por parte del personal y colaboradores de sus obligaciones en cuanto a seguridad de la información.</t>
  </si>
  <si>
    <t>Acceso, publicación o manipulación no autorizada a la información</t>
  </si>
  <si>
    <t>A.8.2.3</t>
  </si>
  <si>
    <t>ORG.3
MP.INFO.2</t>
  </si>
  <si>
    <t>R24</t>
  </si>
  <si>
    <t>No existen procedimientos para la gestión de los soportes extraíbles, de acuerdo con el esquema de clasificación adoptado por la organización</t>
  </si>
  <si>
    <t>SOP-Soportes</t>
  </si>
  <si>
    <t>A.8.2.3
A.8.3.1</t>
  </si>
  <si>
    <t>5.10
7.10</t>
  </si>
  <si>
    <t>MP.SI.1
MP.SI.2
MP.SI.3</t>
  </si>
  <si>
    <t>R25</t>
  </si>
  <si>
    <t>No existe un procedimiento formal explicando como se eliminan los soportes extraíbles</t>
  </si>
  <si>
    <t>Acceso a los soportes por parte de terceros o personal no autorizado</t>
  </si>
  <si>
    <t>Pérdida de confidencialidad de la información que puede se accedida por terceros o personal no autorizado</t>
  </si>
  <si>
    <t>A.8.3.2</t>
  </si>
  <si>
    <t>5.10
7.10
7.14</t>
  </si>
  <si>
    <t>MP.SI.5</t>
  </si>
  <si>
    <t>R26</t>
  </si>
  <si>
    <t>No existe un un procedimiento o protocolo para custodiar y proteger soportes  que contengan información</t>
  </si>
  <si>
    <t>Pérdida, robo o acceso no autorizado a los soportes</t>
  </si>
  <si>
    <t>A.8.3.1</t>
  </si>
  <si>
    <t>MP.SI.3</t>
  </si>
  <si>
    <t>R27</t>
  </si>
  <si>
    <t>Resp. Seg. Inf
Resp. Informática</t>
  </si>
  <si>
    <t>No se han implementado medidas técnicas para proteger el acceso a la información en los soportes en tránsito</t>
  </si>
  <si>
    <t>A.8.3.3</t>
  </si>
  <si>
    <t>7.10</t>
  </si>
  <si>
    <t>MP.SI.4</t>
  </si>
  <si>
    <t>A.9. Control de Accesos</t>
  </si>
  <si>
    <t>R28</t>
  </si>
  <si>
    <t>No existe una política de control de acceso documentada i actualizada basada en los requisitos de negocio y de seguridad de la información y que determine quine puede acceder a que información de acuerdo a sus funciones en la empresa.</t>
  </si>
  <si>
    <t>Acceso o manipulación de la información por parte de personal no autorizado o no capacitado</t>
  </si>
  <si>
    <t>Acceso, publicación o manipulación no autorizada a la información.
Fallos intencionados o no intencionados en la manipulación de la información.
Destruccion intencionada o no intencionada de la información.</t>
  </si>
  <si>
    <t>SP-Servicios Propios
D-Datos
Activos con control de acceso</t>
  </si>
  <si>
    <t>A.9.1.1</t>
  </si>
  <si>
    <t>5.15</t>
  </si>
  <si>
    <t>OP.ACC.2
OP.ACC.4</t>
  </si>
  <si>
    <t>R29</t>
  </si>
  <si>
    <t>CTO</t>
  </si>
  <si>
    <t>No se han implantado controles para asegurar que los usuarios solo tienen acceso a las redes y servicios de red en los que han sido especialmente autorizados a usar y con los privilegios requeridos para sus funciones</t>
  </si>
  <si>
    <t>A.9.1.2
A.9.2.3
A.9.4.1
A.9.4.2</t>
  </si>
  <si>
    <t>5.15
8.3</t>
  </si>
  <si>
    <t>OP.ACC.2
OP.ACC.5
OP.ACC.6</t>
  </si>
  <si>
    <t>R30</t>
  </si>
  <si>
    <t>No existe un procedimiento de asignación y eliminación de identificadores de usuarios que permita gestionar y monitorizar los accesos de cada usuario individualmente</t>
  </si>
  <si>
    <t>A.9.2.1</t>
  </si>
  <si>
    <t>5.16</t>
  </si>
  <si>
    <t>OP.ACC.1
OP.ACC.4
OP.ACC.5
OP.ACC.6</t>
  </si>
  <si>
    <t>R31</t>
  </si>
  <si>
    <t>No existe un procedimiento formal de alta y baja de usuarios que haga posible la asignación, revocación y revisión de los derechos de acceso de acuerdo con la política definida.</t>
  </si>
  <si>
    <t>Acceso o manipulación de la información por parte de personal no autorizado o no capacitado.
Puerta abierta a accesos no autorizados.</t>
  </si>
  <si>
    <t>A.9.2.2</t>
  </si>
  <si>
    <t>5.15
5.18</t>
  </si>
  <si>
    <t>R32</t>
  </si>
  <si>
    <t>No existe un procedimiento formal para la asignación y uso de derechos de acceso privilegiado.</t>
  </si>
  <si>
    <t>Acceso, publicación o manipulación no autorizada a la información.
Fallos intencionados o no intencionados en la manipulación de la información.
Destruccion intencionada o no intencionada de la información.
Manipulación de los registros de actividades
Alteración de los derechos de acceso no autorizada</t>
  </si>
  <si>
    <t>A.9.2.3
A.9.4.2</t>
  </si>
  <si>
    <t>5.15
8.2
8.18</t>
  </si>
  <si>
    <t>OP.ACC.3
OP.ACC.4</t>
  </si>
  <si>
    <t>R33</t>
  </si>
  <si>
    <t>No existen registros  ni se supervisan las actividades de asignación de privilegios.</t>
  </si>
  <si>
    <t>A.9.2.5
A.12.4.3</t>
  </si>
  <si>
    <t>5.18
8.15
8.16</t>
  </si>
  <si>
    <t>OP.EXP.8
OP.MON.3</t>
  </si>
  <si>
    <t>R34</t>
  </si>
  <si>
    <r>
      <t>No se han implementado medidas de seguridad adecuadas para las cuentas con privilegios de administración, doble factor de autenticación, usuarios genericos, limitación de tiempo de operativa…</t>
    </r>
    <r>
      <rPr>
        <sz val="11"/>
        <color rgb="FFFF0000"/>
        <rFont val="Calibri"/>
        <family val="2"/>
        <scheme val="minor"/>
      </rPr>
      <t>.</t>
    </r>
  </si>
  <si>
    <t>A.9.1.2
A.9.2.3
A.9.4.2
A.9.4.4</t>
  </si>
  <si>
    <t>8.2
8.3
8.5
8.18</t>
  </si>
  <si>
    <t>R35</t>
  </si>
  <si>
    <t>No existe un protocolo para la asignación, comunicación  y protección de contraseñas o claves de autenticación de manera que únicamente sea conocida por el propio usuario o grupo (en caso de contraseñas compartidas)</t>
  </si>
  <si>
    <t>Suplantación de identidad que facilite el acceso o manipulación de la información por parte de personal no autorizado</t>
  </si>
  <si>
    <t>Acceso, publicación o manipulación no autorizada a la información.
Destruccion o modificación intencionada  de la información.</t>
  </si>
  <si>
    <t>A.9.2.4
A.9.3.1</t>
  </si>
  <si>
    <t>5.17</t>
  </si>
  <si>
    <t>ORG.2
OP.ACC.5
OP.ACC.6</t>
  </si>
  <si>
    <t>R36</t>
  </si>
  <si>
    <t>No existe un procedimiento para revisar los derechos de acceso de usuario a intervalos regulares y tras cualquier cambio en la asignación de puestos de trabajo para garantizar que los derechos de acceso se siguen correspondiendo  con la política de acceso.</t>
  </si>
  <si>
    <t>Acceso o manipulación de la información por parte de personal no autorizado</t>
  </si>
  <si>
    <t>A.9.2.5
A.9.1.2</t>
  </si>
  <si>
    <t>5.18</t>
  </si>
  <si>
    <t>R37</t>
  </si>
  <si>
    <t>No existe un procedimiento que cuando hay una baja o cambio de puesto de trabajo de un usuario se le retiren los derechos y credenciales de acceso a la información</t>
  </si>
  <si>
    <t>A.9.2.1
A.9.2.2
A.9.2.6</t>
  </si>
  <si>
    <t>OP.ACC.4</t>
  </si>
  <si>
    <t>R38</t>
  </si>
  <si>
    <t>No existe una política documentada con la normativa para la custodia de las claves de autenticación</t>
  </si>
  <si>
    <t>Suplantación de identidad que facilite el acceso, publicación o manipulación no autorizada a la información, o la destruccion o modificación intencionada  de la información.</t>
  </si>
  <si>
    <t>A.9.3.1</t>
  </si>
  <si>
    <t>OP.ACC.5</t>
  </si>
  <si>
    <t>R39</t>
  </si>
  <si>
    <t>No se han implantado las medidas técnicas necesarias para que el acceso a la información y a las funciones de las aplicaciones esté restringido de acuerdo con la política de control de acceso</t>
  </si>
  <si>
    <t>A.9.4.1
A.9.4.2</t>
  </si>
  <si>
    <t>8.3</t>
  </si>
  <si>
    <t>OP.ACC.2</t>
  </si>
  <si>
    <t>R40</t>
  </si>
  <si>
    <t>Los sistemas no disponen de mecanismos que protejan los sistemas contra intentos de fuerza bruta de inicio de sesion,  garantizando la identidad (autenticidad) de los usuarios que acceden a los sistemas</t>
  </si>
  <si>
    <t>A.9.4.2</t>
  </si>
  <si>
    <t>8.3
8.5</t>
  </si>
  <si>
    <t>OP.ACC.5
OP.ACC.6</t>
  </si>
  <si>
    <t>R41</t>
  </si>
  <si>
    <t>Los sistemas no disponen de mecanismos de bloqueo o terminación de sesiones tras un periodo de inactividad</t>
  </si>
  <si>
    <t>A.11.2.8</t>
  </si>
  <si>
    <t>MP.EQ.2</t>
  </si>
  <si>
    <t>R42</t>
  </si>
  <si>
    <t>No existe una política de seguridad de contraseñas que determine los parámetros de robustez que deben cubrir (longitud, complejidad, repeticiones, ..)</t>
  </si>
  <si>
    <t>A.9.4.3</t>
  </si>
  <si>
    <t>R43</t>
  </si>
  <si>
    <t>No existe un mecanismo que fuerce la renovación periódica de las contraseñas de acuerdo con los riesgos inherentes a su custodia</t>
  </si>
  <si>
    <t>R44</t>
  </si>
  <si>
    <t>No se han definido políticas para la autorización,  control de acceso, uso y monitorización de utilidades que puedan invalidar los controles de los sistemas o aplicaciones</t>
  </si>
  <si>
    <t>A.9.4.4</t>
  </si>
  <si>
    <t>8.18</t>
  </si>
  <si>
    <t>R45</t>
  </si>
  <si>
    <t>Resp. Desarrollo</t>
  </si>
  <si>
    <t>El código fuente no está protegido con un control de acceso o mecanismos de auditoria y control de cambios</t>
  </si>
  <si>
    <t>Acceso o manipulación del código fuente por parte de personal no autorizado o no capacitado</t>
  </si>
  <si>
    <t>Robo de propiedad intelectual.
Manipulación o destrucción intencionada del código fuente.
Introducción de código malicioso</t>
  </si>
  <si>
    <t>SP-2 Desarrollo de soluciones IA
D-Código fuente de las soluciones
SS-GitHub</t>
  </si>
  <si>
    <t>A.9.4.5
A.14.2.1
A.14.2.2
A.14.2.6</t>
  </si>
  <si>
    <t>8.4
8.25
8.27
8.32</t>
  </si>
  <si>
    <t>OP.ACC.2
OP.ACC.4
MP.SW.1</t>
  </si>
  <si>
    <t>A.10 Criptrografia</t>
  </si>
  <si>
    <t>R46</t>
  </si>
  <si>
    <t>No existe una política de uso de controles criptográficos que determine en que casos y con que requisitos se deben utilizar controles criptográficos para proteger la confidencialidad, integridad, autenticidad de la información, no repudio de las acciones o autenticación de los usuarios.</t>
  </si>
  <si>
    <t>Falta de uso o uso incorrecto de las claves critográficas.
Repudio
Suplantación de identidad</t>
  </si>
  <si>
    <t>Acceso no autorizado o controlado a la información en documentos o comunicaciones.
Suplantación de identidad que facilite el acceso, publicación o manipulación no autorizada a la información, o la destruccion o modificación intencionada  de la información.
Manipulación intencionada o accidental de documentos.
imposibilidad de disponer de evidencias válidas de eventos o acciones</t>
  </si>
  <si>
    <t>SP-Servicios Propios
K-Claves criptográficas
SW-Soluciones propias 
COM-VPN
IS-Plataforma Tecnológica</t>
  </si>
  <si>
    <t>A.10.1.1
A.13.1.2
A.13.2.1
A.13.2.3
A.14.1.2
A.18.1.3
A.18.1.4
A.18.1.5</t>
  </si>
  <si>
    <t>5.14
5.31
5.33
5.34
8.21
8.24
8.26</t>
  </si>
  <si>
    <r>
      <t xml:space="preserve">ORG.4
OP.EXP.10
MP.COM.2
MP.COM.3
</t>
    </r>
    <r>
      <rPr>
        <sz val="11"/>
        <color theme="0" tint="-0.249977111117893"/>
        <rFont val="Calibri"/>
        <family val="2"/>
        <scheme val="minor"/>
      </rPr>
      <t>MP.SI.2
MP.SI.4
MP.INFO,3
MP.INFO.4</t>
    </r>
  </si>
  <si>
    <t>R47</t>
  </si>
  <si>
    <t>No existe un protocolo para la preservación y custodia de las claves critográficas.</t>
  </si>
  <si>
    <t>Pérdida o corrupción de las claves criptográficas.
Repudio
Suplantación de identidad</t>
  </si>
  <si>
    <t>Imposiblidad de recuperar información protegida por claves criptográficas.
Imposibilida de acceder a algunos sistemas.
Imposibilidad de validar la autenticidad de documentos.</t>
  </si>
  <si>
    <t>SP-Servicios Propios
K-Claves criptográficas
IS-Plataforma Tecnológica</t>
  </si>
  <si>
    <t>A.10.1.2</t>
  </si>
  <si>
    <t>8.24</t>
  </si>
  <si>
    <t>OP.EXP.10</t>
  </si>
  <si>
    <t>R48</t>
  </si>
  <si>
    <t>Resp. Seg. Inf.
CTO</t>
  </si>
  <si>
    <t>No existe un procedimiento para la generación, asignación, distribución, revocación, retirada y destrucción  de las claves critográficas.</t>
  </si>
  <si>
    <t>Uso de claves criptográficas por personal no autorizado</t>
  </si>
  <si>
    <t>A.11Seguridad Física y Entorno</t>
  </si>
  <si>
    <t>R50</t>
  </si>
  <si>
    <t>Resp. Informática</t>
  </si>
  <si>
    <t>Los recintos donde se trata información no estan sificientemente protegidos para evitar la entrada de intrusos (puertas seguras, aberturas bloqueadas, controles de accesos, alarmas, …)</t>
  </si>
  <si>
    <t>Entrada de intrusos y personas no autorizadas</t>
  </si>
  <si>
    <t>Robo, destrucción o manipulación de la información por parte de personas no autorizadas y/o violación de la propiedad intelectual. Robo de equipos y activos necesarios para el tratamiento de la información</t>
  </si>
  <si>
    <t>D-Datos Consultoria
D-Gestión interna
LOC-Localizaciones</t>
  </si>
  <si>
    <t>A.11.1.1
A.11.1.2</t>
  </si>
  <si>
    <t>7.1
7.2</t>
  </si>
  <si>
    <t>MP.IF.1
MP.IF.2</t>
  </si>
  <si>
    <t>R52</t>
  </si>
  <si>
    <t>No existe un control de acceso para registrar entradas y salidas e identificar visitantes, o impedir que visitantes no acompañados accedan a áreas donde se trata información.</t>
  </si>
  <si>
    <t>Robo, destrucción o manipulación de la información y/o violación de la propiedad intelectual. Robo de equipos y activos necesarios para el tratamiento de la información</t>
  </si>
  <si>
    <t>A.11.1.2</t>
  </si>
  <si>
    <t>7.2</t>
  </si>
  <si>
    <t>R54</t>
  </si>
  <si>
    <t xml:space="preserve">No existe separación clara entre las áreas publicas o con acceso libre por parte de terceros, de las áreas donde se trata o és accesible la información.
</t>
  </si>
  <si>
    <t>A.11.1.3
A.11.1.6</t>
  </si>
  <si>
    <t>7.2
7.3</t>
  </si>
  <si>
    <t>R57</t>
  </si>
  <si>
    <t>Los proveedores de servicios IaaS no aportan garantias con respecto a las medidas implantadas para proteger el acceso a sus áreas seguras</t>
  </si>
  <si>
    <t>Acceso a los equipos propios por parte de personal no autorizado</t>
  </si>
  <si>
    <t>Acceso, publicación o manipulación no autorizada a la información.
Destruccion o modificación intencionada  o accidental de la información.</t>
  </si>
  <si>
    <t>SP3-Explotación de plataformas tecnológicas de soluciones IA
D-Datos propios de clientes
D-Gestión IT
IS-IaaS</t>
  </si>
  <si>
    <t>A.11.1.1
A.11.1.2
A.11.1.5
A.15.1.1</t>
  </si>
  <si>
    <t>5.19
5.23
7.1
7.2
7.6
7.8</t>
  </si>
  <si>
    <t>OP.NUB.1
MP.IF.1
MP.IF.2</t>
  </si>
  <si>
    <t>R58</t>
  </si>
  <si>
    <t>Las oficinas o despachos donde se trata o archiva información no disponen de cerraduras o controles para evitar la entrada de personal no autorizado.</t>
  </si>
  <si>
    <t>Entrada de personas no autorizadas</t>
  </si>
  <si>
    <t>A.11.1.3</t>
  </si>
  <si>
    <t>7.3</t>
  </si>
  <si>
    <t>MP.IF.1</t>
  </si>
  <si>
    <t>R59</t>
  </si>
  <si>
    <t>Las espacios donde se trata o almacena información no disponen de medidas contra incendios</t>
  </si>
  <si>
    <t>Incendios</t>
  </si>
  <si>
    <t>Destrucción de la información y averias en los equipos de tratamiento y almacenamiento.</t>
  </si>
  <si>
    <t>A.11.1.4</t>
  </si>
  <si>
    <t>7.5</t>
  </si>
  <si>
    <t>MP.IF.5</t>
  </si>
  <si>
    <t>R61</t>
  </si>
  <si>
    <t>Los proveedores de servicios IaaS no aportan garantias con respecto a las medidas implantadas contra incendios</t>
  </si>
  <si>
    <t>OP.NUB.1
MP.IF.5</t>
  </si>
  <si>
    <t>R63</t>
  </si>
  <si>
    <t>Los proveedores de servicios IaaS  no aportan garantias con respecto a las medidas implantadas para la protección de los espacios donde se ubican los equipos de tratamiento frente a inundaciones, ya sea por causas naturales o accidentaless</t>
  </si>
  <si>
    <t>Inundacion por causas naturales o accidentales (rotura de tuberias, fugas de agua en plantas superiores, …)</t>
  </si>
  <si>
    <t>A.11.1.4
A.15.1.1</t>
  </si>
  <si>
    <t>5.19
5.23
7.5</t>
  </si>
  <si>
    <t>OP.NUB.1
MP.IF.3
MP.IF.6</t>
  </si>
  <si>
    <t>R64</t>
  </si>
  <si>
    <t>Las espacios espacios donde se ubican los equipos de tratamiento o sistemas de archivo no estan protegidos frente a inundaciones, ya sea por causas naturales o accidentales</t>
  </si>
  <si>
    <t>MP.IF.3
MP.IF.6</t>
  </si>
  <si>
    <t>R66</t>
  </si>
  <si>
    <t>Los proveedores de servicios IaaS  no aportan garantias con respecto a las medidas implantadas para evitar daños por sobrecargas, ya sea por causa natural o accidental</t>
  </si>
  <si>
    <t>Rayos, sobrecargas en el suministro eléctrico</t>
  </si>
  <si>
    <t>R67</t>
  </si>
  <si>
    <t>La instalación eléctrica de los espacios de oficinas no dispone de medidas preventivas para evitar daños por sobrecargas, ya sea por causa natural o accidental</t>
  </si>
  <si>
    <t>A.11.1.4
A.11.2.2</t>
  </si>
  <si>
    <t>7.5
7.11</t>
  </si>
  <si>
    <t>MP.IF.4</t>
  </si>
  <si>
    <t>R69</t>
  </si>
  <si>
    <t>Los  proveedores de servicios IaaS no aportan garantias con respecto a las medidas implantadas para proteger sus áreas seguras con respecto a amenazas externas o ambientales.</t>
  </si>
  <si>
    <t>A.11.1.4
A.11.2.2
A.15.1.1</t>
  </si>
  <si>
    <t>5.19
5.23
7.5
7.11</t>
  </si>
  <si>
    <t>OP.NUB.1
MP.IF.4
MP.IF.5
MP.IF.6</t>
  </si>
  <si>
    <t>R71</t>
  </si>
  <si>
    <t>Los proveedores de servicios IaaS  no aportan garantias con respecto a las medidas implantadas con respecto a los procedimentos que regulen el trabajo en áreas seguras (CPD) especificando quien puede acceder a ellas, mecanismos de autorización, controles de acceso establecidos, monitorizaciòn de trabajos de terceros, etc.</t>
  </si>
  <si>
    <t>Entrada de personas no autorizadas o trabajos de terceros sin supervisión.</t>
  </si>
  <si>
    <t>A.11.1.5
A.15.1.1</t>
  </si>
  <si>
    <t>5.19
5.23
7.6</t>
  </si>
  <si>
    <t>R73</t>
  </si>
  <si>
    <t>Los proveedores de servicios IaaS  no aportan garantias con respecto a las medidas implantadas con respecto a la separación entre las zonas de carga y descarga y las áreas internas donde se trata la información</t>
  </si>
  <si>
    <t>Entrada de personas no autorizadas
Robo de equipos o información</t>
  </si>
  <si>
    <t>A.11.1.6</t>
  </si>
  <si>
    <t>5.19
5.23
7.2</t>
  </si>
  <si>
    <t>OP.NUB.1
MP.IF.1</t>
  </si>
  <si>
    <t>R74</t>
  </si>
  <si>
    <t>No existe una separación entre las zonas de carga y descarga y las áreas internas donde se trata la información</t>
  </si>
  <si>
    <t>R76</t>
  </si>
  <si>
    <t xml:space="preserve">En las zonas de carga y descarga existen equipos que permiten el acceso a la información sin estar adecuadamente protegidos </t>
  </si>
  <si>
    <t>Acceso a la información por parte de personas no autorizadas.
Robo de equipos o informanción</t>
  </si>
  <si>
    <t>R78</t>
  </si>
  <si>
    <t>Los proveedores de servicios IaaS  no aportan garantias con respecto a que los equipos estén situados de forma que se eviten los riesgos ambientales</t>
  </si>
  <si>
    <t>Daños por riesgos ambientales (fuego, agua, …)</t>
  </si>
  <si>
    <t>A.11.2.1
A.15.1.1</t>
  </si>
  <si>
    <t>5.19
5.23
7.8</t>
  </si>
  <si>
    <t>OP.NUB.1
MP.IF.3</t>
  </si>
  <si>
    <t>R79</t>
  </si>
  <si>
    <t>Los equipos en la oficina no estan situados de forma que se eviten los riesgos ambientales</t>
  </si>
  <si>
    <t>A.11.2.1</t>
  </si>
  <si>
    <t>7.8</t>
  </si>
  <si>
    <t>MP.IF.3</t>
  </si>
  <si>
    <t>R81</t>
  </si>
  <si>
    <t>Los proveedores de servicios IaaS  no aportan garantias con respecto a que los equipos estén situados en espacios adecuadamente ventilados y refrigerados</t>
  </si>
  <si>
    <t>Daños en los equipos por exceso de temperatura</t>
  </si>
  <si>
    <t>Averias en los equipos con posible pérdida de información o interrupción en la disponibilidad de los servicios</t>
  </si>
  <si>
    <t>R82</t>
  </si>
  <si>
    <t>Los equipos en las oficinas no estan situados en espacios adecuadamente ventilados y refrigerados</t>
  </si>
  <si>
    <t>R84</t>
  </si>
  <si>
    <t>Los proveedores de servicios IaaS  no aportan garantias con respecto a que los equipos estén situados de forma que se evite la oportunidad de accesos no autorizados</t>
  </si>
  <si>
    <t>Acceso a la información por parte de personas no autorizadas</t>
  </si>
  <si>
    <t>A.11.1.3
A.11.1.5
A.11.2.1
A.15.1.1</t>
  </si>
  <si>
    <t>5.19
5.23
7.3
7.6
7.8</t>
  </si>
  <si>
    <t>R85</t>
  </si>
  <si>
    <t>Los equipos en la oficina no estan situados de forma que se evite la oportunidad de accesos no autorizados</t>
  </si>
  <si>
    <t>A.11.1.3
A.11.1.5
A.11.2.1</t>
  </si>
  <si>
    <t>7.3
7.6
7.8</t>
  </si>
  <si>
    <t>R87</t>
  </si>
  <si>
    <t>Los proveedores de servicios IaaS  no aportan garantias con respecto a la protección frente a fallos en el suministro eléctrico</t>
  </si>
  <si>
    <t>Fallos o cortes en el suministro eléctrico</t>
  </si>
  <si>
    <t>Interrupción de la disponibilidad de los servicios</t>
  </si>
  <si>
    <t>A.11.2.2</t>
  </si>
  <si>
    <t>5.19
5.23
7.11</t>
  </si>
  <si>
    <t>OP.NUB.1
MP.IF.4</t>
  </si>
  <si>
    <t>R88</t>
  </si>
  <si>
    <t>No se dispone de protección frente a fallos en el suministro eléctrico en las oficinas</t>
  </si>
  <si>
    <t>7.11</t>
  </si>
  <si>
    <t>R90</t>
  </si>
  <si>
    <t>Los proveedores de servicios IaaS  no aportan garantias con respecto a las medidas de de protección frente a fallos en los servicos de proveedores de telecomunicacions.</t>
  </si>
  <si>
    <t>Interrupción de los servicios de conexión a Internet</t>
  </si>
  <si>
    <t>R91</t>
  </si>
  <si>
    <r>
      <t>No se dispone de protección frente a fallos en los servicios de proveedores de telecomunicacions de las oficinas</t>
    </r>
    <r>
      <rPr>
        <sz val="11"/>
        <color rgb="FF85200C"/>
        <rFont val="Calibri"/>
        <family val="2"/>
        <scheme val="minor"/>
      </rPr>
      <t>.</t>
    </r>
  </si>
  <si>
    <t>D-Gestión interna
D-Datos Consultoria
LOC-Localizaciones
COM-Comunicaciones oficina</t>
  </si>
  <si>
    <t>R93</t>
  </si>
  <si>
    <t>El cableado de datos no está canalizado y separado del cableado eléctrico</t>
  </si>
  <si>
    <t>Interferencias o degradación de la transmisión de datos y daños en el cableado</t>
  </si>
  <si>
    <t>A.11.2.3</t>
  </si>
  <si>
    <t>7.12</t>
  </si>
  <si>
    <t>R95</t>
  </si>
  <si>
    <t>El cableado de datos no está identificado y etiquetado</t>
  </si>
  <si>
    <t>Errores de conexión
Manipulación errónea del cableado</t>
  </si>
  <si>
    <t>R96</t>
  </si>
  <si>
    <t>Los puertos de datos no utilizados no estan deshabilitados o no existen controles para evitar la conexión de equipos no autorizados</t>
  </si>
  <si>
    <t>Conexión de equipos no autorizados o sin garantias de seguridad</t>
  </si>
  <si>
    <t>SP-Servicios internos
D-Gestión interna
LOC-Localizaciones
COM-Comunicaciones oficina</t>
  </si>
  <si>
    <t>7.12
8.20</t>
  </si>
  <si>
    <t>MP.IF.3
MP.COM.1</t>
  </si>
  <si>
    <t>R97</t>
  </si>
  <si>
    <t>No existe un procedimiento o plan de mantenimiento de los equipos que  que determine la frecuencia de las revisiones, el registro de fallos, los métodos de supervisión, la preservación de la información contenida en ellos y quien está autorizado para su revisión o reparación.</t>
  </si>
  <si>
    <t>Averias en los equipos</t>
  </si>
  <si>
    <t>SP-Servicios internos
D-Gestión interna
HW-Equipos de trabajo</t>
  </si>
  <si>
    <t>A.11.2.4</t>
  </si>
  <si>
    <t>7.13</t>
  </si>
  <si>
    <t>OP.EXP.4</t>
  </si>
  <si>
    <t>R99</t>
  </si>
  <si>
    <t>No se han establecido medidas de seguridad sobre los equipos en reparación y medidas de supervision antes de la reintroducción del equipo tras su reparación, medidas en el caso de re-uso del equipo</t>
  </si>
  <si>
    <t>Averias en los equipos
Acceso a la información por parte de personas no autorizadas</t>
  </si>
  <si>
    <t>Interrupción de la disponibilidad de los servicios.
Destrucción de la información y fallos en los procesos de tratamiento y almacenamiento.
Compromiso en la confidencialidad de la información.</t>
  </si>
  <si>
    <t>A.11.2.4
A.12.6.1</t>
  </si>
  <si>
    <t>7.9
7.13
7.14</t>
  </si>
  <si>
    <t>R100</t>
  </si>
  <si>
    <r>
      <t xml:space="preserve">Falta de control de aplicacion de políticas y configuraciones de seguridad de los ordenadores de trabajo.
</t>
    </r>
    <r>
      <rPr>
        <sz val="11"/>
        <color rgb="FFFF0000"/>
        <rFont val="Calibri"/>
        <family val="2"/>
        <scheme val="minor"/>
      </rPr>
      <t>Específicamente, pueden utilizarse equipos particulares sin las suficientes garantías de seguridad</t>
    </r>
  </si>
  <si>
    <t>Ataques a los sistemas por existencia de vulnerabilidades</t>
  </si>
  <si>
    <t>A.7.1.2
A.6.2.1
A.11.2.4 
A.12.2.1</t>
  </si>
  <si>
    <t>8.8
8.9</t>
  </si>
  <si>
    <t>OP.EXP.2 
OP.EXP.3 
OP.EXP.4
OP.EXP.6
MP-EQ.3
MP-PER-2</t>
  </si>
  <si>
    <t>Implantación de InTune en todos los equipos, sean corporativos o particulares.</t>
  </si>
  <si>
    <t>Marc Muixí</t>
  </si>
  <si>
    <t>Licencia Intune
0,2 FTE</t>
  </si>
  <si>
    <t>Q4-2025</t>
  </si>
  <si>
    <t>R101</t>
  </si>
  <si>
    <t>No existe un procedimiento que regule la salida de equipos y documentación de la empresa incluyendo registro de salidas y retorno, autorizaciones, plazos, ...</t>
  </si>
  <si>
    <t>Pérdida de equipos o información por salida no autorizada o controlada de equipos o documentación.</t>
  </si>
  <si>
    <t>Fuga o publicación no autorizada a la información.
Indisponibilidad del servicio por falta de equipos</t>
  </si>
  <si>
    <t>SP-Servicios internos
D-Gestión interna
HW-Equipos de trabajo
SOP-Soportes</t>
  </si>
  <si>
    <t>A.11.2.5
A.11.2.6</t>
  </si>
  <si>
    <t>7.9
7.10</t>
  </si>
  <si>
    <t>MP.IF.7</t>
  </si>
  <si>
    <t>R103</t>
  </si>
  <si>
    <t>No existe una política que determine las directrices de custodia y vigilancia de los equipos que tratan o almacenan información cuando estan fuera de las instalaciones de la organización.</t>
  </si>
  <si>
    <t>Pérdida o robo de equipos</t>
  </si>
  <si>
    <t>A.11.2.6</t>
  </si>
  <si>
    <t>7.9
8.12</t>
  </si>
  <si>
    <t>MP.IF.7
MP.EQ.3</t>
  </si>
  <si>
    <t>R104</t>
  </si>
  <si>
    <t>No se han implementado medidas técnicas para proteger la información en los equipos fuera de la organización, tal como por ejemplo, utilizando técnicas de cifrado.</t>
  </si>
  <si>
    <t>Fuga o publicación no autorizada a la información.</t>
  </si>
  <si>
    <t>MP.EQ.3
MP.SI.2</t>
  </si>
  <si>
    <t>MITIGAR</t>
  </si>
  <si>
    <t>Asegurar la activación de InTune en todos los equipos para forçar las políticas de cifrado de disco.</t>
  </si>
  <si>
    <t>R105</t>
  </si>
  <si>
    <t xml:space="preserve">No se elimina la información o software licenciado de los equipos que se van a desechar, no se destruyen físicamente o se ceden a los empleados para su uso particular.
</t>
  </si>
  <si>
    <t>SW-Sistemas Oficina
HW-Equipos de trabajo</t>
  </si>
  <si>
    <t>7.14
8.10</t>
  </si>
  <si>
    <t>R106</t>
  </si>
  <si>
    <t>No existe una política y medios para destruir la documentacion en papel que tenga información clasificada</t>
  </si>
  <si>
    <t>D-Gestión interna</t>
  </si>
  <si>
    <t>A.11.2.7</t>
  </si>
  <si>
    <t>8.10
8.12</t>
  </si>
  <si>
    <t>R107</t>
  </si>
  <si>
    <t>No se dispone de procesos para la limpieza de documentos y eliminación de metadatos, campos ocultos y otra información no pertinente.</t>
  </si>
  <si>
    <t>8.12</t>
  </si>
  <si>
    <t>MP.INFO.</t>
  </si>
  <si>
    <t>R108</t>
  </si>
  <si>
    <t>No existe una normativa relativa a las precauciones para evitar el acceso a la información de equipos desatendidos</t>
  </si>
  <si>
    <t>A.7.1.2
A.8.1.3
A.11.2.8</t>
  </si>
  <si>
    <t>5.10
6.2
8.1</t>
  </si>
  <si>
    <t>ORG.2
MP.EQ.2</t>
  </si>
  <si>
    <t>R109</t>
  </si>
  <si>
    <r>
      <t xml:space="preserve">No se han implementado medidas técnicas para bloquear o cerrar la sesión automáticamente en equipos desatendidos o tras periodos de inactividad.
</t>
    </r>
    <r>
      <rPr>
        <sz val="11"/>
        <color rgb="FFFF0000"/>
        <rFont val="Calibri"/>
        <family val="2"/>
        <scheme val="minor"/>
      </rPr>
      <t>No se han establecido las medidas de seguridad específica que deben cumplir los portátiles.</t>
    </r>
  </si>
  <si>
    <t>Asegurar la activación de InTune en todos los equipos para forçar las políticas de bloqueo automático por inactividad</t>
  </si>
  <si>
    <t>R110</t>
  </si>
  <si>
    <t>No existe una política de puesto de trabajo despejado que obligue a los empleados a no dejar papeles o documentos con información confidencial sin estar debidamente custodiados o archivados, no tenerlos a la vista dirante las visitas o recoger todos los documentos al finalizar la jornada.</t>
  </si>
  <si>
    <t>Robo o acceso a la información por parte de personas no autorizadas.
Destrucción o pérdida de información relevante.</t>
  </si>
  <si>
    <t>Acceso, fuga o publicación no autorizada a la información.</t>
  </si>
  <si>
    <t>D-Gestión interna
P-Personal</t>
  </si>
  <si>
    <t>A.11.2.9
A.7.1.2
A.7.2.2
A.8.1.3
A.8.2.3</t>
  </si>
  <si>
    <t>7.7
6.2
6.3
5.10
8.12</t>
  </si>
  <si>
    <t>MP.EQ.1
ORG.2
MP.PER.2
MP.PER.3
MP.SI.3</t>
  </si>
  <si>
    <t>R111</t>
  </si>
  <si>
    <t>No existe una normativa o medidas técnicas que eviten que la documentación impresa quede en las bandejas de las impresoras sin ser recogida</t>
  </si>
  <si>
    <t>Robo o acceso a la información por parte de personas no autorizadas</t>
  </si>
  <si>
    <t>MP.PER.2
MP.PER.3
MP.SI.3</t>
  </si>
  <si>
    <t>R112</t>
  </si>
  <si>
    <t>No existe una normativa o medidas técnicas que eviten que las copias digitalizadas generadas con escanners queden en carpetas temporales con acceso desprotegido.</t>
  </si>
  <si>
    <t>A12. Seguridad en las operaciones</t>
  </si>
  <si>
    <t>R113</t>
  </si>
  <si>
    <t>No existen manuales, instrucciones de operación, revisión de resultados, monitorización, instalación y configuración de los sistemas de información</t>
  </si>
  <si>
    <t>Imposibilidad de realizar las operaciones de operación, mantenimiento y monitorización de forma regulada i sistematizada</t>
  </si>
  <si>
    <t>Interrupción de la disponibilidad de los servicios.
Destrucción de la información y fallos en los procesos de tratamiento y almacenamiento.</t>
  </si>
  <si>
    <t>OS-IT Services
SGSI documented information
D-Operation documentation and records</t>
  </si>
  <si>
    <t>A.12.1.1
A.12.1.2
A.12.1.3
A.12.3.1
A.12.4.1
A.12.4.2</t>
  </si>
  <si>
    <t>5.37
8.32
8.6
12.3
8.15</t>
  </si>
  <si>
    <t>ORG.3
OP.EXP.*
OP.MON.1
MP.INFO.6</t>
  </si>
  <si>
    <t>R115</t>
  </si>
  <si>
    <t>No está documentada la configuración de los sistemas y sus interfaces.</t>
  </si>
  <si>
    <t>Imposibilidad de realizar las operaciones de  mantenimiento de los sistemas o recuperar la configuración de los sistemas en caso de fallo</t>
  </si>
  <si>
    <t>SP-Servicios IT
SP-Soluciones tecnológicas
IS-Plataforma Tecnológica</t>
  </si>
  <si>
    <t>A.12.1.1
A.13.1.2</t>
  </si>
  <si>
    <t>5.37
8.9
8.12</t>
  </si>
  <si>
    <t>OP.EXP.2
OP.EXP.3
OP.PL.2</t>
  </si>
  <si>
    <t>R116</t>
  </si>
  <si>
    <t>No existen procedimientos ni mecanismos para la monitorización permanente de los sistemas de acuerdo con su criticidad que permita generar alertas y anticipar la respuesta a los fallos.</t>
  </si>
  <si>
    <t>Retraso en la detección de fallos y caidas de los sistemas de información</t>
  </si>
  <si>
    <t xml:space="preserve">A.12.1.1
</t>
  </si>
  <si>
    <t>5.37
8.6
8.15
8.16</t>
  </si>
  <si>
    <t>OP.MON.1
OP.MON.2
OP.MON.3</t>
  </si>
  <si>
    <t>R117</t>
  </si>
  <si>
    <t>No existen procedimientos para el tratamiento manual de la información</t>
  </si>
  <si>
    <t>Tratamiento inadecuado o por personal no suficientemente capacitado</t>
  </si>
  <si>
    <t>Pérdida, manipulación incorrecta de la información o compromiso en la confidencialidad de la información.</t>
  </si>
  <si>
    <t>OS-Internal company services
D-Gestión interna</t>
  </si>
  <si>
    <t>A.12.1.1
A.8.2.3</t>
  </si>
  <si>
    <t>5.10
5.30
5.37</t>
  </si>
  <si>
    <t>ORG.3</t>
  </si>
  <si>
    <t>R118</t>
  </si>
  <si>
    <t>No existe un procedimiento de gestión de los cambios en los sistemas y procesos que permita registrar y  trazar las peticiones de cambio, su aprobación, planificación, verificación del cumplimiento de los requisitos de seguridad de la información, pruebas, procedimiento de marcha atrás, documentación de cambios en la configuración, ...</t>
  </si>
  <si>
    <t>Implantacíon de cambios en los sistemas y procesos sin que estén adecuadamente analizados, probados y aprobados.</t>
  </si>
  <si>
    <t>A.12.1.2</t>
  </si>
  <si>
    <t>8.32
8.9</t>
  </si>
  <si>
    <t>OP.EXP.5
OP.EXP.3</t>
  </si>
  <si>
    <t>R119</t>
  </si>
  <si>
    <t>En el procedimiento de gestión del cambio no existe  una disposición de un proceso de cambio de emergencia que habilite la implementación rápida y contralada de los cambios necesarios para resolver un incidente</t>
  </si>
  <si>
    <t>Tiempo de respuesta excesivo ante incidentes o implantación de cambios no controlados</t>
  </si>
  <si>
    <t>8.32</t>
  </si>
  <si>
    <t>OP.EXP.5</t>
  </si>
  <si>
    <t>R120</t>
  </si>
  <si>
    <t>No se realiza una monitorización de la capacidad de los recursos de los sistemas ni una proyección de requisitos que permita realizar una planificación de la demanda</t>
  </si>
  <si>
    <t>Interrupción del servicio por falta de recursos en los sistemas</t>
  </si>
  <si>
    <t>Interrupción de la disponibilidad de los servicios.
Caidas de rendimiento de los sistemas</t>
  </si>
  <si>
    <t>A.12.1.3</t>
  </si>
  <si>
    <t>8.6</t>
  </si>
  <si>
    <t>OP.MON.3
OP.PL.4</t>
  </si>
  <si>
    <t>R121</t>
  </si>
  <si>
    <t xml:space="preserve">CEO
</t>
  </si>
  <si>
    <t>No se han determinado las necesidades de capacidad de los recursos humanos para mantener los servicios y sistemas críticos de la organización.</t>
  </si>
  <si>
    <t>Interrupción del servicio por falta de recursos humanos</t>
  </si>
  <si>
    <t>SP-Servicios IT
P-Personal</t>
  </si>
  <si>
    <t>A.12.1.3
A.17.2.1</t>
  </si>
  <si>
    <t>8.6
8.14</t>
  </si>
  <si>
    <t>OP.MON.3
OP.PL.4
OP.CONT.4</t>
  </si>
  <si>
    <t>R123</t>
  </si>
  <si>
    <t>Los recursos de desarrollo, pruebas y operación no están separados, con entornos separados y perfiles de acceso distintos para cada uno de ellos.</t>
  </si>
  <si>
    <t>Los usuarios pueden acceder indistintamente a cualquiera de los entornos, o se realizan pruebas directamente sobre el entorno de operación.</t>
  </si>
  <si>
    <t>Cambios accidentales o intencionados, o accesos no autorizados al software de producción y a los datos de negocio</t>
  </si>
  <si>
    <t>SP-Soluciones tecnológicas
SP-Servicios IT
D-Datos propios de clientes
IS-Plataforma Tecnológica</t>
  </si>
  <si>
    <t>A.12.1.4
A.6.1.2
A.14.2.5
A.14.2.6</t>
  </si>
  <si>
    <t>8.31
5.3</t>
  </si>
  <si>
    <t>MP.SW.1
OP.ACC.3</t>
  </si>
  <si>
    <t>R124</t>
  </si>
  <si>
    <t>No se dispone de un entorno de pruebas para verificar los cambios antes de su puesta en producción.</t>
  </si>
  <si>
    <t>Puesta en producción de cambios no suficientemente probados o realización de pruebas directamente en el entorno de producción</t>
  </si>
  <si>
    <t xml:space="preserve">SP-2 Desarrollo de soluciones IA
SP-Servicios IT
SP-Soluciones tecnológicas
</t>
  </si>
  <si>
    <t>A.12.1.4
A.14.2.5
A.14.2.6</t>
  </si>
  <si>
    <t>8.27
8.29
8.31</t>
  </si>
  <si>
    <t>MP.SW.1</t>
  </si>
  <si>
    <t>R125</t>
  </si>
  <si>
    <t>No se ha implantado controles para la detección, prevención y recuperación frente a ataques de virus y otros malware, incluyendo servicios de red, correo electrónico, acceso a Internet,  servidores.</t>
  </si>
  <si>
    <t>Ataque por virus o malware</t>
  </si>
  <si>
    <t>Interrupción de la disponibilidad de los servicios.
Pérdida o secuestro de información.
Acceso no autorizado a la información</t>
  </si>
  <si>
    <t>SP-Servicios IT
SP-Soluciones tecnológicas
D-Datos propios de clientes
D-Gestión TIC
IS-Plataforma Tecnológica</t>
  </si>
  <si>
    <t xml:space="preserve">A.12.2.1
</t>
  </si>
  <si>
    <t>8.7</t>
  </si>
  <si>
    <t>OP.EXP.6</t>
  </si>
  <si>
    <t>R126</t>
  </si>
  <si>
    <r>
      <t xml:space="preserve">No se ha implantado controles para la detección, prevención y recuperación frete a ataques de virus y otro malware en las estaciones de trabajo.
</t>
    </r>
    <r>
      <rPr>
        <sz val="11"/>
        <color rgb="FFFF0000"/>
        <rFont val="Calibri"/>
        <family val="2"/>
        <scheme val="minor"/>
      </rPr>
      <t>No se han establecido las medidas de seguridad específica que deben cumplir los portátiles.</t>
    </r>
  </si>
  <si>
    <t xml:space="preserve">Interrupción de la disponibilidad de los servicios.
Pérdida o secuestro de información.
Acceso no autorizado a la información.
</t>
  </si>
  <si>
    <t>SP-Servicios de informática interna
SP-Servicios internos
D-Gestión interna
HW-Equipos de trabajo</t>
  </si>
  <si>
    <t>Instalación de Microsoft Defender 365 en todos los equipos</t>
  </si>
  <si>
    <t>Licencia Microsoft Defender 365
0,2 FTE</t>
  </si>
  <si>
    <t>R127</t>
  </si>
  <si>
    <t>No se ha formado al personal con respecto a la prevención de amenazas por código malicioso, pishing, ingeniería social y otros ataques intencionados externos</t>
  </si>
  <si>
    <t>Ataque por virus u otro código malicioso, revelación de claves en páginas falsas, …</t>
  </si>
  <si>
    <t>SP-Servicios Propios
D-Gestión interna
D-Datos propios de clientes
D-Gestión TIC
HW-Equipos de trabajo
P-Personal</t>
  </si>
  <si>
    <t>A.7.2.2
A.12.2.1</t>
  </si>
  <si>
    <t>5.7
6.3
8.7</t>
  </si>
  <si>
    <t>OP.EXP.6
MP.PER.3
MP.PER.4</t>
  </si>
  <si>
    <t>R129</t>
  </si>
  <si>
    <r>
      <t xml:space="preserve">No existen mecanismos para asegurar que los controles para la detección y prevención de ataques de malware estan debidamente actualizados en todos los equipos y sistemas susceptibles de ser atacados, tal como un sistema de gestión centralizado.
</t>
    </r>
    <r>
      <rPr>
        <sz val="11"/>
        <color rgb="FFFF0000"/>
        <rFont val="Calibri"/>
        <family val="2"/>
        <scheme val="minor"/>
      </rPr>
      <t>No se han establecido las medidas de seguridad específica que deben cumplir los portátiles.</t>
    </r>
  </si>
  <si>
    <t>Ataque por virus u otro código malicioso</t>
  </si>
  <si>
    <t>A.12.2.1</t>
  </si>
  <si>
    <t>5.25
8.7
8.15
8.16</t>
  </si>
  <si>
    <t>R130</t>
  </si>
  <si>
    <t>No existen procedimientos de respuesta y recuperación ante infecciones por código malicioso.</t>
  </si>
  <si>
    <t>Tiempo de respuesta excesivo para frenar la divulgación del malware y recuperar los sistemas.</t>
  </si>
  <si>
    <t>8.7
5.26</t>
  </si>
  <si>
    <t>R131</t>
  </si>
  <si>
    <t xml:space="preserve">No se ha definido una política de copias de seguridad para cada uno de los sistemas de acuerdo con los requisitos de negocio, tal como el RTO (Objetivo de Tiempo de Recuperación) y RPO (Objetivo de Punto de Recuperación) </t>
  </si>
  <si>
    <t>Destrucción o modificación no deseada de la información por causa de un incidente intencionado o no intencionado.</t>
  </si>
  <si>
    <t>Imposibilidad de recuperar la información de acuerdo con las necesidades del negocio</t>
  </si>
  <si>
    <t>SP-Servicios IT
SP-Soluciones tecnológicas
D-Datos propios de clientes
D-Gestión TIC</t>
  </si>
  <si>
    <t>A.12.3.1</t>
  </si>
  <si>
    <t>8.13
5.30</t>
  </si>
  <si>
    <t>MP.INFO.6</t>
  </si>
  <si>
    <t>R132</t>
  </si>
  <si>
    <t>No se han implantado los mecanismos de cópia  de seguridad de acuerdo con la política definida.</t>
  </si>
  <si>
    <t>R133</t>
  </si>
  <si>
    <t>No se dispone de una cópia de la información en un emplazamiento protegido diferente del de los sistemas de producción, con los niveles de seguridad física y lógica requeridos en función del tipo de información.</t>
  </si>
  <si>
    <t>Desastre en el emplazamiento principal</t>
  </si>
  <si>
    <t>R134</t>
  </si>
  <si>
    <t>No se realiza una verificación periódica de las copias de seguridad y los mecanismos y procedimientos de recuperación para asegurar su correcto funcionamiento y garantizar los requisitos de RTO y RPO.</t>
  </si>
  <si>
    <t>No se puede recuperar la información cuando es necesario</t>
  </si>
  <si>
    <t>R135</t>
  </si>
  <si>
    <t>No se dispone y revisan los registros de acceso o intentos de acceso o conexión a los sistemas e información más confidencial.</t>
  </si>
  <si>
    <t>Intentos de acceso por parte de personal no autorizado o accesos no justificados a información sensible por parte de personal a priori autorizado.</t>
  </si>
  <si>
    <t>A.12.4.1
A.9.4.2</t>
  </si>
  <si>
    <t>8.15
8.16</t>
  </si>
  <si>
    <t>OP.EXP.8
OP.ACC.5
OP.ACC.6</t>
  </si>
  <si>
    <t>R136</t>
  </si>
  <si>
    <t>No se dispone y se revisan los registros de las actividades de cambio de configuración del sistema, uso de utilidades del sistema o realizadas con credenciales de acceso privilegiado</t>
  </si>
  <si>
    <t>Realización de acciones improcedentes o no autorizadas por parte de usuarios con acceso privilegiado a los sistemas de producción.</t>
  </si>
  <si>
    <t>Acceso, publicación o manipulación no autorizada a la información.
Destruccion o modificación intencionada  o accidental de la información.
Interrupción en la disponibilidad de los servicios</t>
  </si>
  <si>
    <t>A.12.4.1</t>
  </si>
  <si>
    <t>8.15
8.16
8.5</t>
  </si>
  <si>
    <t>OP.EXP.8</t>
  </si>
  <si>
    <t>R137</t>
  </si>
  <si>
    <t>No se dispone y revisan los registros de eventos relacionados con ataques externos, tales como intentos de instrusión o ataques de virus</t>
  </si>
  <si>
    <t xml:space="preserve">Existencia de ataques externos no detectados y, por tanto, sin la posibilidad de detectar y corregir posibles vulnerabilidades </t>
  </si>
  <si>
    <t>OP.EXP.8
OP.MON.1</t>
  </si>
  <si>
    <t>Coste licencias
1 FTE</t>
  </si>
  <si>
    <t>Q1-2026</t>
  </si>
  <si>
    <t>R138</t>
  </si>
  <si>
    <t>No existen registros o no se revisan las actividades o transacciones realizadas por los usuarios en los sistemas en que sea necesaria su trazabilidad.</t>
  </si>
  <si>
    <t>Imposibilidad de detectar e investigar posibles manipulaciones incorrectas de la información o acciones no procedentes</t>
  </si>
  <si>
    <t>R139</t>
  </si>
  <si>
    <t>Los registros de eventos no están adecuadamente protegidos para evitar su manipulación o destrucción.</t>
  </si>
  <si>
    <t>Destrucción o falsificación de evidencias</t>
  </si>
  <si>
    <t>Imposibilidad de cumplimiento legal, normativo o contractual.
Imposibilidad de depurar responsabilidades.</t>
  </si>
  <si>
    <t>D-System logs</t>
  </si>
  <si>
    <t>A.12.4.2</t>
  </si>
  <si>
    <t>8.15</t>
  </si>
  <si>
    <t>R140</t>
  </si>
  <si>
    <t>No se registran, protegen y revisan regularmentes las actividades de los usuarios con privilegios y funciones de administrador y operador de los sistemas.</t>
  </si>
  <si>
    <t>A.12.4.3</t>
  </si>
  <si>
    <t>R141</t>
  </si>
  <si>
    <t>Los relojes de los diferentes sistemas de tratamiento no estan sincronizados con una fuente precisa y acordada del tiempo</t>
  </si>
  <si>
    <t>Realización de tareas de forma no sincronizada o sin respetar la planificación.
Información de tiempo en los registros de eventos no fiables</t>
  </si>
  <si>
    <t xml:space="preserve">Fallos en la ejecución de los procesos.
Imposibilidad de disponer de evidencias válidas de cumplimiento legal, normativo o contractual.
Imposibilidad de investigar adecuadamente las incidencias i casos legales i disciplinarios. </t>
  </si>
  <si>
    <t>SP-Servicios IT
D-System logs
IS-Plataforma Tecnológica</t>
  </si>
  <si>
    <t>A.12.4.4</t>
  </si>
  <si>
    <t>8.17</t>
  </si>
  <si>
    <t>OP.EXP.8
OP.EXP.2</t>
  </si>
  <si>
    <t>R142</t>
  </si>
  <si>
    <t>Resp. Desarrollo
CTO</t>
  </si>
  <si>
    <t>No existe un procedimiento establecido para controlar la instalación de software en explotación que contemple: pruebas y aprobaciones necesarias, registro de los cambios de configuración, proceso de vuelta atrás, asistencia técnica requerida y  archivo de versiones anteriores.</t>
  </si>
  <si>
    <t>Realización de cambios no controlados, probados o aprobados en los sistemas en explotación o sin disponer de opciones de contingencia.</t>
  </si>
  <si>
    <t>A.12.5.1
A.12.1.2</t>
  </si>
  <si>
    <t>8.19
8.32</t>
  </si>
  <si>
    <t>OP.EXP.3
OP.EXP.5
MP-SW-2</t>
  </si>
  <si>
    <t>R143</t>
  </si>
  <si>
    <t>No se dispone de una información completa de configuración de los activos que incluya información de software instalado, versión, …</t>
  </si>
  <si>
    <t>Desconocimiento de la configuración de los sistemas y, por tanto, de sus vulnerabilidades</t>
  </si>
  <si>
    <t>HW-Equipos de trabajo
SW-Productividad</t>
  </si>
  <si>
    <t>A.12.6.1
A.8.1.1</t>
  </si>
  <si>
    <t>8.9
8.8</t>
  </si>
  <si>
    <t>OP.EXP.2
OP.EXP.3</t>
  </si>
  <si>
    <t>R144</t>
  </si>
  <si>
    <r>
      <t xml:space="preserve">No se tienen identificadas las vulnerabilidades técnicas que afectan a los sistemas de tratamiento de la información, no se valoran y no se adoptan las medidas paliativas adecuadas con la urgencia requerida.
</t>
    </r>
    <r>
      <rPr>
        <sz val="11"/>
        <color rgb="FFFF0000"/>
        <rFont val="Calibri"/>
        <family val="2"/>
        <scheme val="minor"/>
      </rPr>
      <t>No se ha definido una política con los tiempos de resolución. Redactado pendiente de definir las vulnerabilidades.
No se ha ejecutado los análisis de vulnerabilidades y pentest según el Timeline definido</t>
    </r>
  </si>
  <si>
    <t>Fallos o ataques a los sistemas por desconocimiento o falta de prevención ante vulnerabilidades existentes</t>
  </si>
  <si>
    <t>A.12.6.1
A.18.2.3</t>
  </si>
  <si>
    <t>8.8</t>
  </si>
  <si>
    <t>OP.EXP.3
OP.EXP.4
OP.PL.2
OP.MON.2
MP.S.2</t>
  </si>
  <si>
    <t>Planificar y ejecutar análisis de vulnerabilidades sobre la plataforma tecnológica y las soluciones</t>
  </si>
  <si>
    <t>2FTE</t>
  </si>
  <si>
    <t>Q1-2025</t>
  </si>
  <si>
    <t>R145</t>
  </si>
  <si>
    <t>Dir. Tecnología</t>
  </si>
  <si>
    <t xml:space="preserve">No existen restricciones o reglas relativas a la instalación de software por parte de los usuarios.
</t>
  </si>
  <si>
    <t>Instalación de software no autorizado, no probado o homologado, sin respetar los derechos de propiedad intelectural, que contiene malware o tiene vulnerabilidades que terceros pueden aprovechar.</t>
  </si>
  <si>
    <r>
      <rPr>
        <sz val="11"/>
        <rFont val="Calibri"/>
        <family val="2"/>
        <scheme val="minor"/>
      </rPr>
      <t>Falta de control del software instalado y las configuraciones en los ordenadores de trabajo</t>
    </r>
    <r>
      <rPr>
        <sz val="11"/>
        <color theme="1"/>
        <rFont val="Calibri"/>
        <family val="2"/>
        <scheme val="minor"/>
      </rPr>
      <t xml:space="preserve">
Interrupción de la disponibilidad de los servicios.
Destrucción de la información y fallos en los procesos de tratamiento y almacenamiento.
Compromiso en la confidencialidad de la información.ç</t>
    </r>
  </si>
  <si>
    <t>HW-Equipos de trabajo
SW-Productividad
P-Personal</t>
  </si>
  <si>
    <t>A.12.6.2
A.6.1.2
A.7.1.2
A.7.2.2
A.8.1.3
A.9.2.3</t>
  </si>
  <si>
    <t>6.2
6.3
5.3
5.10
8.2
8.19</t>
  </si>
  <si>
    <t>ORG.2
ORG.4
OP.ACC.3
OP.EXP.2
OP.EXP.3
MP.PER.2
MP.PER.3</t>
  </si>
  <si>
    <t>R146</t>
  </si>
  <si>
    <r>
      <t>No se realizan auditorias periódicas o con la suficiente frecuencia para comprobar la</t>
    </r>
    <r>
      <rPr>
        <sz val="11"/>
        <rFont val="Calibri"/>
        <family val="2"/>
        <scheme val="minor"/>
      </rPr>
      <t>s vulnerabilidades de los sistemas en exploración.</t>
    </r>
    <r>
      <rPr>
        <sz val="11"/>
        <color rgb="FFFF0000"/>
        <rFont val="Calibri"/>
        <family val="2"/>
        <scheme val="minor"/>
      </rPr>
      <t xml:space="preserve">
No se ha ejecutado los análisis de vulnerabilidades y pentest según el Timeline definido</t>
    </r>
  </si>
  <si>
    <t>A.12.6.1
A.12.7.1
A.18.2.3</t>
  </si>
  <si>
    <t>8.8
8.34
5.36</t>
  </si>
  <si>
    <t>OP.EXP.3
OP.MON.3
MP.S.2</t>
  </si>
  <si>
    <t>R147</t>
  </si>
  <si>
    <t>Las auditorias no se planifican de modo que se minimice el riesgo de interrupción de los procesos de negocio.</t>
  </si>
  <si>
    <t>Impacto de las acciones  de la auditoria en los procesos en explotación</t>
  </si>
  <si>
    <t xml:space="preserve">Interrupción de la disponibilidad de los servicios.
</t>
  </si>
  <si>
    <t>A.12.7.1</t>
  </si>
  <si>
    <t>8.34</t>
  </si>
  <si>
    <t>OP.MON.3
MP.S.2</t>
  </si>
  <si>
    <t>A13. Seguridad en las comunicaciones</t>
  </si>
  <si>
    <t>R148</t>
  </si>
  <si>
    <t>No existe un procedimiento de gestión de la red que determine las responsabilidades, como se documenta, los requisitos de confidencialidad e integridad de los datos, y de disponibilidad de los servicios,  los requisitos de monitorización, los controles de acceso y los registros de actividad.</t>
  </si>
  <si>
    <t>La red no cumple con los requisitos de seguridad requeridos por la organización ya que no se han adoptado los controles necesarios.
Favorece la posibilidad de ataques o incidentes que afecten a la confidencialidad, integridad y disponibilidad de los datos y servicios de la organización.</t>
  </si>
  <si>
    <t>Interrupción de la disponibilidad de los servicios.
Compromiso en la confidencialidad e integridad de los datos de la organización.</t>
  </si>
  <si>
    <t>A.13.1.1
A.13.1.2
A.12.4.1</t>
  </si>
  <si>
    <t>8.20
8.21
8.15</t>
  </si>
  <si>
    <t xml:space="preserve">MP.COM.1
MP.COM.2
MP.COM.3
MP.COM.4
</t>
  </si>
  <si>
    <t>R149</t>
  </si>
  <si>
    <t>No existe una documentación de la red que incluya los mecanismos de seguridad, los niveles de servicio y los requisitos de gestión de todos los servicios de red, tanto internos como contratados.</t>
  </si>
  <si>
    <t>R150</t>
  </si>
  <si>
    <t>No se ha hecho una valoración de los riesgos de posibles ataques o vulnerabilidades que puede tener la red tal como ataques DoS o DDoS, Sniffers,  Suplantación de identidad (spoofing), Man in the Middle, …</t>
  </si>
  <si>
    <t>La red no cumple con los requisitos de seguridad requeridos por la organización ya quese desconocen las vulnerabilidades y, por tanto, no se han adoptado los controles necesarios.</t>
  </si>
  <si>
    <t xml:space="preserve">A.13.1.2
A.16.1.3
</t>
  </si>
  <si>
    <t>8.21
8.8
5.7</t>
  </si>
  <si>
    <t>MP.COM.1
MP.S.2
MP.S.3
MP.S.4
OP.MON.1
OP.MON.3</t>
  </si>
  <si>
    <t>R151</t>
  </si>
  <si>
    <r>
      <t xml:space="preserve">No existen redundancias suficientes que eviten caidas de los servicios de comunicaciones debidas a fallos en los servicios de los proveedores.
</t>
    </r>
    <r>
      <rPr>
        <sz val="11"/>
        <color rgb="FF85200C"/>
        <rFont val="Calibri"/>
        <family val="2"/>
        <scheme val="minor"/>
      </rPr>
      <t>.</t>
    </r>
  </si>
  <si>
    <t>A.13.1.2</t>
  </si>
  <si>
    <t>8.21</t>
  </si>
  <si>
    <t>OP.CONT.4</t>
  </si>
  <si>
    <t>R152</t>
  </si>
  <si>
    <t>No se han implementado las medidas de seguridad adecuadas a los riesgos identificados para detectar y prevenir posibles ataques o vulnerabilidades que puede tener la red tal como ataques DoS o DDoS, Sniffers,  Suplantación de identidad (spoofing), Man in the Middle, …</t>
  </si>
  <si>
    <t xml:space="preserve">A.13.1.2
A.12.4.1
</t>
  </si>
  <si>
    <t>6.8
8.21</t>
  </si>
  <si>
    <t>MP.COM.1
MP.S.2
MP.S.8
OP.MON.1</t>
  </si>
  <si>
    <t>R153</t>
  </si>
  <si>
    <t>Uso de protocolos no seguros para el envio de información a través de las redes.</t>
  </si>
  <si>
    <t>Compromiso en la confidencialidad e integridad de los datos de la organización.</t>
  </si>
  <si>
    <t>SP-Servicios IT
IS-Plataforma Tecnológica
COM-Comunicaciones</t>
  </si>
  <si>
    <t>A.13.1.2
A.13.2.1
A.13.2.3
A.14.1.2</t>
  </si>
  <si>
    <t>5.14
8.21
8.26</t>
  </si>
  <si>
    <t>MP.COM.2
MP.COM.3
OP.EXT.4</t>
  </si>
  <si>
    <t>R154</t>
  </si>
  <si>
    <t>La red no está segregada en diferentes dominios (p.ej VLANs) que minimice los intercambios y la posibilidad de aceso entre los diferentes dominios de red, por ejemplo, entre las redes de equipos de usuario y las redes de servicios internos de comunicación entre servidores.</t>
  </si>
  <si>
    <t>Acceso a servicios en equipos de acceso restringido a través de redes con requisitos de acceso menos restrictivo.</t>
  </si>
  <si>
    <t>A.13.1.3
A.13.1.2</t>
  </si>
  <si>
    <t>8.21
8.22</t>
  </si>
  <si>
    <t>MP.COM.1
MP.COM.4</t>
  </si>
  <si>
    <t>R155</t>
  </si>
  <si>
    <t>No existe una segregación entre las redes WIFI para uso interno y para uso público o invitados</t>
  </si>
  <si>
    <t>Acceso por parte de usuarios no autorizados a los equipos y sistemas internos de la compañía</t>
  </si>
  <si>
    <t>SP-Servicios de informática interna
SP-Servicios internos
COM-LAN Corporativa
HW-Equipos de trabajo</t>
  </si>
  <si>
    <t>R156</t>
  </si>
  <si>
    <t>No se disponde de políticas que incluyan las directrices para proteger la transferencia de informació a través de diferentes recursos de información, uso aceptable de recursos de comunicación, contenidos apropiados, etc.</t>
  </si>
  <si>
    <t>Negligencia o malas prácticas por parte del personal en la uso de los recursos de comunicación y envío de información</t>
  </si>
  <si>
    <t>Compromiso en la confidencialidad de la información</t>
  </si>
  <si>
    <t>SP-Servicios internos
D-Gestión interna
P-Personal</t>
  </si>
  <si>
    <t>A.13.2.1
A.13.2.2
A.7.1.2
A.8.1.3</t>
  </si>
  <si>
    <t>5.14</t>
  </si>
  <si>
    <t>ORG.2
ORG.3
ORG.4
OP.EXT.4
MP.PER.2</t>
  </si>
  <si>
    <t>R157</t>
  </si>
  <si>
    <t>No se han implementado mecanismos que verifican la existencia de malware en los mensajes y contenidos enviados o recibidos</t>
  </si>
  <si>
    <t>Difusión de malware dentro de la organización o a terceros.
Vulnerabilidad a la entrada de malware a través de las comunicaciones electrónicas</t>
  </si>
  <si>
    <t>Interrupción de la disponibilidad de los servicios.
Compromiso en la confidencialidad e integridad de los datos de la organización.
Demandas o reclamaciones por parte de terceros que pueden impactar en los resultados del negocio</t>
  </si>
  <si>
    <t>SP-Servicios de informática interna
D-Email data
D-Gestión interna
SS-Microsoft 365</t>
  </si>
  <si>
    <t>A.13.2.1</t>
  </si>
  <si>
    <t>5.14
8.7</t>
  </si>
  <si>
    <t>MP.S.1
OP.EXP.6</t>
  </si>
  <si>
    <t>R158</t>
  </si>
  <si>
    <t>No existe una política o no se ha formado el personal respecto la protección de la información confidencial cuando se trabaja o se mantienen conversaciones en espacios públicos, o frente a la utilización de redes de comunicación sin las garantias de seguridad suficientes.</t>
  </si>
  <si>
    <t>Divulgación de información confidencial por negligencia del personal</t>
  </si>
  <si>
    <t>A.7.1.2
A.7.2.2
A.8.1.3</t>
  </si>
  <si>
    <t>6.2
6.3
5.10</t>
  </si>
  <si>
    <t>ORG.2
MP.PER.2
MP.PER.3</t>
  </si>
  <si>
    <t>R159</t>
  </si>
  <si>
    <t>Resp. Seg. Inf.
Resp. Informática</t>
  </si>
  <si>
    <t>No se han implementado mecanismos para controlar, ya sea impidiendo o monitorizando la salida de información de la organización, por ejemplo en adjuntos a correos</t>
  </si>
  <si>
    <t>Envio de información confidencial a terceros no autorizada, ya sea de forma accidental o intencionada (robo)</t>
  </si>
  <si>
    <t>Acceso a información confidencial de la empresa por parte de personas no autorizadas.</t>
  </si>
  <si>
    <t>A.13.2.1
A.13.2.4
A.18.1.3</t>
  </si>
  <si>
    <t>5.14
5.33
6.6
8.11
8.12</t>
  </si>
  <si>
    <t>MP.S.1
ORG.2
MP.PER.2
OP.MON.3</t>
  </si>
  <si>
    <t>R160</t>
  </si>
  <si>
    <t>Resp. Seg. Inf.
CFO</t>
  </si>
  <si>
    <t>No se han establecido acuerdos con terceros con los que se intercambia información (de forma genérica o con terceros concretos) que determinen las políticas y mecanismos para asegurar las comunicaciones, tal como responsabilidades, mecanismos de encriptación, firma e identificación segura de destinatarios y remitentes, registro y trazabilidad de las comunicaciones, no repudio, ...</t>
  </si>
  <si>
    <t>Intercambio de información con terceros sin que se hayan adoptado las medidas de seguridd adecuadas a los riesgos existentes.
Disputas con respecto a la recepció o envio de información.
Suplantación de la identidad de remitentes y destinatarios</t>
  </si>
  <si>
    <t xml:space="preserve">Compromiso de la confidencialidad e integridad de la información comiunicada.
Repudio de los mensajes o documentos.
Reclamaciones sobre el envío o recepcion de información.
Dudas sobre la identidad de los remitentes o destinatarios 
</t>
  </si>
  <si>
    <t>SP-Servicios internos
ES-External Services
D-Gestión interna</t>
  </si>
  <si>
    <t>A.13.2.1
A.13.2.2
A.13.2.3
A.15.1.2</t>
  </si>
  <si>
    <t>5.14
5.20</t>
  </si>
  <si>
    <t>OP.EXT.1
OP.EXT.4
OP.PL.2
ORG.4</t>
  </si>
  <si>
    <t>R161</t>
  </si>
  <si>
    <t>No se han implementado medidas técnicas que permitan el intercambio seguro de información con terceros de acuerdo con las políticas establecidas, por ejemplo, cifrado, firma, clasificación, registro, …</t>
  </si>
  <si>
    <t>Intercambio de información con terceros sin que se hayan adoptado las medidas de seguridad adecuadas a los riesgos existentes.
Disputas con respecto a la recepció o envio de información.
Suplantación de la identidad de remitentes y destinatarios</t>
  </si>
  <si>
    <t xml:space="preserve">Compromiso de la confidencialidad e integridad de la información comunicada.
Repudio de los mensajes o documentos.
Reclamaciones sobre el envío o recepcion de información.
Dudas sobre la identidad de los remitentes o destinatarios 
</t>
  </si>
  <si>
    <t>A.13.1.2
A.13.2.3
A.14.1.2
A.14.1.3</t>
  </si>
  <si>
    <t>MP.COM.2
MP.COM.3
MP.COM.4
OP.EXT.4</t>
  </si>
  <si>
    <t>R162</t>
  </si>
  <si>
    <t>No se han definido políticas o normas de usos para la publicación de información en canales públicos o redes sociales o no existen controles para restringir el acceso a la publicación de contenidos.</t>
  </si>
  <si>
    <t>Divulgación de información confidencial por negligencia o falta de capacitación del personal</t>
  </si>
  <si>
    <t>Publicación no autorizada de información.
Impacto en la reputación de la empresa</t>
  </si>
  <si>
    <t>SP-Servicios internos
D-Gestión interna</t>
  </si>
  <si>
    <t>A.13.2.4
A.7.1.2
A.7.2.2</t>
  </si>
  <si>
    <t>5.14
6.3
6.6</t>
  </si>
  <si>
    <t>ORG.2
MP.PER.2
MP.PER.3
MP.S.2</t>
  </si>
  <si>
    <t>R163</t>
  </si>
  <si>
    <t>No se han firmado acuerdos de confidencialidad y no revelación (NDA) con proveedores y terceros con los que se intercambia información, que incluya la caracterización de la información confidencialidad, los usos permitidos, las responsabilidades, el destino de la información una vez finalizada la relación y las consecuencias del incumplimiento</t>
  </si>
  <si>
    <t>Divulgación o uso no permitido de información confidencial por parte de terceros</t>
  </si>
  <si>
    <t>Acceso, divulgación o publicación  no autorizada a la información</t>
  </si>
  <si>
    <t>SP-Servicios internos
D-Gestión interna
ES-External Services</t>
  </si>
  <si>
    <t>A.13.2.4
A.15.1.2</t>
  </si>
  <si>
    <t>6.6
5.20</t>
  </si>
  <si>
    <t>OP.EXT.1
MP.PER.2
ORG.2
ORG.4</t>
  </si>
  <si>
    <t>R164</t>
  </si>
  <si>
    <t>Los colaboradores externos no han firmado acuerdos de confidencialidad y no revelación  que incluya la caracterización de la información confidencialidad, los usos permitidos, las responsabilidades, el destino de la información una vez finalizada la relación y las consecuencias del incumplimiento</t>
  </si>
  <si>
    <t>OP.EXT.1
MP.PER.2
ORG.2</t>
  </si>
  <si>
    <t>A.14. Adquisición, desarrollo y mantenimiento de los sistemas de información</t>
  </si>
  <si>
    <t>R165</t>
  </si>
  <si>
    <t>No existe un procedimiento de gestión de cambios que requiera que determinen y validen los requisitos de seguridad a tener en cuenta de acuerdo con las políticas establecidas y los posibles riesgos para el negocio que se pueden generar.</t>
  </si>
  <si>
    <t>Realización de cambios en los sistemas o procesos o nuevos sistemas sin que se cuumplan los requisitos de seguridad mínimos.
Introducción de nuevos riesgos de seguridad no identificados o valorados</t>
  </si>
  <si>
    <t>SP-Soluciones tecnológicas
SP-Servicios IT
SP-2 Desarrollo de soluciones IA
SW-Soluciones propias</t>
  </si>
  <si>
    <t>5.8
8.32</t>
  </si>
  <si>
    <t>OP.PL.3
OP.EXP.2
OP.EXP.5</t>
  </si>
  <si>
    <t>R166</t>
  </si>
  <si>
    <t>No existe un proceso formal de evaluación de los requisitos de seguridad en la compra de productos ni formalización de los requisitos de seguridad en los contratos de compra.</t>
  </si>
  <si>
    <t>Compra de productos que añaden riesgos no controlados a la seguridad de la organización</t>
  </si>
  <si>
    <t>SP-Soluciones tecnológicas
SP-Servicios IT
SP-2 Desarrollo de soluciones IA
IS-Plataforma Tecnológica</t>
  </si>
  <si>
    <t>A.14.1.1
A.15.1.2
A.15.1.3</t>
  </si>
  <si>
    <t>5.8
5.20
5.21</t>
  </si>
  <si>
    <t>OP.PL.2
OP.PL.3
OP.PL.5
OP.EXT.1</t>
  </si>
  <si>
    <t>R167</t>
  </si>
  <si>
    <t>No se ha documentado la configuración de seguridad de los productos de acuerdo con los requisitos establecidos</t>
  </si>
  <si>
    <t>Fallos en la configuración de los equipos que provoca que se generen vulnerabilidades durante su puesta en marcha y mantenimiento.</t>
  </si>
  <si>
    <t>SP-Soluciones tecnológicas
SP-Servicios IT
IS-Plataforma Tecnológica</t>
  </si>
  <si>
    <t>A.14.1.1
A.14.1.3
A.12.5.1</t>
  </si>
  <si>
    <t>5.8
8.9
8.19
8.26</t>
  </si>
  <si>
    <t>R168</t>
  </si>
  <si>
    <r>
      <t>No existen mecanismos para asegurar la confidencialidad de los datos que se transfieren a través de formularios y servicios web (por ejemplo mediante el</t>
    </r>
    <r>
      <rPr>
        <sz val="11"/>
        <rFont val="Calibri"/>
        <family val="2"/>
        <scheme val="minor"/>
      </rPr>
      <t xml:space="preserve"> uso de protocolo HTTPS)</t>
    </r>
  </si>
  <si>
    <t>SP-Soluciones tecnológicas
SP-Servicios IT
D-Datos propios de clientes</t>
  </si>
  <si>
    <t>A.10.1.1
A.14.1.2
A.14.1.3
A.13.1.1
A.13.2.1</t>
  </si>
  <si>
    <t>8.20
8.24
8.26
5.14</t>
  </si>
  <si>
    <t>MP.S.2
MP.COM.2</t>
  </si>
  <si>
    <t>R169</t>
  </si>
  <si>
    <t>No existen mecanismos que permitan asegurar la identidad de los destinatarios o remitentes de información a través de redes públicas (por ejemplo mediante el uso de certificados digitales)</t>
  </si>
  <si>
    <t>Suplantación de identidad por parte de terceros</t>
  </si>
  <si>
    <t>Acceso o manipulación no autorizada o no detectada de la información.
Repudio y disputa de contratos</t>
  </si>
  <si>
    <t>SP-Soluciones tecnológicas
D-Datos propios de clientes
COM-VPN</t>
  </si>
  <si>
    <t>MP.COM.3
MP.INFO.3</t>
  </si>
  <si>
    <t>R170</t>
  </si>
  <si>
    <t>No existen mecanismos que permitan asegurar la integridad de la información que se transmite a través de las redes públicas</t>
  </si>
  <si>
    <t>Alteración accidental o intencionada de la información transmitida</t>
  </si>
  <si>
    <t>Pérdida de integridad de la información transmitida</t>
  </si>
  <si>
    <t>R171</t>
  </si>
  <si>
    <t>No existen mecanismos para asegurar la complitud, integridad, confidencialidad y no duplicidad y registro de transacciones de servicios de aplicación realizadas a través de redes de comunicaciones</t>
  </si>
  <si>
    <t>Realización de transacciones incompletas, erroneas o duplicadas</t>
  </si>
  <si>
    <t>Reclamaciones por fallo en la prestación de los servicios de negocio.
Pérdidas de ingresos y gastos adicionales</t>
  </si>
  <si>
    <t>A.14.1.3</t>
  </si>
  <si>
    <t>8.26</t>
  </si>
  <si>
    <t>R172</t>
  </si>
  <si>
    <t>No existen procedimientos para establecer la seguridad en la metodología de desarrollo del software que contemple las medidas de seguridad a adoptar en todas las actividades del ciclo de vida del desarrollo</t>
  </si>
  <si>
    <t>Fallos en el desarrollo del software que provoquen funcionamiento incorrecto o vulneerabilidades no detectadas.
Incorporación intencionada de código malicioso dentro de las aplicaciones desarrolladas</t>
  </si>
  <si>
    <t>SP-Soluciones tecnológicas
SP-2 Desarrollo de soluciones IA
D-Código fuente de las soluciones
SW-Soluciones propias</t>
  </si>
  <si>
    <t>A.14.2.1
A.14.2.5</t>
  </si>
  <si>
    <t>8.25
8.27</t>
  </si>
  <si>
    <t>R173</t>
  </si>
  <si>
    <t>No existe un procedimiento de control de cambios en los sistemas que determine el proceso de documentación, aprobación, análisis de impacto, registro, control de versiones, actualización de la información de configuración, adaptación de documentación técnica y de usuario, pruebas previas, aceptación, puesta en marcha, mecanismo de marcha atrás, ....</t>
  </si>
  <si>
    <t>Realización de cambios no suficientemente analizados, no aprobados o con impacto no evaluado.
Fallos en la operación y tareas de los usuarios por falta de actualización de la documentación.</t>
  </si>
  <si>
    <t>A.14.2.2
A.14.2.5
A.12.1.2
A.12.5.1</t>
  </si>
  <si>
    <t>8.25
8.27
8.32
8.19</t>
  </si>
  <si>
    <t>MP.SW.1
MP.SW.2
OP.EXP.5</t>
  </si>
  <si>
    <t>R174</t>
  </si>
  <si>
    <t>No se realizan pruebas de regresión previas antes de realizar cambios en los sistemas operativos o software de base que garantice que se mantiene el correcto funcionamiento de las aplicaciones</t>
  </si>
  <si>
    <t>Fallos en el funcionamiento de las aplicaciones por incompatibilidades o efectos secundarios de los cambios en los sistemas operativos</t>
  </si>
  <si>
    <t>A.14.2.3
A.14.2.8
A.14.2.9</t>
  </si>
  <si>
    <t>8.29
8.32</t>
  </si>
  <si>
    <t>MP.SW.2
OP.EXP.5</t>
  </si>
  <si>
    <t>R175</t>
  </si>
  <si>
    <t>Se realizan cambios en los paquetes de software suministrados por proveedores externos sin consentimiento o soporte por parte de estos.</t>
  </si>
  <si>
    <t>Introducción de fallos no identificados.
Pérdida de garantia y posibilidad de soporte y mantenimiento por parte del proveedor.
Imposibilidad de realizar actualizaciones futuras</t>
  </si>
  <si>
    <t>A.14.2.4</t>
  </si>
  <si>
    <t>MP.SW.1
OP.PL.3</t>
  </si>
  <si>
    <t>R176</t>
  </si>
  <si>
    <t>No existen normativas, guias o herramientas que faciliten el desarrollo de aplicaciones seguras, por ejemplo protegidas frente ataques de inyeccción de código, fallos en la autenticación y autorización de los usuarios, restricciones de acceso a la información de acuerdo a los privilegios, repudio, ...</t>
  </si>
  <si>
    <t>Desarrollo de aplicaciones que incluyen vulnerabilidades que pueden ser aprovechadas por terceros</t>
  </si>
  <si>
    <t>A.14.2.5
A.6.1.5</t>
  </si>
  <si>
    <t>8.27
8.28</t>
  </si>
  <si>
    <t>MP.SW.1
OP.PL.2</t>
  </si>
  <si>
    <t>R177</t>
  </si>
  <si>
    <t>Se utilizan componentes de terceros sin una completa verificación y homologación de seguridad, y sin asegurar la continuidad de su mantenimiento.</t>
  </si>
  <si>
    <t>Desarrollo de aplicaciones que incluyen vulnerabilidades que pueden ser aprovechadas por terceros.
Indisponibilidad del mantenimiento y soporte de los componentes</t>
  </si>
  <si>
    <t>Errores y vulnerabildiades en el software.
Incidentes de cadena de provisión
Interrupción de la disponibilidad de los servicios.
Destrucción de la información y fallos en los procesos de tratamiento y almacenamiento.
Compromiso en la confidencialidad de la información.</t>
  </si>
  <si>
    <t>A.14.2.5
A.12.5.1
A.12.6.2
A.15.1.1
A.6.1.5</t>
  </si>
  <si>
    <t>8.19
8.27
5.19</t>
  </si>
  <si>
    <t>MP.SW.1
OP.PL.2
OP.PL.3
OP.EXT.3
ORG.4</t>
  </si>
  <si>
    <t>R178</t>
  </si>
  <si>
    <t>Los entornos de desarrollo no están protegidos ni segregados para evitar accesos no autorizados o manipulaciones indebidas</t>
  </si>
  <si>
    <t>Destrucción o manipulación malintencionada del código</t>
  </si>
  <si>
    <t>SP-2 Desarrollo de soluciones IA
D-Código fuente de las soluciones
SW-Soluciones propias</t>
  </si>
  <si>
    <t>A.14.2.6
A.12.1.4
A.9.1.2
A.9.2.3
A.9.4.1
A.9.4.5</t>
  </si>
  <si>
    <t>7.5
8.31
5.15
8.3
8.4</t>
  </si>
  <si>
    <t>MP.SW.1
OP.ACC.2
OP.ACC.3</t>
  </si>
  <si>
    <t>R179</t>
  </si>
  <si>
    <t>No se registran los cambios en el código ni se mantiene un historial de versiones</t>
  </si>
  <si>
    <t>Imposibilidad o dificultad para identificar el origen de fallos en las nuevas versiones de software o auditar y validar los cambios realizados</t>
  </si>
  <si>
    <t>A.14.2.3
A.14.2.5
A.9.4.5</t>
  </si>
  <si>
    <t>8.27
8.32
8.4</t>
  </si>
  <si>
    <t>R180</t>
  </si>
  <si>
    <t>No se mantienen copias de seguridad del código fuente fuera de las instalaciones de desarrollo.</t>
  </si>
  <si>
    <t>Imposibilidad de recuperar el código fuente en caso de incidencia sobre los sistemas de desarrollo que implique la pérdida total o parcial de código fuente.</t>
  </si>
  <si>
    <t>Pérdida de propiedad intelectual de la empresa.
Imposibilidad de realizar el mantenimiento de las aplicaciones y desarrollar correciones para dar respuesta a incidencias.</t>
  </si>
  <si>
    <t>A.14.2.6
A.12.3.1</t>
  </si>
  <si>
    <t>8.31
8.13</t>
  </si>
  <si>
    <t>MP.SW.1
MP.INFO.6</t>
  </si>
  <si>
    <t>R181</t>
  </si>
  <si>
    <t>En el  contrato con la empresa de desarrollo del software no se determinan aspectos para garantizar la disponibilidad, acceso y uso del código fuente, tal como el de la propiedad del código, derechos de propiedad intelectual, licencias requeridas, documentación del código desarrollado y librerias utilizadas, configuración del entorno de desarrollo y compilación,  y deposito en garantia.</t>
  </si>
  <si>
    <t>Imposibilidad de acceder o utilizar el código fuente en caso de conflicto con el proveedor</t>
  </si>
  <si>
    <t>N/A</t>
  </si>
  <si>
    <t>A.14.2.7
A.15.1.2
A.18.1.2</t>
  </si>
  <si>
    <t>8.30
5.20
5.32</t>
  </si>
  <si>
    <t>MP.SW.1
OP.EXT.1</t>
  </si>
  <si>
    <t>R182</t>
  </si>
  <si>
    <t>En el contrato con la empresa de desarrollo no se especifican los requisitos para las prácticas de desarrollo seguro, pruebas funcionales, pruebas de cumplimiento de los requisitos de seguridad, pruebas de aceptación, verificaciones contra código malicioso, pruebas contra vulnerabilidades conocidas, …</t>
  </si>
  <si>
    <t>Desarrollo de aplicaciones que incluyen fallos funcionales, inclumplimiento de requisitos y vulnerabilidades que pueden ser aprovechadas por terceros</t>
  </si>
  <si>
    <t>A.14.2.7
A.14.2.1
A.14.2.5
A.15.1.2</t>
  </si>
  <si>
    <t>8.25
8.27
8.30
5.20</t>
  </si>
  <si>
    <t>R183</t>
  </si>
  <si>
    <t>En el caso de desarrollo subcontratado a terceros no se valida que se estén aplicando los principios de desarrollo e ingenieria de desarrollo seguro</t>
  </si>
  <si>
    <t>R184</t>
  </si>
  <si>
    <t>En la metodologia de desarrollo no se contempla que los equipos de desarrollo (internos o externos)  realicen y documenten los resultados de las  pruebas funcionales de seguridad de acuerdo con los requisitos de seguridad establecidos.</t>
  </si>
  <si>
    <t>A.14.2.8</t>
  </si>
  <si>
    <t>8.29</t>
  </si>
  <si>
    <t>MP.SW.2</t>
  </si>
  <si>
    <t>R185</t>
  </si>
  <si>
    <t>No se realizan verificaciones del codigo par asegurar que está libre de vulnerabilidades o el análisis que se realiza es insuficiente.</t>
  </si>
  <si>
    <t>A.14.2.5
A.14.2.9</t>
  </si>
  <si>
    <t>8.28
8.29</t>
  </si>
  <si>
    <t>MP.SW.2
MP.S.2</t>
  </si>
  <si>
    <t>R186</t>
  </si>
  <si>
    <t>No se realizan pruebas realistas de aceptación antes de autorizar la puesta en producción de nuevos sistemas o modificaciones de los existentes para verificar que se cumplen los requisitos de seguridad y se han aplicado las prácticas de desarrollo seguro.</t>
  </si>
  <si>
    <t>A.14.2.9</t>
  </si>
  <si>
    <t>R187</t>
  </si>
  <si>
    <t>Se utilizan copia de datos de producción sin modificar o enmascarar para realizar las pruebas</t>
  </si>
  <si>
    <t xml:space="preserve">Acceso no autorizado por parte del equipo de desarrollo o terceros a información confidencial.
</t>
  </si>
  <si>
    <t>Acceso, publicación o robo de información confidencial</t>
  </si>
  <si>
    <t>D-Datos propios de clientes</t>
  </si>
  <si>
    <t>A.14.3.1
A.18.1.4</t>
  </si>
  <si>
    <t>8.33
5.34
8.11</t>
  </si>
  <si>
    <t>MP.SW.2
MP.INFO.1</t>
  </si>
  <si>
    <t>R188</t>
  </si>
  <si>
    <t>No existen controles para regular el uso de las copias para pruebas, incluyendo la autorización y registro de las copias realizadas y la destrucción de  la información una vez completadas las pruebas</t>
  </si>
  <si>
    <t>Acceso no autorizado por parte del equipo de desarrollo a información confidencial.
Entornos de prueba sin las medidas de seguridad equivalentes a las de los entornos productivos</t>
  </si>
  <si>
    <t>A.14.3.1
A.12.1.4</t>
  </si>
  <si>
    <t xml:space="preserve">
8.32
8.33</t>
  </si>
  <si>
    <t>R189</t>
  </si>
  <si>
    <t>Los entornos de prueba con copia de datos de producción no disponen de controles de acceso equivalentes a los de los entornos productivos</t>
  </si>
  <si>
    <t>D-Datos propios de clientes
IS-Development Environment</t>
  </si>
  <si>
    <t>A.14.3.1
A.12.1.4
A.9.1.2
A.9.2.3
A.9.4.1</t>
  </si>
  <si>
    <t>8.32
8.33
5.15
8.2
8.3</t>
  </si>
  <si>
    <t>OP.ACC.2
OP.ACC.3
MP.SW.1</t>
  </si>
  <si>
    <t>A.15. Relación con proveedores</t>
  </si>
  <si>
    <t>R190</t>
  </si>
  <si>
    <t>No existen políticas que determinen a que  información pueden acceder los diferentes tipos proveedores, en que condiciones, las obligaciones que deben cumplir los proveedores y los mecanismos de supervisión necesarios.</t>
  </si>
  <si>
    <t xml:space="preserve">Acceso o manipulación por parte de los proveedores a información que no les concierne.
Manipulación de la información por parte de los proveedores sin adoptar las medidas de seguridad necesarias.
</t>
  </si>
  <si>
    <t>D-Gestión interna
ES-External Services
SS-SaaS</t>
  </si>
  <si>
    <t>A.15.1.1</t>
  </si>
  <si>
    <t>5.19</t>
  </si>
  <si>
    <t>OP.EXT.1</t>
  </si>
  <si>
    <t>R191</t>
  </si>
  <si>
    <r>
      <t>Los contratos con terceros no estipulan los requisitos y obligaciones que deben respetar en cuanto a seguridad de la información, como por ejemplo, identificación y clasificación de la información tratada, uso aceptab</t>
    </r>
    <r>
      <rPr>
        <sz val="11"/>
        <rFont val="Calibri"/>
        <family val="2"/>
        <scheme val="minor"/>
      </rPr>
      <t>le, controles a implementar, …</t>
    </r>
  </si>
  <si>
    <t>Manipulación de la información por parte de los proveedores sin que haya garantias de que vayan a adoptar las medidas de seguridad necesarias.</t>
  </si>
  <si>
    <t>D-Gestión interna
ES-External Services
SS-SaaS
IS-Iass</t>
  </si>
  <si>
    <t>A.15.1.2</t>
  </si>
  <si>
    <t>5.20</t>
  </si>
  <si>
    <t>R192</t>
  </si>
  <si>
    <t>No se han definido los requisitos de seguridad a aplicar en la contratación de servicios TIC.</t>
  </si>
  <si>
    <t>Compra de productos o servicios que no cumplen las políticas de seguridad de la organización</t>
  </si>
  <si>
    <t>ES-External Services
SS-SaaS
IS-IaaS
SW-Software
HW-Hardware</t>
  </si>
  <si>
    <t>A.15.1.3
A.14.1.1</t>
  </si>
  <si>
    <t>5.8
5.21</t>
  </si>
  <si>
    <t>OP.PL.3
OP.EXT.1</t>
  </si>
  <si>
    <t>R193</t>
  </si>
  <si>
    <t>En los contratos con proveedores no se estipulan las condiciones en cuanto a la seguridad de la información cuando se realiza la subcontratación de parte de los servicios TIC</t>
  </si>
  <si>
    <t>Contratación de servicios a proveedores que no proporcionan las garantias de seguridad necesarias</t>
  </si>
  <si>
    <t>ES-External Services
SS-SaaS
IS-IaaS</t>
  </si>
  <si>
    <t>OP.EXT.1
OP.EXT.3</t>
  </si>
  <si>
    <t>R194</t>
  </si>
  <si>
    <t>En los contratos con proveedores no se estipulan las condiciones en cuanto a la seguridad de la información cuando los productos adquiridos incoporan componentes de otros proveedores</t>
  </si>
  <si>
    <t>OP.EXT.1
OP.EXT.3
OP.PL.3</t>
  </si>
  <si>
    <t>R195</t>
  </si>
  <si>
    <t>CFO</t>
  </si>
  <si>
    <t>No se han evaluado los riesgos relativos a los posibles problemas de provisión y mantenimiento para los productos y componentes obsoletos o fuera su ciclo de vida</t>
  </si>
  <si>
    <t>Imposibilidad de reparar o reemplazar componentes  o equipos dañados</t>
  </si>
  <si>
    <t>Interrupción de la disponibilidad de los servicios.</t>
  </si>
  <si>
    <t>SS-SaaS
IS-IaaS
SW-Software
HW-Hardware</t>
  </si>
  <si>
    <t>A.15.1.3</t>
  </si>
  <si>
    <t>5.21</t>
  </si>
  <si>
    <t>OP.EXT.1
OP.EXT.2
OP.EXT.3</t>
  </si>
  <si>
    <t>R196</t>
  </si>
  <si>
    <t>No se han definido o no se están aplicando protocolos para validar que los servicios TIC entregados cumplen con los requisitos de seguridad establecidos</t>
  </si>
  <si>
    <t>Compra de productos o servicios TIC que no cumplen los requisitos de seguridad establecidos</t>
  </si>
  <si>
    <t>A.15.1.2
A.15.1.3</t>
  </si>
  <si>
    <t>5.20
5.21</t>
  </si>
  <si>
    <t>OP.EXT.2</t>
  </si>
  <si>
    <t>R197</t>
  </si>
  <si>
    <t>No se dispone de garantías de cumplimiento de las medidas de seguridad requeridas por parte de los servicios de terceros.</t>
  </si>
  <si>
    <t>R198</t>
  </si>
  <si>
    <t>No se han establecido procedimientos para controlar, revisar y auditar la provision de servicios de los proveedores</t>
  </si>
  <si>
    <t>Incumplimiento por parte del proveedor de los términos y condiciones de seguridad de la información.
Niveles de servicio proporcionados que no cumplen los acuerdos.
Falta de diligencia en la solución de las incidencias en la provisión de los servicios.</t>
  </si>
  <si>
    <t>A.15.2.1</t>
  </si>
  <si>
    <t>5.22</t>
  </si>
  <si>
    <t>R199</t>
  </si>
  <si>
    <t>En los contratos de provisión de servicios por parte de proveedores no se incluido acuerdos de nivel de servicio y desempeño (SLAs).</t>
  </si>
  <si>
    <t>Rendimiento o niveles de servicio por debajo de las necesidades del negocio</t>
  </si>
  <si>
    <t>Degradación o interrupción en la  disponibilidad de los servicios.
Destrucción de la información y fallos en los procesos de tratamiento y almacenamiento.
Compromiso en la confidencialidad de la información.</t>
  </si>
  <si>
    <t>R200</t>
  </si>
  <si>
    <t>No se realiza un seguimiento ni se revisa periódicamente el cumplimiento de los SLA acordados con los diferentes proveedores</t>
  </si>
  <si>
    <t>Niveles de servicio proporcionados que no cumplen los acuerdos.
Rendimiento o niveles de servicio por debajo de las necesidades del negocio</t>
  </si>
  <si>
    <t>Degradación o interrupción en la  disponibilidad de los servicios.</t>
  </si>
  <si>
    <t>R201</t>
  </si>
  <si>
    <t>No se gestionan y actualizan los acuerdos de provisión de servicio cuando se producen cambios en la organización o el los servicios proporcionados por el proveedor.</t>
  </si>
  <si>
    <t>A.15.2.2</t>
  </si>
  <si>
    <t>OP.EXT.1
OP.EXT.2</t>
  </si>
  <si>
    <t>A.16. Gestión incidentes seguridad de la información</t>
  </si>
  <si>
    <t>R202</t>
  </si>
  <si>
    <t>No se han establecido las responsabilidades y procedimientos para garantizar una respuesta rápida, eficaz y adecuada a los incidentes en seguridad de la información</t>
  </si>
  <si>
    <t>No se puede dar una respuesta adecuada y en un tiempo razonable ante fallos o ataques a los sistemas de información de cualquier naturaleza, intencionados o accidentales</t>
  </si>
  <si>
    <t>Todos los activos</t>
  </si>
  <si>
    <t>A.16.1.1</t>
  </si>
  <si>
    <t>5.24</t>
  </si>
  <si>
    <t>R203</t>
  </si>
  <si>
    <t>No se han establecido los mecanismos y procedimientos para notificar los incidentes de seguridad de la información por el canal más adecuado y en el menor tiempo posible</t>
  </si>
  <si>
    <t>No se puede dat una respuesta adecuada y en un tiempo razonable ante fallos o ataques a los sistemas de información de cualquier naturaleza, intencionados o accidentales</t>
  </si>
  <si>
    <t>A.16.1.2
A.7.2.2</t>
  </si>
  <si>
    <t>5.24
6.8
6.3</t>
  </si>
  <si>
    <t>OP.EXP.7
ORG.2</t>
  </si>
  <si>
    <t>R204</t>
  </si>
  <si>
    <t>Los empleados y contratistas no tienen estipulada la obligación de comunicar de forma preventiva cualquier vulnerabilidad que detecten y pueda llevar a incidentes de seguridad de la información.</t>
  </si>
  <si>
    <t>Existencia de vulnerabilidades que pueden dar pie a fallos o facilitar el éxito de ataques externos</t>
  </si>
  <si>
    <t>A.16.1.3
A.7.1.2
A.7.2.2</t>
  </si>
  <si>
    <t>6.8
6.2
6.3</t>
  </si>
  <si>
    <t>OP.EXP.7
ORG.2
MP.PER.2
MP.PER.3</t>
  </si>
  <si>
    <t>R205</t>
  </si>
  <si>
    <t>No existe un procedimiento que determine como evaluar, clasificar y priorizar los incidentes de seguridad de la información.</t>
  </si>
  <si>
    <t>Errores en la evaluación de los incidentes que impiden dar una respuesta adecuada y en un tiempo razonable ante fallos o ataques a los sistemas de información de cualquier naturaleza, intencionados o accidentales</t>
  </si>
  <si>
    <t>A.16.1.4</t>
  </si>
  <si>
    <t>5.25</t>
  </si>
  <si>
    <t>R206</t>
  </si>
  <si>
    <t>No existen procedimientos documentados que determinen como se debe responder ante una incidencia, incluyendo identificación de puntos de contactos, escalado y comunicación, recogida de evidencias, resolver la vulnerabilidad para restaurar el nivel normal de seguridad, recuperar los sistemas y registrar el incidente</t>
  </si>
  <si>
    <t>A.16.1.5
A.17.1.2</t>
  </si>
  <si>
    <t>5.26
5.29</t>
  </si>
  <si>
    <t>OP.EXP.7
OP.EXP.9
OP.CONT.2</t>
  </si>
  <si>
    <t>R207</t>
  </si>
  <si>
    <t>No existe un procedimiento de análisis y aprendizaje de los incidentes para prevenir su futura repetición</t>
  </si>
  <si>
    <t>Reiteración de incidentes de seguridad debidos a vulnerabilidades sin resolver.</t>
  </si>
  <si>
    <t>A.16.1.6</t>
  </si>
  <si>
    <t>5.27</t>
  </si>
  <si>
    <t>OP.EXP.7
Op.EXP.9</t>
  </si>
  <si>
    <t>R208</t>
  </si>
  <si>
    <t>Los procedimientos no contemplan la identificación, recogida, adquisición y preservación de la información que pueda servir como evidencia del origen de la incidencia o de la posible vulnerabilidad.</t>
  </si>
  <si>
    <t>Imposibilidad de determinar las causas de las incidencias, ya sea su origen o las vulnerabilidades que la causan o facilitan.
Imposibilidad de reclamar responsabilidades laborales o penales.</t>
  </si>
  <si>
    <t>A.16.1.7</t>
  </si>
  <si>
    <t>5.28</t>
  </si>
  <si>
    <t>OP.EXP.7
OP.EXP.9</t>
  </si>
  <si>
    <t>R209</t>
  </si>
  <si>
    <t>El personal no está suficientemente capacitado para recoger y preservar las evidencias de modo que se manenga su carácter de prueba.</t>
  </si>
  <si>
    <t>Imposibilidad de reclamar responsabilidades laborales o penales</t>
  </si>
  <si>
    <t>A.16.1.7
A.7.2.2</t>
  </si>
  <si>
    <t>5.28
6.3</t>
  </si>
  <si>
    <t>OP.EXP.7
OP.EXP.9
MP.PER.3</t>
  </si>
  <si>
    <t>A.17. Aspectos de seguridad de la información para la gestión de la continuidad del negocio</t>
  </si>
  <si>
    <t>R210</t>
  </si>
  <si>
    <t>No se han determinado los requisitos de negocio con respecto a la seguridad de información y la continuidad de los servicios IT ante un desastre o fallo significativo, incluyendo la identificación de los servicios críticos y el RPO y RTO requeridos para cada uno de ellos.</t>
  </si>
  <si>
    <t>Imposibilidad de respuesta o tiempo de respuesta excesivo ante un ataque o fallo importante que pueda tener un impacto significativo sobre la operación o resultados del negocio</t>
  </si>
  <si>
    <t>Interrupción en la  disponibilidad de los servicios excesiva para las necesidades del negocio.
Destrucción o pérdida de información clave para el negocio</t>
  </si>
  <si>
    <t>SP-Soluciones tecnológicas
SP-Servicios a clientes
SP-Servicios IT
D-Datos propios de clientes
IS-Plataforma Tecnológica</t>
  </si>
  <si>
    <t>A.17.1.1</t>
  </si>
  <si>
    <t>5.29
5.30</t>
  </si>
  <si>
    <t>OP.CONT.1</t>
  </si>
  <si>
    <t>R211</t>
  </si>
  <si>
    <t>No existe un plan aprobado y procedimientos de respuesta y recuperación que determinen como la organización debe gestionar un evento disruptivo, incluyendo las responsabilidades y el personal o terceros involucrados.</t>
  </si>
  <si>
    <t>Imposibilidad de respuesta o tiempo de respuesta excesivo con respecto a los requisitos de continuidad del negocio ante un ataque o fallo importante que pueda tener un impacto significativo sobre la operación o resultados del negocio</t>
  </si>
  <si>
    <t>A.17.1.2</t>
  </si>
  <si>
    <t>OP.CONT.2</t>
  </si>
  <si>
    <t>Desarrollar un Plan de Continuidad</t>
  </si>
  <si>
    <t>2 FTE</t>
  </si>
  <si>
    <t>Q2-2026</t>
  </si>
  <si>
    <t>R212</t>
  </si>
  <si>
    <t>El plan de continuidad no contempla medidas para preservar la seguridad de la información mientras se está en una situación adversa</t>
  </si>
  <si>
    <t>Generación de vulnerabilidades por causa de la situación inestable o provisional de los controles de seguridad</t>
  </si>
  <si>
    <t>5.29</t>
  </si>
  <si>
    <t>R213</t>
  </si>
  <si>
    <t>No se revisa periódicamente el plan de continidad para asegurar su validez frente a los cambios de los sistemas o del negocio</t>
  </si>
  <si>
    <t>La situación adversa afecta a sistemas críticos no contemplados en el plan existente.
El plan existente no está adecudo para dar respuesta a los requisitos actuales del negocio</t>
  </si>
  <si>
    <t>OP.CONT.1
OP.CONT.2</t>
  </si>
  <si>
    <t>R214</t>
  </si>
  <si>
    <t>No se han realizado pruebas del plan de continuidad, ya sea total o por partes.</t>
  </si>
  <si>
    <t>Fallos o demoras a la hora de aplicar el plan de continuidad ante una situación de desastre.</t>
  </si>
  <si>
    <t>A.17.1.3</t>
  </si>
  <si>
    <t>OP.CONT.3</t>
  </si>
  <si>
    <t>R215</t>
  </si>
  <si>
    <t>No se han implantado mecanismos de redundancia para aquellos activos y servicos críticos que requieren una alta diponibilidad según los RTO y RPO determinados.</t>
  </si>
  <si>
    <t>A.17.2.1</t>
  </si>
  <si>
    <t>8.14</t>
  </si>
  <si>
    <t>OP.CONT.1
OP.CONT.4
OP.NUB.1</t>
  </si>
  <si>
    <t>A.18. Cumplimiento</t>
  </si>
  <si>
    <t>R216</t>
  </si>
  <si>
    <t>Resp.Compliance</t>
  </si>
  <si>
    <t>No se han identificado los requisitos legales o regulatorios aplicables</t>
  </si>
  <si>
    <t>Incumplimiento de los requisitos legales o regulatorios</t>
  </si>
  <si>
    <t>Sanciones para la organización que pueden poner en riesgo su viabilidad o reputación</t>
  </si>
  <si>
    <t>Toda la organización</t>
  </si>
  <si>
    <t>A.18.1.1</t>
  </si>
  <si>
    <t>5.31</t>
  </si>
  <si>
    <t>ORG.1</t>
  </si>
  <si>
    <t>R217</t>
  </si>
  <si>
    <t>No se han identificado los requisitos contractuales aplicables</t>
  </si>
  <si>
    <t>Incumplimiento de las condiciones contractuales comprometidas con los clientes</t>
  </si>
  <si>
    <t>Pérdida de clientes
Pago de indemnizaciones
Pérdidas de reputación.</t>
  </si>
  <si>
    <t>Toda la organización
SP-Soluciones tecnológicas</t>
  </si>
  <si>
    <t>R218</t>
  </si>
  <si>
    <t>No se han determinado los controles específicos para dar respuesta a los requisitos legales, regulatorios o contractuales</t>
  </si>
  <si>
    <t>Incumplimiento de los requisitos legales o regulatorios.
Incumplimiento de las condiciones contractuales comprometidas con los clientes</t>
  </si>
  <si>
    <t>Sanciones para la organización
Pérdida de clientes
Pago de indemnizaciones
Pérdidas de reputación.</t>
  </si>
  <si>
    <t>ORG.1
ORG.4</t>
  </si>
  <si>
    <t>R219</t>
  </si>
  <si>
    <t>Resp. Seg. Inf.
Resp.Compliance</t>
  </si>
  <si>
    <t>No se han establecido y comunicado políticas para proteger los derechos de propiedad intelectual de terceros</t>
  </si>
  <si>
    <t>Uso por parte de los empleados de software o recursos de los cuales no se tiene derecho de uso o explotación.</t>
  </si>
  <si>
    <t>SW-Soluciones de terceros</t>
  </si>
  <si>
    <t>A.18.1.2
A.7.1.2
A.7.2.2
A.8.1.3</t>
  </si>
  <si>
    <t>5.32
6.2
6.3
5.10</t>
  </si>
  <si>
    <t>R220</t>
  </si>
  <si>
    <t>No se han identificado los recursos o activos que requieran la protección de los derechos de propiedad intelectual y no se dispone de un registro de las licencias disponibles</t>
  </si>
  <si>
    <t>Uso de software o recursos de los cuales no se tiene derecho de uso o explotación.</t>
  </si>
  <si>
    <t>A.18.1.2
A.12.6.2
A.8.1.1</t>
  </si>
  <si>
    <t>5.32
5.9
8.19</t>
  </si>
  <si>
    <t>OP.PL.1
OP.PL.3</t>
  </si>
  <si>
    <t>R221</t>
  </si>
  <si>
    <t>Se está utilizando software sin licencia o se ha excedido el límite de la licencia</t>
  </si>
  <si>
    <t>R222</t>
  </si>
  <si>
    <t>No se han establecido mecanismos para evitar que los empleados puedan instalar o utilizar software sin licencia</t>
  </si>
  <si>
    <t>SW-Soluciones de terceros
HW-Equipos de trabajo
P-Personal</t>
  </si>
  <si>
    <t>A.18.1.2
A.12.6.2
A.9.2.3</t>
  </si>
  <si>
    <t>5.32
8.19
8.2</t>
  </si>
  <si>
    <t>ORG.2
ORG.3
OP.ACC.2</t>
  </si>
  <si>
    <t>R223</t>
  </si>
  <si>
    <t>No se ha establecido una política para identificar y preservar los registros que la organización deba conservar de acuerdo con los requisitos legales, regulatorios, contractuales o de negocio.</t>
  </si>
  <si>
    <t>No disponibilidad de registros o dudas sobre su validez en caso de ser requeridos por una autoridad o tercero.</t>
  </si>
  <si>
    <t>A.18.1.3</t>
  </si>
  <si>
    <t>5.33</t>
  </si>
  <si>
    <t>OP.EXP.9
MP.INFO.2</t>
  </si>
  <si>
    <t>R224</t>
  </si>
  <si>
    <t>No se han establecido las medidas de protección de datos personales de acuerdo con la legislación aplicable.
Falta cumplir algunos requisitos mínimos para el cumplimiento del RGPD como el DPI, políticas de privacidad, DPA, etc.</t>
  </si>
  <si>
    <t>Incumplimiento de obligaciones legales.
Impacto en los derechos y libertades de los interesados</t>
  </si>
  <si>
    <t>D-PII</t>
  </si>
  <si>
    <t>A.18.1.4</t>
  </si>
  <si>
    <t>5.34</t>
  </si>
  <si>
    <t>MP.INFO.1</t>
  </si>
  <si>
    <t>R225</t>
  </si>
  <si>
    <t>Resp. Compliance</t>
  </si>
  <si>
    <t>No se han evaluado o considerado  las restricciones legales o regulatorias en el uso, importación y exportación de componentes SW o hw con controles criptográficos.</t>
  </si>
  <si>
    <t>Incumplimiento de obligaciones legales o regulatorias.</t>
  </si>
  <si>
    <t>K-Claves criptográficas</t>
  </si>
  <si>
    <t>A.18.1.5
A.10.1.1</t>
  </si>
  <si>
    <t>5.31
8.24</t>
  </si>
  <si>
    <t>MP.SI.2
MP.INFO.3
MP.INFO4
MP.COM.2
MP.COM.3</t>
  </si>
  <si>
    <t>R226</t>
  </si>
  <si>
    <t>No se realizan revisiones periódicas independientes de la correcta aplicación de las políticas y controles de seguridad de la información.</t>
  </si>
  <si>
    <t>Falta de diligencia o fallos en la aplicación de los controles.
Obsolescencia de las políticas y controles.</t>
  </si>
  <si>
    <t>A.18.2.1</t>
  </si>
  <si>
    <t>5.35</t>
  </si>
  <si>
    <t>R227</t>
  </si>
  <si>
    <t>Resp. Seg. Inf.
CEO</t>
  </si>
  <si>
    <t>No se han establecido mecanismos y protocolos para que los directivos y mandos aplican correctamente las políticas y controles dentro de las áreas de su responsabilidad</t>
  </si>
  <si>
    <t xml:space="preserve">Falta de diligencia o fallos en la aplicación de los controles.
</t>
  </si>
  <si>
    <t>A.18.2.2
A.6.1.1</t>
  </si>
  <si>
    <t>5.36
5.2</t>
  </si>
  <si>
    <t>ORG.1
ORG.2
ORG.3
MP.PER.2</t>
  </si>
  <si>
    <t>R228</t>
  </si>
  <si>
    <t>No se realizan comprobaciones de cumplimiento técnico para identificar vulnerabilidades o aplicación incorrecta/insuficiente de los controles implantados.</t>
  </si>
  <si>
    <t>Existencia de vulnerabilidades desconocidos o no controladas.
Fallos en la eficacia de los controles aplicados</t>
  </si>
  <si>
    <t>A.18.2.3</t>
  </si>
  <si>
    <t>5.36
8.8</t>
  </si>
  <si>
    <t>OP.MON.3
OP.EXT.3</t>
  </si>
  <si>
    <t>R229</t>
  </si>
  <si>
    <t>No se recoje información sobre amenazas de los sistemas y servicios utilizados en la organización</t>
  </si>
  <si>
    <t>Existencia de amenazas y vulnerabilidades desconocidas o insuficientemente evaluadas</t>
  </si>
  <si>
    <t>5.7</t>
  </si>
  <si>
    <t>OP.MON.3</t>
  </si>
  <si>
    <t>R230</t>
  </si>
  <si>
    <t>No existe procedimiento para análisis, clasificación y comunicación de las amenazas detectadas.</t>
  </si>
  <si>
    <t>OP.MON.3
OP.PL.1</t>
  </si>
  <si>
    <t>R231</t>
  </si>
  <si>
    <t>No se consideran las amenazas identificadas en las actividades de Threat Inteligence  en el análisis de riesgos.</t>
  </si>
  <si>
    <t>OP.PL.1</t>
  </si>
  <si>
    <t>R233</t>
  </si>
  <si>
    <t xml:space="preserve">No estan documentados las configuraciones ( incluidas las configuraciones de seguridad) del hardware, software, servicios ( incluidos los servicios en la nube) y las redes. 
</t>
  </si>
  <si>
    <t>Sitemas con configuraciones vulnerables</t>
  </si>
  <si>
    <t>8.9</t>
  </si>
  <si>
    <t>OP.EXP.2</t>
  </si>
  <si>
    <t>R234</t>
  </si>
  <si>
    <t xml:space="preserve">No existen herramientas/procedimientos para monitorizar  las configuraciones que permitan la verificación regular de las configuraciones y el registro de los de los cambios implementados. </t>
  </si>
  <si>
    <t>OP.EXP.3</t>
  </si>
  <si>
    <t>R235</t>
  </si>
  <si>
    <t>No se mantiene actualizada la documentación de las configuraciones, ni se revisan periódicamente o tras aplicación de actualizaciones ya sea por el fabricante o por adaptación a nuevas necesidades.</t>
  </si>
  <si>
    <t>R236</t>
  </si>
  <si>
    <t>Se mantienen datos sensibles sin base a un requerimiento legal, estatutario, reglamentario o por cumplimiento contractual.</t>
  </si>
  <si>
    <t>Mantenimiento de información no necesaria o no autorizada</t>
  </si>
  <si>
    <t>Pérdida de reputación con clientes.
Difusión de información porque no se a destruido en la forma adecuada.
Incumplimiento de requisitos contractuales.
Incumplimiento legal con RGPD o legislación vigente en materia de protección de datos personales</t>
  </si>
  <si>
    <t>A.18.1.3
A.18.1.4</t>
  </si>
  <si>
    <t>8.10
5.33
5.34</t>
  </si>
  <si>
    <t>MP.SI.5
MP.INFO.1</t>
  </si>
  <si>
    <t>R237</t>
  </si>
  <si>
    <t>No se estipula en el contrato con proveedores (incluidos los proveedores cloud)  y clientes durante cuanto tiempo se almacenarán los datos, el método de destrucción y evidencias del borrado.</t>
  </si>
  <si>
    <t>Mantenimiento de información no necesaria o no autorizada por parte de los preveedores</t>
  </si>
  <si>
    <t>Acceso a la información por parte de terceros no autorizados</t>
  </si>
  <si>
    <t>8.10
5.20</t>
  </si>
  <si>
    <t>R238</t>
  </si>
  <si>
    <t>No se mantienen evidencias del borrado ni del sistema de borrado utilizado y su adecuación según el grado de confidencialidad de la información y el soporte.</t>
  </si>
  <si>
    <t>Acceso indebido a soportes de información</t>
  </si>
  <si>
    <t>HW-Equipos de trabajo
SUP-Physisical supports</t>
  </si>
  <si>
    <t>A.8.3.2
A.11.2.7</t>
  </si>
  <si>
    <t>8.10
7.14
7.10</t>
  </si>
  <si>
    <t>R239</t>
  </si>
  <si>
    <t>Resp.Informática</t>
  </si>
  <si>
    <t>No se ha definido un procedimiento para el borrado de información en los dispositivos que deben ser reparados, ya sea dentro o fuera de la organización, en función de su clasificación.</t>
  </si>
  <si>
    <t>Acceso indebido a dispositivos con información</t>
  </si>
  <si>
    <t>A.11.2.6
A.8.2.3</t>
  </si>
  <si>
    <t>8.10
7.9
5.10</t>
  </si>
  <si>
    <t>R240</t>
  </si>
  <si>
    <t>No se ha definido en la clasificación de la información, los datos que deben ser enmascarados para su tratamiento, en función de su criticidad con respecto a la normativa vigente en protección de datos personales y los requisitos de negocio.</t>
  </si>
  <si>
    <t>Acceso indebido a información confidencial  en formato legible</t>
  </si>
  <si>
    <t>A.8.2.3
A.18.1.4</t>
  </si>
  <si>
    <t>8.11
5.10
5.34</t>
  </si>
  <si>
    <t>R241</t>
  </si>
  <si>
    <t>No se ha definido ni verificado el método apropiado para enmascarar los datos en función de su criticidad.</t>
  </si>
  <si>
    <t>A.8.2.1
A.8.2.3</t>
  </si>
  <si>
    <t>8.11
5.10
5.12</t>
  </si>
  <si>
    <t>R242</t>
  </si>
  <si>
    <t>Resp. Seg. Inf.
Resp.Informática</t>
  </si>
  <si>
    <t>No existen medidas para prevenir y detectar  fugas de datos confidenciales de los sistemas, redes o dispositivos de la organización, incluidos los sistemas en la nube.</t>
  </si>
  <si>
    <t>Envio de información confidencial a terceros no autorizada</t>
  </si>
  <si>
    <t>8.12
5.10
5.12</t>
  </si>
  <si>
    <t>MP.INFO.2
OP.MON.3</t>
  </si>
  <si>
    <t>R243</t>
  </si>
  <si>
    <t>No existen medidas para evitar el envío  de información con métodos no autorizados, incluyendo las copias de seguridad  que se realizan fuera de la organización.</t>
  </si>
  <si>
    <t>R244</t>
  </si>
  <si>
    <t>CEO
CTO</t>
  </si>
  <si>
    <t>No se dispone de personal capacitado para identificar amenazas potenciales y  la correcta gestión de las herramientas de supervisión</t>
  </si>
  <si>
    <t>Incapacidad para monitorizar los sistemas y detectar amenazas potenciales</t>
  </si>
  <si>
    <t>SP-Soluciones tecnológicas
D-Datos propios de clientes
D-Logs</t>
  </si>
  <si>
    <t>A.7.2.2
A.18.2.3
A.12.6.1</t>
  </si>
  <si>
    <t>8.16
6.3
8.8
5.36</t>
  </si>
  <si>
    <t>OP.MON.3
MP.PER.4</t>
  </si>
  <si>
    <t>R245</t>
  </si>
  <si>
    <t>No se han definido las reglas de uso seguro de los recursos online, incluyendo recomendaciones  para identificar aplicaciones y sitios web potencialmente maliciosos.</t>
  </si>
  <si>
    <t>Ataques a través de aplicaciones y sitios web maliciosos</t>
  </si>
  <si>
    <t>D-Gestión interna
HW-Equipos de trabajo</t>
  </si>
  <si>
    <t>8.23
6.3</t>
  </si>
  <si>
    <t>MP.PER.3
MP.S.3</t>
  </si>
  <si>
    <t>R246</t>
  </si>
  <si>
    <t>No existe sistema para bloquear la navegación a sitios web maliciosos o con contenidos ilegales.</t>
  </si>
  <si>
    <t>Ataques a través de aplicacione y sitios web maliciosos</t>
  </si>
  <si>
    <t>Interrupción de la disponibilidad de los servicios.
Destrucción de la información y fallos en los procesos de tratamiento y almacenamiento.
Compromiso en la confidencialidad de la información.
Compromiso con legislación vigente en uso fraudulento de contenidos.</t>
  </si>
  <si>
    <t>8.23</t>
  </si>
  <si>
    <t>MP.S.3
OP.EXP.6</t>
  </si>
  <si>
    <t>R247</t>
  </si>
  <si>
    <t>No se analiza si el software de terceros cumple con  los requisitos de seguridad de la información del software establecidas.</t>
  </si>
  <si>
    <t>Uso de componentes software vulnerables</t>
  </si>
  <si>
    <t>SP-Soluciones tecnológicas
D-Datos propios de clientes
SW-Soluciones de terceros
SS-SaaS</t>
  </si>
  <si>
    <t>A.14.1.1</t>
  </si>
  <si>
    <t>8.28
5.8</t>
  </si>
  <si>
    <t>OP.PL.3
MP.SW.1
MP.SW.2
MP.S.2</t>
  </si>
  <si>
    <t>No se validan las conexiones web a endpoints desde servidores</t>
  </si>
  <si>
    <t>Suplantacion de endpoints</t>
  </si>
  <si>
    <t>SP-Soluciones tecnológicas
D-Datos propios de clientes
IS-Production infrastructure</t>
  </si>
  <si>
    <t>R248</t>
  </si>
  <si>
    <t>No se actualizan los requisitos de seguridad de la información del software  con las nuevas amenazas y vulnerabilidades relacionadas que pueden aparecer.</t>
  </si>
  <si>
    <t>SP-Soluciones tecnológicas
D-Datos propios de clientes
SW-Soluciones propias
SW-Soluciones de terceros
SS-SaaS</t>
  </si>
  <si>
    <t>A.12.6.1</t>
  </si>
  <si>
    <t>8.28
8.8</t>
  </si>
  <si>
    <t>R249</t>
  </si>
  <si>
    <t>Como cliente de servicios cloud no se han definido políticas que contemplen el uso de los servicios cloud teniendo en cuenta que se trabaja en entornos compartidos, hay terceros que pueden terner acceso a los datos, la ubicación geográfica de los servidores y del prestador, las necesidades específicas de administración, ...</t>
  </si>
  <si>
    <t>Contratación y uso de servicios cloud sin garantias suficientes</t>
  </si>
  <si>
    <t>Indisponbilidad de los servicios o incientes de confidencialidade o falta de integriada en la información</t>
  </si>
  <si>
    <t>SS-SaaS
IS-IaaS</t>
  </si>
  <si>
    <t>A.5.1.1
A.5.1.2
(as customer)
A.15.1.1
(as customer</t>
  </si>
  <si>
    <t>5.1
5.19
5.23</t>
  </si>
  <si>
    <t>ORG.1
OP.NUB.1
OP.PL.3
OP.EXT.1</t>
  </si>
  <si>
    <t>R250</t>
  </si>
  <si>
    <t>Como proveedor de servicios en la nube no se han elaborado ni publicado políticas que informen a los clientes de las medidas de seguridad aplicadas por al organización, la necesidad de proteger los diferentes entornos virtuales, las reglas para acceder a los datos del cliente por parte de los empleados del proveedor, las necesides de comunicación con los clientes en caso de cambios o incidencias, ...</t>
  </si>
  <si>
    <t>Desconocimiento de las políticas aplicadas por parte del cliente</t>
  </si>
  <si>
    <t>Uso incorrecto de los servicios
Demandas por incumplimiento de condiciones</t>
  </si>
  <si>
    <t>SP-Soluciones tecnológicas</t>
  </si>
  <si>
    <t>A.5.1.1
A.5.1.2 
CLD.12.1.5
(as provider)</t>
  </si>
  <si>
    <t>A.6. Organization of information security</t>
  </si>
  <si>
    <t>R251</t>
  </si>
  <si>
    <t>CFO
Resp. Seg. Inf.</t>
  </si>
  <si>
    <t>Como cliente de servicios en la nube, las funciones y responsabilidades de seguridad de la información con el proveedor de servicios en la nube no se han establecido claramente en un acuerdo.</t>
  </si>
  <si>
    <t>Incidente atribuible al proveedor de servicios en la nube</t>
  </si>
  <si>
    <t>Incapacidad para reclamar contra el proveedor de servicios en la nube y obtener una compensación</t>
  </si>
  <si>
    <t>SS-SaaS
IS-IaaS
D-Datos</t>
  </si>
  <si>
    <t>A.6.1.1
(as customer)</t>
  </si>
  <si>
    <t>R252</t>
  </si>
  <si>
    <t>Como proveedor de servicios en la nube, no se han acordado y documentado la asignación adecuada de las funciones y responsabilidades de seguridad de la información con los clientes del servicio en la nube.</t>
  </si>
  <si>
    <t>Reclamación contra la compañía debido a un incidente que no se debe a un fallo de la empresa</t>
  </si>
  <si>
    <t>Penalización a al hora de responder a reclamaciones inapropiadas de clientes</t>
  </si>
  <si>
    <t>SP-Soluciones tecnológicas
D-Datos propios de clientes</t>
  </si>
  <si>
    <t>A.6.1.1
(as provider)</t>
  </si>
  <si>
    <t>Elaborar un modelo de Condiciones Generales de Uso para el servicio de alojamiento de soluciones IA</t>
  </si>
  <si>
    <t>Jordi Roca</t>
  </si>
  <si>
    <t>A.6.  Organization of information security</t>
  </si>
  <si>
    <t>R253</t>
  </si>
  <si>
    <t>Como cliente de servicios en la nube no se han identificado las autoridades relevantes para la operación combinada del cliente del servicio en la nube y el proveedor del servicio en la nube.</t>
  </si>
  <si>
    <t>Necesidad de hacer una reclamación bajo una jurisdicción distinta a las que se puede aplicar la empresa.</t>
  </si>
  <si>
    <t>Exposición a sanciones por falta de medios para responder a cualquier reclamación, o incapacidad para poder reclamar contra fallos del proveedor.</t>
  </si>
  <si>
    <t>A.6.1.3
(as customer)
PIMS.A.7.5.1
PIMS.A.7.5.2</t>
  </si>
  <si>
    <t>ORG.3
OP.EXP.7
MP.INFO.1</t>
  </si>
  <si>
    <t>R254</t>
  </si>
  <si>
    <t>Como proveedor de servicios en la nube, el cliente del servicio en la nube no está informado de las ubicaciones geográficas de la organización del proveedor del servicio en la nube y de los países donde el proveedor del servicio en la nube puede almacenar los datos del cliente del servicio en la nube..</t>
  </si>
  <si>
    <t>Un cliente utiliza el servicio en una ubicación geográfica con reglas especiales que son incompatibles con la ubicación de almacenamiento de datos.</t>
  </si>
  <si>
    <t>La demora en responder o contactar a las autoridades puede conducir a sanciones, una respuesta lenta a las amenazas o respuestas inadecuadas e insuficientes que aumentan los riesgos y su impacto.</t>
  </si>
  <si>
    <t>A.6.1.3
(as provider)
PIMS.B.8.5.1
PIMS.B.8.5.2</t>
  </si>
  <si>
    <t>R255</t>
  </si>
  <si>
    <t>Como cliente de servicios en la nube, no se han definido o ampliado las políticas y procedimientos existentes de acuerdo con su uso de los servicios en nube, y concienciar a los usuarios del servicio en nube de sus funciones y responsabilidades en el uso del servicio en nube.</t>
  </si>
  <si>
    <t>Incidente en el servicio en la nube</t>
  </si>
  <si>
    <t>Manipulación o tratamiento incorrecto de la información de la organización</t>
  </si>
  <si>
    <t>CLD.6.3.1
(as customer)
A.12.1.1</t>
  </si>
  <si>
    <t>5.10
5.23
5.37</t>
  </si>
  <si>
    <t>OP.NUB.1
ORG.3</t>
  </si>
  <si>
    <t>R256</t>
  </si>
  <si>
    <t>Como proveedor de servicios en la nube, no se han documentado y comunicado sus capacidades, funciones y responsabilidades en materia de seguridad de la información para el uso de su servicio en nube, junto con las funciones y responsabilidades en materia de seguridad de la información que el cliente del servicio en nube tendría que implantar y gestionar como parte de su uso del servicio en nube.</t>
  </si>
  <si>
    <t>Demandas por incidentes en el servicio.
Demoras en la solución de los incidentes.
Fallos de seguridad por aplicación de medidas insuficientes por parte del cliente</t>
  </si>
  <si>
    <t>CLD.6.3.1
(as provider)</t>
  </si>
  <si>
    <t>5.2
5.31</t>
  </si>
  <si>
    <t>R257</t>
  </si>
  <si>
    <t>Como cliente de servicios cloud no se ha proporcionado información a los empleados sobre aspectos relativos a la seguridad en los servicios en la nube</t>
  </si>
  <si>
    <t>Manipulación o tratamiento incorrecto de la información de la organización
Fallos en la disponibilidad de los servicios</t>
  </si>
  <si>
    <t>A.7.2.2
(as customer)</t>
  </si>
  <si>
    <t>MP.PER.3
MP.PER.4</t>
  </si>
  <si>
    <t>R258</t>
  </si>
  <si>
    <t>Como proveedor de servicios cloud, no se ha proporcionado a los empleados formación específica de como debe ser manejada la información de los clientes teniendo en cuenta su confidencialidad y regulaciones específicas</t>
  </si>
  <si>
    <t>Manipulación o tratamiento incorrecto de la información de los clientes.
Incidentes que afectan a la disponbilidad de los servicios a los clientes</t>
  </si>
  <si>
    <t>A.7.2.2
(as provider)</t>
  </si>
  <si>
    <t>A.8.  Asset management</t>
  </si>
  <si>
    <t>R259</t>
  </si>
  <si>
    <t>Como proveedor de sevicios cloud, el inventario de activos en la nube no tiene en cuenta la información y los activos asociados almacenados en el entorno de computación en la nube.</t>
  </si>
  <si>
    <t>D-Datos
SS-SaaS
IS-IaaS</t>
  </si>
  <si>
    <t>A.8.1.1
(as customer)</t>
  </si>
  <si>
    <t>R260</t>
  </si>
  <si>
    <t>Como proveedor de sevicios cloud, el inventario de activos  no identifica explícitamente:
– Datos de clientes de servicios en la nube;
– Datos derivados de servicios en la nube.</t>
  </si>
  <si>
    <t>A.8.1.1
(as provider)</t>
  </si>
  <si>
    <t>OP.EXP.1</t>
  </si>
  <si>
    <t>R261</t>
  </si>
  <si>
    <t>Como cliente de servicios cloud no se dispone de un documento que especifica los procedimientos de fin de servicio que cubre la eliminación y/o devolución de activos al darse de baja del servicio, incluyendo la eliminación de todas las copias de los datos, y los plazos para las diferentes operacions de terminación del servicio, posible desactualización</t>
  </si>
  <si>
    <t>El proveedor del servicio en la nube mantiene los datos más tiempo del estrictamente necesarios</t>
  </si>
  <si>
    <t>Fallos de confidencialidad ya que se mantienen los datos en manos de proveedores que no están autorizados a tenerlos</t>
  </si>
  <si>
    <t>CLD. 8.1.5
(as customer)
8.2.3</t>
  </si>
  <si>
    <t>5.10
5.23</t>
  </si>
  <si>
    <t>OP.NUB.1
OP.EXT.1</t>
  </si>
  <si>
    <t>Como proveedor de servicios en la nube no se proporciona información sobre los acuerdos para la devolución y retirada de los activos de cualquier cliente de servicios en la nube a la finalización del acuerdo para el uso de un servicio en la nube.</t>
  </si>
  <si>
    <t>Incumplimiento o reclamaciones contactuales</t>
  </si>
  <si>
    <t>CLD. 8.1.5
(as provider)</t>
  </si>
  <si>
    <t>R262</t>
  </si>
  <si>
    <t>Como cliente de servicios en la nube, la información y los activos asociados que se mantienen en el entorno de computación en la nube no están etiquetados de acuerdo con los procedimientos de etiquetado adoptados por la organización, posible desactualización</t>
  </si>
  <si>
    <t>Publicación o manipulación de la información por parte de personas no autoritzadas (internas o externas)</t>
  </si>
  <si>
    <t>D-Datos
SS-SaaS</t>
  </si>
  <si>
    <t>A.8.2.2
(as customer)</t>
  </si>
  <si>
    <t>A.9. Access control</t>
  </si>
  <si>
    <t>R264</t>
  </si>
  <si>
    <t>Como cliente de servicios en la nube la directiva de control de acceso del cliente del servicio en la nube para el uso de servicios de red no especifica los requisitos para el acceso del usuario a cada servicio en la nube independiente que se usa.</t>
  </si>
  <si>
    <t>SP-Servicios Propios
D-Datos
SS-SaaS
IS-IaaS</t>
  </si>
  <si>
    <t>A.9.1.2
(as customer)</t>
  </si>
  <si>
    <t>R265</t>
  </si>
  <si>
    <t>Como proveedor de servicios en la nube no se proporcionan funciones de registro y cancelación de registro de usuarios,
y especificaciones para el uso de estas funciones.</t>
  </si>
  <si>
    <t>Failure of the customer to manage data access</t>
  </si>
  <si>
    <t xml:space="preserve">Claims or lost of customers due to insufficient information  </t>
  </si>
  <si>
    <t>A.9.2.1
(As provider)
A.14.1.1
A.14.1.2</t>
  </si>
  <si>
    <t>5.16
8.26</t>
  </si>
  <si>
    <t>OP.ACC.5
MP.SW.1</t>
  </si>
  <si>
    <t>R266</t>
  </si>
  <si>
    <t>Como proveedor de servicios en la nube, no se proporcionan funcionalidades para que los clientes gestionen las altas y bajas de sus propios usuario, ni se les permiten delimitar los derechos de acceso de los usuarios</t>
  </si>
  <si>
    <t>A.9.2.2
(as provider)
A.14.1.1
A.14.1.2</t>
  </si>
  <si>
    <t>R267</t>
  </si>
  <si>
    <t>Como cliente de servicios en la nube no se cuenta con un acceso a las capacidades de administración del servicio suficientemente protegido</t>
  </si>
  <si>
    <t>A.9.2.3
(as customer)</t>
  </si>
  <si>
    <t>8.2
8.18</t>
  </si>
  <si>
    <t>OP.NUB.1
OP.ACC.4</t>
  </si>
  <si>
    <t>R268</t>
  </si>
  <si>
    <t>Como proveedor de servicios en la nube no se han proporcionado funcionalidades específicas para que el acceso a las capacidades de administración del servicio esté suficientemente protegidas</t>
  </si>
  <si>
    <t>A.9.2.3
(as provider)
A.14.1.1
A.14.1.2</t>
  </si>
  <si>
    <t>5.8
8.2
8.26</t>
  </si>
  <si>
    <t>OP.ACC.2
OP.ACC.4
OP.ACC.5
OP.ACC.6
MP.SW.1</t>
  </si>
  <si>
    <t>R269</t>
  </si>
  <si>
    <t>Como cliente de servicios en la nube, los mecanismos para asignar contraseñas proporcionadas por los servicios no garantizan su secreto, o el proveedor no garantiza que se mantiene el secreto de las contraseñas</t>
  </si>
  <si>
    <t>Acceso, publicación o manipulación no autorizada a la información.
Destruccion o modificación intencionada de la información.</t>
  </si>
  <si>
    <t>A.9.2.4
(as customer)</t>
  </si>
  <si>
    <t>OP.NUB.1
OP.ACC.6</t>
  </si>
  <si>
    <t>R270</t>
  </si>
  <si>
    <t>Como proveedor de servicios en la nube, el mecanismo de asignación de contraseñas no facilita que pueda ser secreta</t>
  </si>
  <si>
    <t>A.9.2.4
(as provider)
A.14.1.1
A.14.1.2</t>
  </si>
  <si>
    <t>5.8
5.17
8.26</t>
  </si>
  <si>
    <t>R271</t>
  </si>
  <si>
    <t>Como proveedor de servicios en la nube, las intervenciones del proveedor no se pueden realizar sin necesidad de conocer las credenciales de acceso de los clientes</t>
  </si>
  <si>
    <t>A.9.2.4
CLD.12.1.5
(as provider)</t>
  </si>
  <si>
    <t>OP.ACC.3
OP.ACC.5</t>
  </si>
  <si>
    <t>R272</t>
  </si>
  <si>
    <t>Como cliente de servicios en la nube, no se asegura que el acceso a la información en el servicio en la nube puede restringirse de acuerdo con su política de control de acceso y que tales restricciones se cumplen.</t>
  </si>
  <si>
    <t>A.9.4.1
(as customer)</t>
  </si>
  <si>
    <t>R273</t>
  </si>
  <si>
    <t>Como proveedor de servicios en la nube, no se proporcionan funcionalidades para que el cliente pueda restringir el acceso de los usuarios a determinadas funciones</t>
  </si>
  <si>
    <t>A.9.4.1
(as provider)
A.14.1.1
A.14.1.2</t>
  </si>
  <si>
    <t>5.8
8.26</t>
  </si>
  <si>
    <t>R275</t>
  </si>
  <si>
    <t>Como proveedor de servicios en la nube, el acceso a utilidades que puedan by-pasear las restriccions de operación y seguridad no estan protegidas con respecto a su uso indebido</t>
  </si>
  <si>
    <t xml:space="preserve">
A.9.4.4
A.9.2.4
CLD 12.1.5
(as provider)
A.14.1.1
A.14.1.2</t>
  </si>
  <si>
    <t>R276</t>
  </si>
  <si>
    <t>Como proveedor de servicios en la nube, no se han tomado medidas para asegurar la segregación de los datos y servicios de los diferentes clientes en entornos compartidos</t>
  </si>
  <si>
    <t>Acceso o manipulación de la información y del servicio de un cliente por parte de otros clientes</t>
  </si>
  <si>
    <t xml:space="preserve">
CLD.9.5.1
(as provider)
A.14.1.1
A.14.1.2</t>
  </si>
  <si>
    <t>8.26
8.22</t>
  </si>
  <si>
    <t>OP.PL.2
OP.ACC.3
OP.EXT.4
MP.COM.4
MP.SW.1</t>
  </si>
  <si>
    <t>R277</t>
  </si>
  <si>
    <t>Como proveedor de servicios en la nube, no se han tomado medidas para evitar que una incidencia, por ejemplo un exceso de uso de un cliente, puede afectar a la capacidad de dar servicio a otros clientes y no se garantiza una capacidad mínima de recursos (almacenaje de datos, red, procesamiento,...) a cada cliente</t>
  </si>
  <si>
    <t>Uso excesivo de recursos por parte de otro cliente</t>
  </si>
  <si>
    <t>Indisponibilidad del servicio para otros clientes ajenos al que ha causado el exceso de uso</t>
  </si>
  <si>
    <t xml:space="preserve">
CLD.9.5.1
(as provider)
A.12.1.3</t>
  </si>
  <si>
    <t>OP.PL.3
MP.SW.1</t>
  </si>
  <si>
    <t>A.10. Criptography</t>
  </si>
  <si>
    <t>R279</t>
  </si>
  <si>
    <t>Como cliente de servicios en la nube, no se dispone de información y garantias sobre los controles criptográficos en tránsito y "at rest" implementados de modo que se cubran los riesgos identificados.</t>
  </si>
  <si>
    <t>Acceso de terceros a la información por insuficiencia de las claves criptográfica simplementadas.</t>
  </si>
  <si>
    <t>Acceso no autorizado o controlado a la información en documentos o comunicaciones.
Suplantación de identidad que facilite el acceso, publicación o manipulación no autorizada a la información, o la destruccion o modificación intencionada  de la información.</t>
  </si>
  <si>
    <t>SS-SaaS
IS-IaaS
D-Datos
K-Claves criptográficas</t>
  </si>
  <si>
    <t>A.10.1.1
(as customer)</t>
  </si>
  <si>
    <t>8.24
8.23</t>
  </si>
  <si>
    <t>MP.SI.2
MP.COM.2
MP.COM.3
OP.EXP.10</t>
  </si>
  <si>
    <t>R281</t>
  </si>
  <si>
    <t>Como cliente de servicios en la nube no se dispone de información sobre las claves criptográficas uilizadas y los procedimientos de gestión.</t>
  </si>
  <si>
    <t>SS-SaaS
IS-IaaS
D-Datos
K-Clases Criptográficas</t>
  </si>
  <si>
    <t>A.10.1.2
(as customer)</t>
  </si>
  <si>
    <t>R282</t>
  </si>
  <si>
    <t>Como cliente de servicios en la nube, no se dispone de garantias del proveedor de los servicios cloud en cuanto a la reutilización y eliminación segura de recursos</t>
  </si>
  <si>
    <t>A.11.2.7
(as customer)</t>
  </si>
  <si>
    <t>7.10
8.10</t>
  </si>
  <si>
    <t>OP.NUB.1
MP.SI.5</t>
  </si>
  <si>
    <t>R283</t>
  </si>
  <si>
    <t>Como proveedor de servicios en la nube, no se dispone de procedimientos para asegurar la eliminación o reutilización segura de los recursos asignados a los clientes</t>
  </si>
  <si>
    <t>Acceso a la información por parte de personas no autorizadas, tal como clientes que reusen los recursos</t>
  </si>
  <si>
    <t>Fuga o publicación no autorizada a la información de los clientes</t>
  </si>
  <si>
    <t>A.11.2.7
CLD.8.1.5
(as provider)</t>
  </si>
  <si>
    <t>ORG.1
ORG.3
MP.SI.5</t>
  </si>
  <si>
    <t>R284</t>
  </si>
  <si>
    <t>Como cliente de servicios en la nube, no se dispone de información previa de los cambios que realiza el proveedor de modo que los procedimientos de gestión del cambio tienen en cuenta los cambios originados por el proveedor</t>
  </si>
  <si>
    <t>Tiempo de respuesta excesivo ante incidentes o implantación de cambios no controlados por parte del proveedor</t>
  </si>
  <si>
    <t>A.12.1.2
(as customer)</t>
  </si>
  <si>
    <t>OP.NUB.1
OP.EXP.5</t>
  </si>
  <si>
    <t>R285</t>
  </si>
  <si>
    <t>Como proveedor de servicios en la nube no existe un procedimiento mediante el que 
1. Se informa a los clientes de forma previa de cambios que puedan afectar al servicio
2. Se incluye información suficiente para que el cliente pueda valorar el impacto
3. Se proporciona información sobre la planificación del cambio y posibles alteraciones en la disponibilidad del servicio</t>
  </si>
  <si>
    <t>Realización de cambios que puedan afectar a los requisitos de servicio del cliente sin que hay podido prever posibles consecuencias.</t>
  </si>
  <si>
    <t>Reclamaciones de clientes.
Interrupción en los servicios de los clientes</t>
  </si>
  <si>
    <t>A.12.1.2
(as provider)</t>
  </si>
  <si>
    <t>A12. Operations security</t>
  </si>
  <si>
    <t>R286</t>
  </si>
  <si>
    <t>El proveedor del servicio en la nube no asegura la capacidad acordada.</t>
  </si>
  <si>
    <t>A.12.1.3
(as customer)</t>
  </si>
  <si>
    <t>OP.PL.4</t>
  </si>
  <si>
    <t>R288</t>
  </si>
  <si>
    <t>Como cliente de los servicios en la nube, no se dispone de procedimientos para actuar en caso de un daño grave en el servicio del proveedor que puede causar la pérdida de información</t>
  </si>
  <si>
    <t>Incidentes en el servicio del proveedor
Finalización de provisión del servicio cloud</t>
  </si>
  <si>
    <t>CLD.12.1.5
A.12.3.1
(as customer)</t>
  </si>
  <si>
    <t>6.8</t>
  </si>
  <si>
    <t>OP.NUB.1
OP.EXP.7
OP.EXT.2</t>
  </si>
  <si>
    <t>R290</t>
  </si>
  <si>
    <t>Como cliente de servicios en la nube, no se dispone de información de la política de copias de seguridad del proveedor del servicio y, por tanto, no se puede garantizar si esta política cubre los requisitos establecidos (p.ej. RTO y RPO)</t>
  </si>
  <si>
    <t>A.12.3.1
(as customer)</t>
  </si>
  <si>
    <t>5.23
8.13</t>
  </si>
  <si>
    <t>R291</t>
  </si>
  <si>
    <t>Como cliente de servicios en la nube, no se han previsto procedimientos para disponer de copias en caso de cese del servicio por parte del proveedor</t>
  </si>
  <si>
    <t>Cese del servicio por parte del proveedor</t>
  </si>
  <si>
    <t>D-Gestión interna
D-Código fuente de las soluciones</t>
  </si>
  <si>
    <t>A.12.3.1
CLD.12.1.5
(as customer)</t>
  </si>
  <si>
    <t>OP.NUB.1</t>
  </si>
  <si>
    <t>R292</t>
  </si>
  <si>
    <t>Como proveedor de servicios en la nube, no se no se informa a los clientes de:
1. política de backup de su información (periodicidad, retención, planificación, cifrado, verificación, ...)
2. Procedimientos de recuperación
3. Tiempo de conservación en caso de baja del servicio</t>
  </si>
  <si>
    <t>Incidente que afecta a la conservación de los datos de los cliente
Reclamaciones por parte de los clientes</t>
  </si>
  <si>
    <t>Imposibilidad de recuperar la información de los clientes
Imposibilidad de reactivar el servicio de un cliente suspendido
Incumplimineto contractuales y sanciones</t>
  </si>
  <si>
    <t>A.12.3.1
A.12.5.1
CLD.8.1.5
(as provider)</t>
  </si>
  <si>
    <t>8.13</t>
  </si>
  <si>
    <t>MP.INFO.6
ORG.1</t>
  </si>
  <si>
    <t>R293</t>
  </si>
  <si>
    <t>Como cliente de servicios en la nube no se dispone de acceso para supervisar los registros de eventos requeridos por la política de seguridad</t>
  </si>
  <si>
    <t>Manipulaciones incorrectas de la información o acciones no procedentes</t>
  </si>
  <si>
    <t>Imposibilidad de detectar e investigar:
Acceso, publicación o manipulación no autorizada a la información.
Destruccion o modificación intencionada o accidental de la información.
Interrupción en la disponibilidad de los servicios</t>
  </si>
  <si>
    <t>A.12.4.1
(as customer)</t>
  </si>
  <si>
    <t>5.23
8.15</t>
  </si>
  <si>
    <t>OP.NUB.1
OP.MON.3</t>
  </si>
  <si>
    <t>R295</t>
  </si>
  <si>
    <t>Como cliente de servicios en la nube, se dispone de capacidad para registrar las actividades de administración.</t>
  </si>
  <si>
    <t>Realización de acciones improcedentes o no autorizadas por parte de usuarios con acceso privilegiado a los sistemas en la nube</t>
  </si>
  <si>
    <t>D-Información de auditoria
SS-SaaS
IS-IaaS</t>
  </si>
  <si>
    <t>A.12.4.3
(as customer)</t>
  </si>
  <si>
    <t>R296</t>
  </si>
  <si>
    <t>Como cliente de servicios en la nube, no se dispone de información acerca del reloj utilizado para sincronización en el servicio cloud.</t>
  </si>
  <si>
    <t>A.12.4.4
(as customer)</t>
  </si>
  <si>
    <t>5.23
8.17</t>
  </si>
  <si>
    <t>R298</t>
  </si>
  <si>
    <t>Como cliente de servicios en la nube, no se dispone de información sobre la capacidad de monitorización de los servicios en la nube</t>
  </si>
  <si>
    <t>Funcionamiento anómalo de los servicios del proveedor</t>
  </si>
  <si>
    <t>CLD.12.4.5</t>
  </si>
  <si>
    <t>R299</t>
  </si>
  <si>
    <t>Como proveedor de servicios en la nube, no se proporciona a los clientes la capacidad de monitorizar algunos aspectos relevantes</t>
  </si>
  <si>
    <t>Funcionamiento anómalo de los servicios proporcionados</t>
  </si>
  <si>
    <t>CLD.12.4.5
A.14.1.1
A.14.1.2</t>
  </si>
  <si>
    <t>OP.MON.3
MP.SW.1</t>
  </si>
  <si>
    <t>R300</t>
  </si>
  <si>
    <t>Como cliente de servicios en la nube, el proveedor no proporciona información puntual sobre vulnerabilidades técnicas detectadas</t>
  </si>
  <si>
    <t>A.12.4.4
(as provider)
A.12.6.1
A.16.1.3</t>
  </si>
  <si>
    <t>6.8
8.8</t>
  </si>
  <si>
    <t>OP.NUB.1
OP.EXP.4</t>
  </si>
  <si>
    <t>R301</t>
  </si>
  <si>
    <t>Como proveedor de servicios en la nube, no se proporciona información a los clientes sobre las vulnerabilidad técnicas detectadas de modo que pueda adoptar las medidas preventivas necesarias</t>
  </si>
  <si>
    <t>A.12.4.4
(as provider)
A.12.6.1</t>
  </si>
  <si>
    <t>5.26
8.8</t>
  </si>
  <si>
    <t>OP.EXP.4
OP.EXP.7
OP.EXT.2</t>
  </si>
  <si>
    <t>R303</t>
  </si>
  <si>
    <t>Como proveedor de servicios en la nube, no se proporcionan mecanismos de conexion suficientemente segregados para que cada cliente pueda acceder de forma segura a su entorno</t>
  </si>
  <si>
    <t>Acceso por parte de terceros no autorizados a los servicios prestados a cada uno de los clientes</t>
  </si>
  <si>
    <t>Compromiso en la confidencialidad e integridad de los datos de los clientes</t>
  </si>
  <si>
    <t>A.13.1.3
(as provider)</t>
  </si>
  <si>
    <t>8.22</t>
  </si>
  <si>
    <t>MP.COM.4</t>
  </si>
  <si>
    <t>R304</t>
  </si>
  <si>
    <t>Como proveedor de servicios en la nube, no se se han segregado los entornos internos del proveedor y el entorno de los clientes</t>
  </si>
  <si>
    <t>OP.PL.2
MP.COM.4
OP.EXT.4</t>
  </si>
  <si>
    <t>R305</t>
  </si>
  <si>
    <t>Como proveedor de servicios en la nube, no se proporciona a los clientes un servicio de acceso seguro a los servicios a través de las redes</t>
  </si>
  <si>
    <t>CLD.13.1.4
(as provider)</t>
  </si>
  <si>
    <t>OP.PL.2
MP.COM.1
MP.COM.4
OP.EXT.4</t>
  </si>
  <si>
    <t>A.14. System acquisition, development and maintenance</t>
  </si>
  <si>
    <t>R306</t>
  </si>
  <si>
    <t xml:space="preserve">Como proveedor de servicios en la nube, no se proporciona a los clientes información sobre las medidas de seguridad implementadas para que puedan valorar si se cumplen sus requisitos y hasta que punto sus riesgos estan cubiertos. </t>
  </si>
  <si>
    <t>Medidas de seguridad insuficientes para cubrir las necesidades del cliente</t>
  </si>
  <si>
    <t>A.14.1.1
A.5.1.1
CLD 6.3.1
(as provider)</t>
  </si>
  <si>
    <t>5.1
5.8
5.31</t>
  </si>
  <si>
    <t>R308</t>
  </si>
  <si>
    <t xml:space="preserve">Como proveedor de servicios en la nube, no se proporciona información sobre la aplicación de los procedimientos de desarrollo seguro. </t>
  </si>
  <si>
    <t>Falta de confizanza en los servicios proporcionados por parte de los clientes</t>
  </si>
  <si>
    <t>Pérdida de contratos</t>
  </si>
  <si>
    <t>A.14.2.1
(as provider)</t>
  </si>
  <si>
    <t>8.25</t>
  </si>
  <si>
    <t>MP.SW.1
MP.SW.2</t>
  </si>
  <si>
    <t>A.15. Supplier relationship</t>
  </si>
  <si>
    <t>R309</t>
  </si>
  <si>
    <t>CTO
Resp. Seg. Información</t>
  </si>
  <si>
    <t>Como cliente de los servicios en la nube, no se verifica el cumplimiento de los requisitos de seguridad de la información por parte de los proveedores</t>
  </si>
  <si>
    <t>A.15.1.2
(as customer)</t>
  </si>
  <si>
    <t>R310</t>
  </si>
  <si>
    <t xml:space="preserve">Como  proveedor de servicios en la nube no se especifican como parte de un acuerdo las medidas de seguridad de la información relevantes que se han implementado para garantizar que no haya malentendidos entre el proveedor de servicios en la nube y el cliente de los servicios. </t>
  </si>
  <si>
    <t>Falta de confizanza en los servicios proporcionados por parte de los clientes.
Reclamaciones por parte de los clientes</t>
  </si>
  <si>
    <t>Pérdida de contratos.
Demandas por incumplimiento de contrato</t>
  </si>
  <si>
    <t>A.15.1.2
(as provider)</t>
  </si>
  <si>
    <t>R311</t>
  </si>
  <si>
    <t>Como cliente de servicios en la nube, no se está informado de los procedimientos y canales del proveedor para gestionar incidentes</t>
  </si>
  <si>
    <t>Degradación o interrupción en la disponibilidad de los servicios.
Destrucción de la información y fallos en los procesos de tratamiento y almacenamiento.
Compromiso en la confidencialidad de la información.</t>
  </si>
  <si>
    <t>A.16.1.1
(as customer)</t>
  </si>
  <si>
    <t>5.20
6.8
5.26</t>
  </si>
  <si>
    <t>OP.NUB.1
OP.EXP.7</t>
  </si>
  <si>
    <t>R312</t>
  </si>
  <si>
    <t>Como cliente de servicios en la nube, no se han identificado las responsabilidades en caso de incidente o por tipo de incidente</t>
  </si>
  <si>
    <t>Imposibilidad de reclamar por los perjuicios causados
Demoras en la solucion de incidentes que produzcan: 
Degradación o interrupción en la disponibilidad de los servicios.
Destrucción de la información y fallos en los procesos de tratamiento y almacenamiento.
Compromiso en la confidencialidad de la información.</t>
  </si>
  <si>
    <t>5.24
5.19</t>
  </si>
  <si>
    <t>R313</t>
  </si>
  <si>
    <t>Como proveedor de servicios en la nube, no se ha informado a los clientes de los procedimientos y canales disponibles para gestionar incidentes</t>
  </si>
  <si>
    <t>Incidencias que afectan al servicio que se presta a los clientes</t>
  </si>
  <si>
    <t>Demoras en la solucion de incidentes que produzcan: 
Degradación o interrupción en la disponibilidad de los servicios.
Destrucción de la información y fallos en los procesos de tratamiento y almacenamiento.
Compromiso en la confidencialidad de la información.</t>
  </si>
  <si>
    <t>A.16.1.1
(as provider)</t>
  </si>
  <si>
    <t>R314</t>
  </si>
  <si>
    <t>Como cliente de servicios en la nube, el proveedor no informa adecuadamente de los incidentes que afectan al servicio</t>
  </si>
  <si>
    <t>A.16.1.2
(as customer)</t>
  </si>
  <si>
    <t>R315</t>
  </si>
  <si>
    <t>Como proveedor de servicios en la nube, no se informa proactivamente a los clientes de los incidentes que afectan al servicio</t>
  </si>
  <si>
    <t>Los clientes no pueden dar una respuesta adecuada y en un tiempo razonable ante fallos o ataques a los sistemas de información de cualquier naturaleza, intencionados o accidentales</t>
  </si>
  <si>
    <t>A.16.1.2
(as provider)</t>
  </si>
  <si>
    <t>5.26</t>
  </si>
  <si>
    <t>R318</t>
  </si>
  <si>
    <t>CFO
Resp. Seg. Información</t>
  </si>
  <si>
    <t>Como cliente de servicios en la nube, no se ha tenido en cuenta que la legislación aplicable puede ser la del proveedor del servicio, además de la propia de la jurisdiccion propia</t>
  </si>
  <si>
    <t>Incumplimiento de los requisitos legales o regulatorios.</t>
  </si>
  <si>
    <t>A.18.1.1
(as customer)</t>
  </si>
  <si>
    <t>R319</t>
  </si>
  <si>
    <t>Como cliente de servicios en la nube, no se dispone de evidencias del cumplimiento del las regulaciones por parte del proveedor, por ejemplo mediante certificaciones</t>
  </si>
  <si>
    <t>5.20
5.31</t>
  </si>
  <si>
    <t>R320</t>
  </si>
  <si>
    <t>Como proveedor de servicios en la nube, no se informa a los clientes de la jurisdiccion legal que gobierna la prestacion del servicio y no se dispone de evidencias de cumplimiento regulatorio</t>
  </si>
  <si>
    <t>A.18.1.1
(as provider)</t>
  </si>
  <si>
    <t>5.31
5.34</t>
  </si>
  <si>
    <t>R321</t>
  </si>
  <si>
    <t>Como proveedor de servicios en la nube, no se proporcionan medidas que permiten cumplir la normativa de protección de datos de la jurisdiccion del cliente</t>
  </si>
  <si>
    <t>A.18.1.1
(as provider)
A.18.1.4</t>
  </si>
  <si>
    <t>R323</t>
  </si>
  <si>
    <t>Como proveedor de servicios en la nube, no se dispone de procedimientos relacionados con reclamaciones de propiedad intelectual o en las condiciones de servicio no se establecen los elementos de propiedad intelectual protegidos</t>
  </si>
  <si>
    <t>Violacion de la propiedad intelectual de la organización por parte de los clientes</t>
  </si>
  <si>
    <t>Uso indebido de los activos de propiedad intelectual de la organización</t>
  </si>
  <si>
    <t>SP-Soluciones tecnológicas
SW-Soluciones  para clientes</t>
  </si>
  <si>
    <t>A.18.1.2
(as provider)</t>
  </si>
  <si>
    <t>5.32</t>
  </si>
  <si>
    <t>A.18. Compliance</t>
  </si>
  <si>
    <t>R324</t>
  </si>
  <si>
    <t xml:space="preserve">Como cliente de servicios en la nube no se dispone de garantias por parte del proveedor de la conservación de los registros relevantes para el uso de los servicios. </t>
  </si>
  <si>
    <t>Disputa entre las partes que requiera la presentacion de registros con validez legal</t>
  </si>
  <si>
    <t>A.18.1.3
(as customer)</t>
  </si>
  <si>
    <t>5.23
5.33</t>
  </si>
  <si>
    <t>R325</t>
  </si>
  <si>
    <t xml:space="preserve">Como proveedor de servicios en la nube no se proporcionan garantias a los clientes de la conservación de los registros relevantes para el uso de los servicios. </t>
  </si>
  <si>
    <t>A.18.1.3
(as provider)</t>
  </si>
  <si>
    <t>R326</t>
  </si>
  <si>
    <t xml:space="preserve">Como proveedor de servicios en la nube, no se proporciona información a los clientes para que puedan verificar el cumplimiento de las restricciones legales o regulatorias en el uso, importación y exportación de complentes sw o hw con controles criptográficos. </t>
  </si>
  <si>
    <t>Incumplimiento de obligaciones legales o regulatorias por parte de los clientes.</t>
  </si>
  <si>
    <t>Demandas a la organización
Pérdida de clientes
Pago de indemnizaciones
Pérdidas de reputación.</t>
  </si>
  <si>
    <t>SP-Soluciones tecnológicas
K-Claves criptográficas</t>
  </si>
  <si>
    <t>A.18.1.5
(as provider)</t>
  </si>
  <si>
    <t>R327</t>
  </si>
  <si>
    <t xml:space="preserve">Como cliente de servicios en la nube, no se dispone de garantias o evidencias documentadas que fundamenten que la implementación de los controles de seguridad de la información para el servicio en la nube está en línea con los propios requisitos.  </t>
  </si>
  <si>
    <t>Brechas de seguridad en los servicios de los proveedores en la nube</t>
  </si>
  <si>
    <t>A.18.2.1
(as customer)</t>
  </si>
  <si>
    <t>OP.PL.3</t>
  </si>
  <si>
    <t>CRITERIOS DE VALORACIÓN Y ACEPTACIÓN DE RIESGOS</t>
  </si>
  <si>
    <t>VALORACIÓN DE IMPACTO</t>
  </si>
  <si>
    <t>Insignificante (1)</t>
  </si>
  <si>
    <t>Leve (2)</t>
  </si>
  <si>
    <t>Moderado (3)</t>
  </si>
  <si>
    <t>Grave (4)</t>
  </si>
  <si>
    <t>Extremo (5)</t>
  </si>
  <si>
    <t>Impacto operacional</t>
  </si>
  <si>
    <t>Impacto operativo mínimo, si es que lo hay.</t>
  </si>
  <si>
    <t>Impacto significativo pero limitado en el rendimiento de las operaciones.</t>
  </si>
  <si>
    <t>Impacto sustancial en el rendimiento de las operaciones.</t>
  </si>
  <si>
    <t>Impacto grave y pérdida de capacidad operativa.</t>
  </si>
  <si>
    <t xml:space="preserve">Fallo operativo completo. </t>
  </si>
  <si>
    <t>Sin consecuencias en el rendimiento de los procesos.</t>
  </si>
  <si>
    <t>Soluciones alternativas disponibles.</t>
  </si>
  <si>
    <t>Todavía son posibles la replanificación de las operaciones o la realización de ajustes en los procesos</t>
  </si>
  <si>
    <t>No se pueden mantener posibles soluciones alternativas o replanificar operaciones</t>
  </si>
  <si>
    <t>Hace inviables las operaciones del negocio.</t>
  </si>
  <si>
    <t>Se requieren ajustes menores en el proceso o en el plan de operaciones.</t>
  </si>
  <si>
    <t>Pérdidas económicas</t>
  </si>
  <si>
    <t>Coste nulo o insignificante o pérdidas económicas</t>
  </si>
  <si>
    <t>Pérdidas significativas de costos o económicas que pueden ser cubiertas por la organización.</t>
  </si>
  <si>
    <t>Pérdidas económicas o de costos significativos que podrían llevar a la suspensión de proyectos o inversiones significativas.</t>
  </si>
  <si>
    <t>Provoca grandes pérdidas económicas o de coste que afectan a las operaciones a corto plazo de la empresa.</t>
  </si>
  <si>
    <t>Provoca grandes pérdidas económicas que comprometen la continuidad del negocio.</t>
  </si>
  <si>
    <t>(por ejemplo, no superior al 1% del presupuesto anual)</t>
  </si>
  <si>
    <t>(por ejemplo, no superior al 5% del presupuesto anual)</t>
  </si>
  <si>
    <t>(por ejemplo, no superior al 10% del presupuesto anual)</t>
  </si>
  <si>
    <t>(por ejemplo, más del 20% del presupuesto anual)</t>
  </si>
  <si>
    <t>Perjuicio a los usuarios</t>
  </si>
  <si>
    <t>Los usuarios ni siquiera son conscientes de ello</t>
  </si>
  <si>
    <t>Los usuarios lo aprecian, pero no afecta a su trabajo</t>
  </si>
  <si>
    <t>Dificulta el trabajo de los usuarios. Todavía pueden trabajar, pero con restricciones significativas</t>
  </si>
  <si>
    <t>Los usuarios apenas pueden trabajar o pueden trabajar con restricciones severas</t>
  </si>
  <si>
    <t>Los usuarios no pueden trabajar en absoluto.</t>
  </si>
  <si>
    <t>Perjuicio a las personas</t>
  </si>
  <si>
    <t>No supone ningún perjuicio directo a las personas</t>
  </si>
  <si>
    <t>Algún perjuicio, aunque irrelevante y no causa un daño real significativo</t>
  </si>
  <si>
    <t>Algún perjuicio que puede suponer un daño relevante, aunque no grave.</t>
  </si>
  <si>
    <t>Daño grave, aunque subsanable</t>
  </si>
  <si>
    <t>Grave daño, de difícil o imposible reparación.</t>
  </si>
  <si>
    <t>Degradación CIDAT (confidencialidad, integridad, disponibilidad, autenticidad y trazabilidad)</t>
  </si>
  <si>
    <t>No hay degradación en la CIDAT de los activos de información.</t>
  </si>
  <si>
    <t>Degradación insignificante en la CIDAT de los activos de información.</t>
  </si>
  <si>
    <t>La CIDAT de los activos de información pueden verse degradadas significativamente.</t>
  </si>
  <si>
    <t>La CIDAT de la información pueden verse gravemente degradadas.</t>
  </si>
  <si>
    <t>La CIDAT los activos de información crítica pueden verse gravemente degradadas.</t>
  </si>
  <si>
    <t>Brechas de datos personales</t>
  </si>
  <si>
    <t>No hay impacto en los datos personales</t>
  </si>
  <si>
    <t>Existe cierto impacto en los datos personales, pero sin afectación real a los derechos y libertades de los interesados.</t>
  </si>
  <si>
    <t>Existe un riesgo no despreciable para los derechos y libertades de los interesados. Es necesaria la notificación de una violación de datos personales a la autoridad de control.</t>
  </si>
  <si>
    <t xml:space="preserve">Existe un alto riesgo para los derechos y libertades de los interesados. Es necesaria la notificación de una violación de datos personales también a los interesados. </t>
  </si>
  <si>
    <t>Existe un riesgo muy alto para los derechos y libertades de los interesados.</t>
  </si>
  <si>
    <t>Infracciones consideradas como leves según la normativa de protección de datos.</t>
  </si>
  <si>
    <t>Infracciones consideradas como graves según la normativa de protección de datos.</t>
  </si>
  <si>
    <t>Infracciones consideradas como muy graves según la normativa de protección de datos.</t>
  </si>
  <si>
    <t>Pueden producirse infracciones consideradas como muy graves según la normativa de protección de datos y las sanciones más severas.</t>
  </si>
  <si>
    <t>VALORACIÓN DE LA PROBABILIDAD</t>
  </si>
  <si>
    <t>Raro (1)</t>
  </si>
  <si>
    <t>Improbable (2)</t>
  </si>
  <si>
    <t xml:space="preserve"> Posible (3)</t>
  </si>
  <si>
    <t>Probable (4)</t>
  </si>
  <si>
    <t>(casi) seguro (5)</t>
  </si>
  <si>
    <t>Certeza</t>
  </si>
  <si>
    <t>Aunque son concebible, probablemente nunca experimentaremos incidentes de esta naturaleza</t>
  </si>
  <si>
    <t>Los incidentes de esta naturaleza son raros, pero existe una posibilidad real de que los experimentemos en algún momento en el futuro</t>
  </si>
  <si>
    <t>Es perfectamente posible que experimentemos incidentes de esta naturaleza.</t>
  </si>
  <si>
    <t>Es probable que tarde o temprano experimentemos incidentes de esta naturaleza</t>
  </si>
  <si>
    <t>Estamos destinados a experimentar incidentes de esta naturaleza. De hecho, ¡probablemente estén sucediendo ahora mismo!</t>
  </si>
  <si>
    <t>Frecuencia</t>
  </si>
  <si>
    <t>Tan improbable, que se puede suponer que no se experimentará una ocurrencia.</t>
  </si>
  <si>
    <t>Es poco frecuente pero posible que ocurra en la vida de un activo.</t>
  </si>
  <si>
    <t>Es probable que ocurra en algún momento de la vida de un activo.</t>
  </si>
  <si>
    <t>Ocurrirá varias veces en la vida útil de un activo.</t>
  </si>
  <si>
    <t>Es probable que ocurra a menudo en la vida de un activo.</t>
  </si>
  <si>
    <t>Impacto</t>
  </si>
  <si>
    <t>Extremo</t>
  </si>
  <si>
    <t>Grave</t>
  </si>
  <si>
    <t>Moderado</t>
  </si>
  <si>
    <t>Menor</t>
  </si>
  <si>
    <t>Insignificante</t>
  </si>
  <si>
    <t>Probabilidad</t>
  </si>
  <si>
    <t>(casi) Seguro</t>
  </si>
  <si>
    <t>Muy probable</t>
  </si>
  <si>
    <t>Posible</t>
  </si>
  <si>
    <t>Improbable</t>
  </si>
  <si>
    <t>Raro</t>
  </si>
  <si>
    <t>VALOR NR</t>
  </si>
  <si>
    <t>VALORACIÓN</t>
  </si>
  <si>
    <t>DECISIÓN</t>
  </si>
  <si>
    <t>1 a 7</t>
  </si>
  <si>
    <t>Riesgo Aceptable</t>
  </si>
  <si>
    <t>Aceptar el riesgo</t>
  </si>
  <si>
    <t>Se puede determinar que el riesgo no es aceptable y planificar acciones de tratamiento si así lo decide el Responsable de Seguridad de la Información, teniendo en cuenta el alineamiento de la acción con los objetivos estratégicos del negocio.</t>
  </si>
  <si>
    <t>8 a 9</t>
  </si>
  <si>
    <t>Riesgo moderado</t>
  </si>
  <si>
    <t>Acción opcional
Preferiblemente se debe mitigar el riesgo o, en caso contrario, mantener los activos bajo una estricta vigilancia</t>
  </si>
  <si>
    <t>En este caso, la decisión debe ser aceptada por el Responsable de Seguridad de la Información. Factores a tener en cuenta pueden ser: el coste de mitigación, la probabilidad de que el riesgo se agrave en el futuro, la facilidad de detección precoz, la perdurabilidad de la amenaza, ...</t>
  </si>
  <si>
    <t>≥ 10</t>
  </si>
  <si>
    <t xml:space="preserve">Riesgo alto
</t>
  </si>
  <si>
    <t>Mitigar el riesgo</t>
  </si>
  <si>
    <t>En general, se considera esencial tomar medidas para mitigar el riesgo.
Excepcionalmente, a pesar de superar el valor umbral, el Responsable de Seguridad de la Información puede decidir aceptar el riesgo y no planificar medidas para su tratamiento, considerando el equilibrio entre oportunidades y riesgos y su alineación con los objetivos estratégicos del negocio.
Los factores a considerar pueden ser: el costo de la mitigación, la probabilidad de que el riesgo se agrave en el futuro, la persistencia de la amenaza en el tiempo y la relación costo-beneficio.
En caso de que no se planifiquen medidas de mitigación, se requiere una vigilancia rigurosa para anticipar un mayor aumento del riesgo y responder a cualquier incidente de manera oportuna.</t>
  </si>
  <si>
    <t>TRATAMIENTO</t>
  </si>
  <si>
    <t>EFICACIA</t>
  </si>
  <si>
    <t>Catastrófico</t>
  </si>
  <si>
    <t>SI</t>
  </si>
  <si>
    <t>NO</t>
  </si>
  <si>
    <t>ELIMINAR</t>
  </si>
  <si>
    <t>INSUFICIENTE</t>
  </si>
  <si>
    <t>TRANSFERIR</t>
  </si>
  <si>
    <t>Prioridad</t>
  </si>
  <si>
    <t>ALTA</t>
  </si>
  <si>
    <t>MEDIA</t>
  </si>
  <si>
    <t>BAJA</t>
  </si>
  <si>
    <t>Amenazas</t>
  </si>
  <si>
    <t>Vulnerabilidades</t>
  </si>
  <si>
    <t>Aplicaciones en condiciones vulnerables</t>
  </si>
  <si>
    <t>Access to the network by unauthorized persons</t>
  </si>
  <si>
    <t>Complicated user interface</t>
  </si>
  <si>
    <t>Sistemas operativos, vulnerables y sin actualizaciones</t>
  </si>
  <si>
    <t>Bomb attack</t>
  </si>
  <si>
    <t>Default passwords not changed</t>
  </si>
  <si>
    <t>Diseñar aplicaciones inapropiadas, incompletas, con bugs y errores recurrentes</t>
  </si>
  <si>
    <t>Bomb threat</t>
  </si>
  <si>
    <t>Disposal of storage media without deleting data</t>
  </si>
  <si>
    <t>Tecnologías obsoletas</t>
  </si>
  <si>
    <t>Breach of contractual relations</t>
  </si>
  <si>
    <t>Equipment sensitivity to changes in voltage</t>
  </si>
  <si>
    <t>Mal rendimiento de la infraestructura IT</t>
  </si>
  <si>
    <t>Breach of legislation</t>
  </si>
  <si>
    <t>Equipment sensitivity to moisture and contaminants</t>
  </si>
  <si>
    <t>fallos  de  la  infraestructura  auxiliar</t>
  </si>
  <si>
    <t>Compromising confidential information</t>
  </si>
  <si>
    <t>Equipment sensitivity to temperature</t>
  </si>
  <si>
    <t>fallos de los sistemas informáticos y de comunicaciones</t>
  </si>
  <si>
    <t>Concealing user identity</t>
  </si>
  <si>
    <t>Inadequate cabling security</t>
  </si>
  <si>
    <t>errores humanos accidentales o deliberados de las personas que interactúan con la información</t>
  </si>
  <si>
    <t>Damage caused by a third party</t>
  </si>
  <si>
    <t>Inadequate capacity management</t>
  </si>
  <si>
    <t>información comprometida por robo de  equipos</t>
  </si>
  <si>
    <t>Damages resulting from penetration testing</t>
  </si>
  <si>
    <t>Inadequate change management</t>
  </si>
  <si>
    <t>personal sin la formación adecuada, ausente o sin supervisión</t>
  </si>
  <si>
    <t>Destruction of records</t>
  </si>
  <si>
    <t>Inadequate classification of information</t>
  </si>
  <si>
    <t>Disaster (human caused)</t>
  </si>
  <si>
    <t>Inadequate control of physical access</t>
  </si>
  <si>
    <t>Disaster (natural)</t>
  </si>
  <si>
    <t>Inadequate maintenance</t>
  </si>
  <si>
    <t>Disclosure of information</t>
  </si>
  <si>
    <t>Inadequate network management</t>
  </si>
  <si>
    <t>Disclosure of passwords</t>
  </si>
  <si>
    <t>Inadequate or irregular backup</t>
  </si>
  <si>
    <t>Eavesdropping</t>
  </si>
  <si>
    <t>Inadequate password management</t>
  </si>
  <si>
    <t>Embezzlement</t>
  </si>
  <si>
    <t>Inadequate physical protection</t>
  </si>
  <si>
    <t>Errors in maintenance</t>
  </si>
  <si>
    <t>Inadequate protection of cryptographic keys</t>
  </si>
  <si>
    <t>Failure of communication links</t>
  </si>
  <si>
    <t>Inadequate replacement of older equipment</t>
  </si>
  <si>
    <t>Falsification of records</t>
  </si>
  <si>
    <t>Inadequate security awareness</t>
  </si>
  <si>
    <t>Fire</t>
  </si>
  <si>
    <t>Inadequate segregation of duties</t>
  </si>
  <si>
    <t>Flood</t>
  </si>
  <si>
    <t>Inadequate segregation of operational and testing facilities</t>
  </si>
  <si>
    <t>Fraud</t>
  </si>
  <si>
    <t>Inadequate supervision of employees</t>
  </si>
  <si>
    <t>Industrial espionage</t>
  </si>
  <si>
    <t>Inadequate supervision of vendors</t>
  </si>
  <si>
    <t>Information leakage</t>
  </si>
  <si>
    <t>Inadequate training of employees</t>
  </si>
  <si>
    <t>Interruption of business processes</t>
  </si>
  <si>
    <t>Incomplete specification for software development</t>
  </si>
  <si>
    <t>Loss of electricity</t>
  </si>
  <si>
    <t>Insufficient software testing</t>
  </si>
  <si>
    <t>Loss of support services</t>
  </si>
  <si>
    <t>Lack of access control policy</t>
  </si>
  <si>
    <t>Malfunction of equipment</t>
  </si>
  <si>
    <t>Lack of clean desk and clear screen policy</t>
  </si>
  <si>
    <t>Malicious code</t>
  </si>
  <si>
    <t>Lack of control over the input and output data</t>
  </si>
  <si>
    <t>Misuse of information systems</t>
  </si>
  <si>
    <t>Lack of internal documentation</t>
  </si>
  <si>
    <t>Misuse of audit tools</t>
  </si>
  <si>
    <t>Lack of or poor implementation of internal audit</t>
  </si>
  <si>
    <t>Pollution</t>
  </si>
  <si>
    <t>Lack of policy for the use of cryptography</t>
  </si>
  <si>
    <t>Social engineering</t>
  </si>
  <si>
    <t>Lack of procedure for removing access rights upon termination of employment</t>
  </si>
  <si>
    <t>Software errors</t>
  </si>
  <si>
    <t>Lack of protection for mobile equipment</t>
  </si>
  <si>
    <t>Strike</t>
  </si>
  <si>
    <t>Lack of redundancy</t>
  </si>
  <si>
    <t>Terrorist attacks</t>
  </si>
  <si>
    <t>Lack of systems for identification and authentication</t>
  </si>
  <si>
    <t>Theft</t>
  </si>
  <si>
    <t>Lack of validation of the processed data</t>
  </si>
  <si>
    <t>Thunderstroke</t>
  </si>
  <si>
    <t>Location vulnerable to flooding</t>
  </si>
  <si>
    <t>Unintentional change of data in an information system</t>
  </si>
  <si>
    <t>Poor selection of test data</t>
  </si>
  <si>
    <t>Unauthorized access to the information system</t>
  </si>
  <si>
    <t>Single copy</t>
  </si>
  <si>
    <t>Unauthorized changes of records</t>
  </si>
  <si>
    <t>Too much power in one person</t>
  </si>
  <si>
    <t>Unauthorized installation of software</t>
  </si>
  <si>
    <t>Uncontrolled copying of data</t>
  </si>
  <si>
    <t>Unauthorized physical access</t>
  </si>
  <si>
    <t>Uncontrolled download from the Internet</t>
  </si>
  <si>
    <t>Unauthorized use of copyright material</t>
  </si>
  <si>
    <t>Uncontrolled use of information systems</t>
  </si>
  <si>
    <t>Unauthorized use of software</t>
  </si>
  <si>
    <t>Undocumented software</t>
  </si>
  <si>
    <t>User error</t>
  </si>
  <si>
    <t>Unmotivated employees</t>
  </si>
  <si>
    <t>Vandalism</t>
  </si>
  <si>
    <t>Unprotected public network connections</t>
  </si>
  <si>
    <t>User rights are not reviewed regularly</t>
  </si>
  <si>
    <t>Riesgos</t>
  </si>
  <si>
    <t>origen</t>
  </si>
  <si>
    <t>acció</t>
  </si>
  <si>
    <t>Us ilegitimo de software</t>
  </si>
  <si>
    <t>falta de politica uso medios informáticos</t>
  </si>
  <si>
    <t>Controlar permisos PC</t>
  </si>
  <si>
    <t>falta de controles sobre software instalado</t>
  </si>
  <si>
    <t xml:space="preserve">Control de tràfic d'aplicacions a la xarxa </t>
  </si>
  <si>
    <t>Cintas de backup no tienen control</t>
  </si>
  <si>
    <t>no existe registro de entrada y salida, trazabilidad</t>
  </si>
  <si>
    <t>Cifrado de cintas de backup. Definición procedimiento de entrada salida soportes</t>
  </si>
  <si>
    <t>Implantación de herramientas de supervisión automática Azure Monitor</t>
  </si>
  <si>
    <t>Establecer un proceso de volcado periódico del código fuente en un equipo local</t>
  </si>
  <si>
    <t>1FTE</t>
  </si>
  <si>
    <t>Establecer y documentar un sistema de copias de seguridad basado en Azure Backup</t>
  </si>
  <si>
    <t>Licencias Azure Backup
0,5 FTE</t>
  </si>
  <si>
    <t>SP-Servicios de informática interna
LOC-1 Puestos de teletrabajo
D-Datos</t>
  </si>
  <si>
    <t>5 FTE</t>
  </si>
  <si>
    <t>Tratamiento del Riesgo
Salvaguardas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</si>
</sst>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yyyy\-mm\-dd;@"/>
  </numFmts>
  <fonts count="5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2"/>
      <color rgb="FFFFFFFF"/>
      <name val="Imago"/>
    </font>
    <font>
      <sz val="11"/>
      <color rgb="FF000000"/>
      <name val="Minion"/>
    </font>
    <font>
      <sz val="10"/>
      <color theme="1"/>
      <name val="Arial"/>
      <family val="2"/>
    </font>
    <font>
      <sz val="11"/>
      <color rgb="FF000000"/>
      <name val="Arial"/>
      <family val="2"/>
    </font>
    <font>
      <b/>
      <sz val="12"/>
      <color rgb="FFFFFFFF"/>
      <name val="Arial"/>
      <family val="2"/>
    </font>
    <font>
      <sz val="11"/>
      <color theme="1"/>
      <name val="Trebuchet MS"/>
      <family val="2"/>
    </font>
    <font>
      <b/>
      <sz val="10"/>
      <color theme="1"/>
      <name val="Arial"/>
      <family val="2"/>
    </font>
    <font>
      <sz val="10"/>
      <color theme="1"/>
      <name val="Calibri"/>
      <family val="2"/>
    </font>
    <font>
      <sz val="10"/>
      <color rgb="FF000000"/>
      <name val="Arial"/>
      <family val="2"/>
    </font>
    <font>
      <sz val="11"/>
      <color rgb="FF000000"/>
      <name val="Calibri"/>
      <family val="2"/>
    </font>
    <font>
      <sz val="11"/>
      <name val="Calibri"/>
      <family val="2"/>
    </font>
    <font>
      <b/>
      <sz val="11"/>
      <color rgb="FFFF0000"/>
      <name val="Calibri"/>
      <family val="2"/>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sz val="10"/>
      <name val="Calibri"/>
      <family val="2"/>
      <scheme val="minor"/>
    </font>
    <font>
      <sz val="10"/>
      <color rgb="FF000000"/>
      <name val="Calibri"/>
      <family val="2"/>
      <scheme val="minor"/>
    </font>
    <font>
      <sz val="11"/>
      <name val="Calibri"/>
      <family val="2"/>
      <scheme val="minor"/>
    </font>
    <font>
      <b/>
      <sz val="11"/>
      <name val="Calibri"/>
      <family val="2"/>
      <scheme val="minor"/>
    </font>
    <font>
      <b/>
      <sz val="16"/>
      <color theme="1"/>
      <name val="Calibri"/>
      <family val="2"/>
      <scheme val="minor"/>
    </font>
    <font>
      <b/>
      <sz val="18"/>
      <name val="Calibri"/>
      <family val="2"/>
      <scheme val="minor"/>
    </font>
    <font>
      <b/>
      <sz val="16"/>
      <color rgb="FFFFFFFF"/>
      <name val="Calibri"/>
      <family val="2"/>
      <scheme val="minor"/>
    </font>
    <font>
      <sz val="11"/>
      <color rgb="FF000000"/>
      <name val="Calibri"/>
      <family val="2"/>
      <scheme val="minor"/>
    </font>
    <font>
      <sz val="11"/>
      <color rgb="FFFFFFFF"/>
      <name val="Calibri"/>
      <family val="2"/>
      <scheme val="minor"/>
    </font>
    <font>
      <b/>
      <sz val="11"/>
      <color rgb="FF000000"/>
      <name val="Calibri"/>
      <family val="2"/>
      <scheme val="minor"/>
    </font>
    <font>
      <sz val="11"/>
      <color rgb="FF85200C"/>
      <name val="Calibri"/>
      <family val="2"/>
      <scheme val="minor"/>
    </font>
    <font>
      <sz val="8"/>
      <name val="Arial"/>
      <family val="2"/>
    </font>
    <font>
      <b/>
      <sz val="10"/>
      <color theme="1"/>
      <name val="Calibri"/>
      <family val="2"/>
    </font>
    <font>
      <b/>
      <sz val="16"/>
      <color theme="0"/>
      <name val="Calibri"/>
      <family val="2"/>
      <scheme val="minor"/>
    </font>
    <font>
      <sz val="11"/>
      <color theme="0" tint="-0.249977111117893"/>
      <name val="Calibri"/>
      <family val="2"/>
      <scheme val="minor"/>
    </font>
    <font>
      <b/>
      <sz val="12"/>
      <color rgb="FF000000"/>
      <name val="Calibri"/>
      <family val="2"/>
    </font>
    <font>
      <b/>
      <sz val="14"/>
      <color rgb="FFFFFFFF"/>
      <name val="Calibri"/>
      <family val="2"/>
    </font>
    <font>
      <sz val="11"/>
      <name val="Arial"/>
      <family val="2"/>
    </font>
    <font>
      <sz val="11"/>
      <color theme="0" tint="-0.34998626667073579"/>
      <name val="Calibri"/>
      <family val="2"/>
      <scheme val="minor"/>
    </font>
    <font>
      <b/>
      <sz val="9"/>
      <color rgb="FF000000"/>
      <name val="Segoe UI"/>
      <family val="2"/>
    </font>
    <font>
      <sz val="9"/>
      <color rgb="FF000000"/>
      <name val="Segoe UI"/>
      <family val="2"/>
    </font>
    <font>
      <sz val="10"/>
      <color rgb="FF000000"/>
      <name val="Arial"/>
      <family val="2"/>
    </font>
    <font>
      <u/>
      <sz val="10"/>
      <color theme="10"/>
      <name val="Arial"/>
      <family val="2"/>
    </font>
    <font>
      <b/>
      <sz val="11"/>
      <color rgb="FFFFFFFF"/>
      <name val="Trebuchet MS"/>
      <family val="2"/>
    </font>
    <font>
      <sz val="10"/>
      <name val="Calibri"/>
      <family val="2"/>
    </font>
    <font>
      <b/>
      <sz val="11"/>
      <color theme="0"/>
      <name val="Segoe UI"/>
      <family val="2"/>
    </font>
    <font>
      <b/>
      <sz val="9"/>
      <color theme="0"/>
      <name val="Segoe UI"/>
      <family val="2"/>
    </font>
    <font>
      <b/>
      <sz val="10"/>
      <color rgb="FFFFFFFF"/>
      <name val="Arial"/>
      <family val="2"/>
    </font>
    <font>
      <b/>
      <sz val="11"/>
      <name val="Trebuchet MS"/>
      <family val="2"/>
    </font>
  </fonts>
  <fills count="26">
    <fill>
      <patternFill patternType="none"/>
    </fill>
    <fill>
      <patternFill patternType="gray125"/>
    </fill>
    <fill>
      <patternFill patternType="solid">
        <fgColor rgb="FF8DB3E2"/>
        <bgColor rgb="FF8DB3E2"/>
      </patternFill>
    </fill>
    <fill>
      <patternFill patternType="solid">
        <fgColor rgb="FFC2D69B"/>
        <bgColor rgb="FFC2D69B"/>
      </patternFill>
    </fill>
    <fill>
      <patternFill patternType="solid">
        <fgColor theme="0"/>
        <bgColor theme="0"/>
      </patternFill>
    </fill>
    <fill>
      <patternFill patternType="solid">
        <fgColor rgb="FFD8D8D8"/>
        <bgColor rgb="FFD8D8D8"/>
      </patternFill>
    </fill>
    <fill>
      <patternFill patternType="solid">
        <fgColor rgb="FFFABF8F"/>
        <bgColor rgb="FFFABF8F"/>
      </patternFill>
    </fill>
    <fill>
      <patternFill patternType="solid">
        <fgColor rgb="FFFF5050"/>
        <bgColor rgb="FFFF5050"/>
      </patternFill>
    </fill>
    <fill>
      <patternFill patternType="solid">
        <fgColor rgb="FFFFFF00"/>
        <bgColor rgb="FFFFFF00"/>
      </patternFill>
    </fill>
    <fill>
      <patternFill patternType="solid">
        <fgColor theme="0"/>
        <bgColor rgb="FF9900FF"/>
      </patternFill>
    </fill>
    <fill>
      <patternFill patternType="solid">
        <fgColor theme="0" tint="-0.14999847407452621"/>
        <bgColor rgb="FFF9CB9C"/>
      </patternFill>
    </fill>
    <fill>
      <patternFill patternType="solid">
        <fgColor theme="0"/>
        <bgColor indexed="64"/>
      </patternFill>
    </fill>
    <fill>
      <patternFill patternType="solid">
        <fgColor theme="0" tint="-0.499984740745262"/>
        <bgColor rgb="FFE69138"/>
      </patternFill>
    </fill>
    <fill>
      <patternFill patternType="solid">
        <fgColor theme="0" tint="-0.499984740745262"/>
        <bgColor indexed="64"/>
      </patternFill>
    </fill>
    <fill>
      <patternFill patternType="solid">
        <fgColor theme="0" tint="-0.249977111117893"/>
        <bgColor rgb="FFF9CB9C"/>
      </patternFill>
    </fill>
    <fill>
      <patternFill patternType="solid">
        <fgColor rgb="FFACB9CA"/>
        <bgColor rgb="FF8DB3E2"/>
      </patternFill>
    </fill>
    <fill>
      <patternFill patternType="solid">
        <fgColor rgb="FF5A6F8C"/>
        <bgColor indexed="64"/>
      </patternFill>
    </fill>
    <fill>
      <patternFill patternType="solid">
        <fgColor theme="4" tint="-0.249977111117893"/>
        <bgColor indexed="64"/>
      </patternFill>
    </fill>
    <fill>
      <patternFill patternType="solid">
        <fgColor rgb="FF974806"/>
        <bgColor indexed="64"/>
      </patternFill>
    </fill>
    <fill>
      <patternFill patternType="solid">
        <fgColor rgb="FFDEEAF6"/>
        <bgColor indexed="64"/>
      </patternFill>
    </fill>
    <fill>
      <patternFill patternType="solid">
        <fgColor theme="4" tint="-0.249977111117893"/>
        <bgColor rgb="FF8DB3E2"/>
      </patternFill>
    </fill>
    <fill>
      <patternFill patternType="solid">
        <fgColor rgb="FF974806"/>
        <bgColor rgb="FF974806"/>
      </patternFill>
    </fill>
    <fill>
      <patternFill patternType="solid">
        <fgColor rgb="FF009639"/>
        <bgColor rgb="FF009639"/>
      </patternFill>
    </fill>
    <fill>
      <patternFill patternType="solid">
        <fgColor rgb="FFF1FDF9"/>
        <bgColor rgb="FF8DB3E2"/>
      </patternFill>
    </fill>
    <fill>
      <patternFill patternType="solid">
        <fgColor rgb="FF0D9A76"/>
        <bgColor rgb="FF8DB3E2"/>
      </patternFill>
    </fill>
    <fill>
      <patternFill patternType="solid">
        <fgColor rgb="FF0D9A76"/>
        <bgColor indexed="64"/>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theme="3" tint="0.14996795556505021"/>
      </left>
      <right/>
      <top style="thin">
        <color rgb="FF000000"/>
      </top>
      <bottom style="thin">
        <color rgb="FF000000"/>
      </bottom>
      <diagonal/>
    </border>
    <border>
      <left/>
      <right style="thick">
        <color theme="3" tint="0.14996795556505021"/>
      </right>
      <top style="thin">
        <color rgb="FF000000"/>
      </top>
      <bottom style="thin">
        <color rgb="FF000000"/>
      </bottom>
      <diagonal/>
    </border>
    <border>
      <left style="thick">
        <color theme="3" tint="0.14996795556505021"/>
      </left>
      <right style="thin">
        <color rgb="FF000000"/>
      </right>
      <top style="thin">
        <color rgb="FF000000"/>
      </top>
      <bottom/>
      <diagonal/>
    </border>
    <border>
      <left style="thin">
        <color rgb="FF000000"/>
      </left>
      <right style="thick">
        <color theme="3" tint="0.14996795556505021"/>
      </right>
      <top style="thin">
        <color rgb="FF000000"/>
      </top>
      <bottom/>
      <diagonal/>
    </border>
    <border>
      <left style="thick">
        <color theme="3" tint="0.14996795556505021"/>
      </left>
      <right style="thin">
        <color rgb="FF000000"/>
      </right>
      <top style="thin">
        <color rgb="FF000000"/>
      </top>
      <bottom style="thin">
        <color rgb="FF000000"/>
      </bottom>
      <diagonal/>
    </border>
    <border>
      <left style="thin">
        <color rgb="FF000000"/>
      </left>
      <right style="thick">
        <color theme="3" tint="0.14996795556505021"/>
      </right>
      <top style="thin">
        <color rgb="FF000000"/>
      </top>
      <bottom style="thin">
        <color rgb="FF000000"/>
      </bottom>
      <diagonal/>
    </border>
    <border>
      <left/>
      <right style="thick">
        <color theme="3" tint="0.14993743705557422"/>
      </right>
      <top style="thin">
        <color rgb="FF000000"/>
      </top>
      <bottom style="thin">
        <color rgb="FF000000"/>
      </bottom>
      <diagonal/>
    </border>
    <border>
      <left style="thin">
        <color rgb="FF000000"/>
      </left>
      <right style="thick">
        <color theme="3" tint="0.14993743705557422"/>
      </right>
      <top style="thin">
        <color rgb="FF000000"/>
      </top>
      <bottom/>
      <diagonal/>
    </border>
    <border>
      <left style="thin">
        <color rgb="FF000000"/>
      </left>
      <right style="thick">
        <color theme="3" tint="0.14993743705557422"/>
      </right>
      <top style="thin">
        <color rgb="FF000000"/>
      </top>
      <bottom style="thin">
        <color rgb="FF000000"/>
      </bottom>
      <diagonal/>
    </border>
    <border>
      <left style="thick">
        <color theme="3" tint="0.14993743705557422"/>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theme="3" tint="0.14993743705557422"/>
      </left>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thin">
        <color rgb="FF000000"/>
      </left>
      <right style="thick">
        <color rgb="FF000000"/>
      </right>
      <top style="thin">
        <color rgb="FF000000"/>
      </top>
      <bottom/>
      <diagonal/>
    </border>
  </borders>
  <cellStyleXfs count="21">
    <xf numFmtId="0" fontId="0" fillId="0" borderId="0"/>
    <xf numFmtId="0" fontId="15" fillId="0" borderId="9"/>
    <xf numFmtId="0" fontId="14" fillId="0" borderId="9"/>
    <xf numFmtId="0" fontId="43" fillId="0" borderId="9"/>
    <xf numFmtId="0" fontId="43" fillId="0" borderId="9"/>
    <xf numFmtId="0" fontId="44" fillId="0" borderId="9" applyNumberFormat="0" applyFill="0" applyBorder="0" applyAlignment="0" applyProtection="0"/>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43" fillId="0" borderId="9"/>
    <xf numFmtId="0" fontId="23" fillId="0" borderId="9"/>
  </cellStyleXfs>
  <cellXfs count="176">
    <xf numFmtId="0" fontId="0" fillId="0" borderId="0" xfId="0"/>
    <xf numFmtId="0" fontId="6" fillId="2"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8" fillId="0" borderId="4" xfId="0" applyFont="1" applyBorder="1"/>
    <xf numFmtId="0" fontId="7" fillId="0" borderId="0" xfId="0" applyFont="1"/>
    <xf numFmtId="0" fontId="5" fillId="3" borderId="4" xfId="0" applyFont="1" applyFill="1" applyBorder="1" applyAlignment="1">
      <alignment horizontal="center" vertical="center"/>
    </xf>
    <xf numFmtId="0" fontId="9" fillId="0" borderId="0" xfId="0" applyFont="1"/>
    <xf numFmtId="0" fontId="12" fillId="8" borderId="9" xfId="0" applyFont="1" applyFill="1" applyBorder="1"/>
    <xf numFmtId="0" fontId="8" fillId="8" borderId="9" xfId="0" applyFont="1" applyFill="1" applyBorder="1"/>
    <xf numFmtId="0" fontId="8" fillId="8" borderId="4" xfId="0" applyFont="1" applyFill="1" applyBorder="1"/>
    <xf numFmtId="0" fontId="13" fillId="0" borderId="0" xfId="0" applyFont="1"/>
    <xf numFmtId="0" fontId="8" fillId="0" borderId="0" xfId="0" applyFont="1"/>
    <xf numFmtId="0" fontId="8" fillId="5" borderId="4" xfId="0" applyFont="1" applyFill="1" applyBorder="1"/>
    <xf numFmtId="0" fontId="8" fillId="7" borderId="4" xfId="0" applyFont="1" applyFill="1" applyBorder="1"/>
    <xf numFmtId="0" fontId="8" fillId="3" borderId="4" xfId="0" applyFont="1" applyFill="1" applyBorder="1"/>
    <xf numFmtId="0" fontId="8" fillId="6" borderId="4" xfId="0" applyFont="1" applyFill="1" applyBorder="1"/>
    <xf numFmtId="0" fontId="12" fillId="0" borderId="0" xfId="0" applyFont="1"/>
    <xf numFmtId="0" fontId="11" fillId="0" borderId="4" xfId="0" applyFont="1" applyBorder="1" applyAlignment="1">
      <alignment horizontal="center" vertical="center" wrapText="1"/>
    </xf>
    <xf numFmtId="0" fontId="8" fillId="0" borderId="0" xfId="0" applyFont="1" applyAlignment="1">
      <alignment wrapText="1"/>
    </xf>
    <xf numFmtId="0" fontId="15" fillId="0" borderId="9" xfId="1"/>
    <xf numFmtId="0" fontId="15" fillId="0" borderId="9" xfId="1" applyAlignment="1">
      <alignment horizontal="center"/>
    </xf>
    <xf numFmtId="0" fontId="15" fillId="0" borderId="9" xfId="1" applyAlignment="1">
      <alignment vertical="center"/>
    </xf>
    <xf numFmtId="14" fontId="15" fillId="0" borderId="12" xfId="1" applyNumberFormat="1" applyBorder="1" applyAlignment="1">
      <alignment vertical="center" wrapText="1"/>
    </xf>
    <xf numFmtId="0" fontId="15" fillId="0" borderId="12" xfId="1" applyBorder="1" applyAlignment="1">
      <alignment vertical="center" wrapText="1"/>
    </xf>
    <xf numFmtId="164" fontId="15" fillId="0" borderId="12" xfId="1" applyNumberFormat="1" applyBorder="1" applyAlignment="1">
      <alignment vertical="center" wrapText="1"/>
    </xf>
    <xf numFmtId="0" fontId="23" fillId="0" borderId="0" xfId="0" applyFont="1"/>
    <xf numFmtId="0" fontId="30" fillId="0" borderId="0" xfId="0" applyFont="1" applyAlignment="1">
      <alignment horizontal="center"/>
    </xf>
    <xf numFmtId="0" fontId="29" fillId="0" borderId="0" xfId="0" applyFont="1"/>
    <xf numFmtId="0" fontId="21"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24" xfId="0" applyFont="1" applyBorder="1" applyAlignment="1">
      <alignment horizontal="left" vertical="center" wrapText="1"/>
    </xf>
    <xf numFmtId="0" fontId="29" fillId="0" borderId="4" xfId="0" quotePrefix="1" applyFont="1" applyBorder="1" applyAlignment="1">
      <alignment horizontal="center" vertical="center" wrapText="1"/>
    </xf>
    <xf numFmtId="0" fontId="34" fillId="0" borderId="0" xfId="0" applyFont="1"/>
    <xf numFmtId="0" fontId="29" fillId="0" borderId="13" xfId="0" applyFont="1" applyBorder="1" applyAlignment="1">
      <alignment horizontal="center" vertical="center" wrapText="1"/>
    </xf>
    <xf numFmtId="0" fontId="24" fillId="0" borderId="30" xfId="0" applyFont="1" applyBorder="1" applyAlignment="1">
      <alignment horizontal="center" vertical="center"/>
    </xf>
    <xf numFmtId="0" fontId="24" fillId="0" borderId="12"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12" xfId="0" applyFont="1" applyBorder="1" applyAlignment="1">
      <alignment horizontal="center" vertical="center"/>
    </xf>
    <xf numFmtId="0" fontId="24" fillId="0" borderId="31" xfId="0" applyFont="1" applyBorder="1" applyAlignment="1">
      <alignment horizontal="center" vertical="center" wrapText="1"/>
    </xf>
    <xf numFmtId="0" fontId="24" fillId="11" borderId="12" xfId="0" applyFont="1" applyFill="1" applyBorder="1" applyAlignment="1">
      <alignment horizontal="center" vertical="center"/>
    </xf>
    <xf numFmtId="0" fontId="24" fillId="0" borderId="32" xfId="0" applyFont="1" applyBorder="1" applyAlignment="1">
      <alignment horizontal="center" vertical="center" wrapText="1"/>
    </xf>
    <xf numFmtId="0" fontId="23" fillId="0" borderId="0" xfId="0" applyFont="1" applyAlignment="1">
      <alignment horizontal="left"/>
    </xf>
    <xf numFmtId="0" fontId="27" fillId="0" borderId="6" xfId="0" applyFont="1" applyBorder="1" applyAlignment="1">
      <alignment horizontal="center" vertical="center"/>
    </xf>
    <xf numFmtId="0" fontId="37" fillId="10" borderId="33" xfId="2" applyFont="1" applyFill="1" applyBorder="1" applyAlignment="1">
      <alignment vertical="center" wrapText="1"/>
    </xf>
    <xf numFmtId="0" fontId="37" fillId="14" borderId="33" xfId="2" applyFont="1" applyFill="1" applyBorder="1" applyAlignment="1">
      <alignment horizontal="center" vertical="center" wrapText="1"/>
    </xf>
    <xf numFmtId="0" fontId="25" fillId="15" borderId="7" xfId="0" applyFont="1" applyFill="1" applyBorder="1" applyAlignment="1">
      <alignment horizontal="center" vertical="center" wrapText="1"/>
    </xf>
    <xf numFmtId="165" fontId="29" fillId="0" borderId="4" xfId="0" applyNumberFormat="1" applyFont="1" applyBorder="1" applyAlignment="1">
      <alignment horizontal="center" vertical="center" wrapText="1"/>
    </xf>
    <xf numFmtId="0" fontId="29" fillId="0" borderId="5" xfId="0" applyFont="1" applyBorder="1" applyAlignment="1">
      <alignment horizontal="left" vertical="center" wrapText="1"/>
    </xf>
    <xf numFmtId="0" fontId="27" fillId="0" borderId="11" xfId="0" applyFont="1" applyBorder="1" applyAlignment="1">
      <alignment horizontal="center" vertical="center"/>
    </xf>
    <xf numFmtId="0" fontId="40" fillId="0" borderId="19" xfId="0" applyFont="1" applyBorder="1" applyAlignment="1">
      <alignment horizontal="center" vertical="center" wrapText="1"/>
    </xf>
    <xf numFmtId="0" fontId="15" fillId="0" borderId="12" xfId="1" applyBorder="1" applyAlignment="1">
      <alignment vertical="center"/>
    </xf>
    <xf numFmtId="0" fontId="44" fillId="0" borderId="5" xfId="5" applyBorder="1" applyAlignment="1">
      <alignment horizontal="center" vertical="center" wrapText="1"/>
    </xf>
    <xf numFmtId="0" fontId="15" fillId="0" borderId="12" xfId="1" applyBorder="1"/>
    <xf numFmtId="0" fontId="11" fillId="0" borderId="9" xfId="20" applyFont="1"/>
    <xf numFmtId="0" fontId="23" fillId="0" borderId="9" xfId="20"/>
    <xf numFmtId="0" fontId="22" fillId="0" borderId="9" xfId="20" applyFont="1"/>
    <xf numFmtId="0" fontId="42" fillId="0" borderId="37" xfId="20" applyFont="1" applyBorder="1" applyAlignment="1">
      <alignment vertical="center" wrapText="1"/>
    </xf>
    <xf numFmtId="0" fontId="48" fillId="18" borderId="38" xfId="20" applyFont="1" applyFill="1" applyBorder="1" applyAlignment="1">
      <alignment horizontal="center" vertical="center" wrapText="1"/>
    </xf>
    <xf numFmtId="0" fontId="42" fillId="0" borderId="40" xfId="20" applyFont="1" applyBorder="1" applyAlignment="1">
      <alignment vertical="center" wrapText="1"/>
    </xf>
    <xf numFmtId="0" fontId="41" fillId="19" borderId="37" xfId="20" applyFont="1" applyFill="1" applyBorder="1" applyAlignment="1">
      <alignment vertical="center" wrapText="1"/>
    </xf>
    <xf numFmtId="0" fontId="23" fillId="0" borderId="38" xfId="20" applyBorder="1" applyAlignment="1">
      <alignment vertical="top" wrapText="1"/>
    </xf>
    <xf numFmtId="0" fontId="42" fillId="0" borderId="38" xfId="20" applyFont="1" applyBorder="1" applyAlignment="1">
      <alignment vertical="center" wrapText="1"/>
    </xf>
    <xf numFmtId="0" fontId="22" fillId="0" borderId="9" xfId="20" applyFont="1" applyAlignment="1">
      <alignment horizontal="center"/>
    </xf>
    <xf numFmtId="0" fontId="42" fillId="0" borderId="37" xfId="20" applyFont="1" applyBorder="1" applyAlignment="1">
      <alignment horizontal="justify" vertical="center" wrapText="1"/>
    </xf>
    <xf numFmtId="0" fontId="41" fillId="19" borderId="37" xfId="20" applyFont="1" applyFill="1" applyBorder="1" applyAlignment="1">
      <alignment horizontal="justify" vertical="center" wrapText="1"/>
    </xf>
    <xf numFmtId="0" fontId="11" fillId="0" borderId="9" xfId="20" applyFont="1" applyAlignment="1">
      <alignment horizontal="center"/>
    </xf>
    <xf numFmtId="0" fontId="49" fillId="21" borderId="4" xfId="20" applyFont="1" applyFill="1" applyBorder="1" applyAlignment="1">
      <alignment horizontal="center" vertical="center"/>
    </xf>
    <xf numFmtId="0" fontId="12" fillId="5" borderId="4" xfId="20" applyFont="1" applyFill="1" applyBorder="1" applyAlignment="1">
      <alignment horizontal="center" vertical="center"/>
    </xf>
    <xf numFmtId="0" fontId="49" fillId="21" borderId="4" xfId="20" applyFont="1" applyFill="1" applyBorder="1" applyAlignment="1">
      <alignment horizontal="left" vertical="center"/>
    </xf>
    <xf numFmtId="0" fontId="8" fillId="3" borderId="4" xfId="20" applyFont="1" applyFill="1" applyBorder="1" applyAlignment="1">
      <alignment horizontal="center" vertical="center"/>
    </xf>
    <xf numFmtId="0" fontId="45" fillId="22" borderId="4" xfId="20" applyFont="1" applyFill="1" applyBorder="1" applyAlignment="1">
      <alignment horizontal="center" vertical="center" wrapText="1"/>
    </xf>
    <xf numFmtId="49" fontId="3" fillId="3" borderId="4" xfId="20" applyNumberFormat="1" applyFont="1" applyFill="1" applyBorder="1" applyAlignment="1">
      <alignment horizontal="center" vertical="center"/>
    </xf>
    <xf numFmtId="0" fontId="3" fillId="3" borderId="4" xfId="20" applyFont="1" applyFill="1" applyBorder="1" applyAlignment="1">
      <alignment horizontal="center" vertical="center"/>
    </xf>
    <xf numFmtId="49" fontId="3" fillId="6" borderId="4" xfId="20" applyNumberFormat="1" applyFont="1" applyFill="1" applyBorder="1" applyAlignment="1">
      <alignment horizontal="center" vertical="center"/>
    </xf>
    <xf numFmtId="0" fontId="3" fillId="6" borderId="4" xfId="20" applyFont="1" applyFill="1" applyBorder="1" applyAlignment="1">
      <alignment horizontal="center" vertical="center" wrapText="1"/>
    </xf>
    <xf numFmtId="49" fontId="3" fillId="7" borderId="4" xfId="20" applyNumberFormat="1" applyFont="1" applyFill="1" applyBorder="1" applyAlignment="1">
      <alignment horizontal="center" vertical="center"/>
    </xf>
    <xf numFmtId="0" fontId="3" fillId="7" borderId="4" xfId="2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24" xfId="0" applyFont="1" applyBorder="1" applyAlignment="1">
      <alignment horizontal="center" vertical="center" wrapText="1"/>
    </xf>
    <xf numFmtId="165" fontId="3" fillId="0" borderId="4" xfId="0" applyNumberFormat="1" applyFont="1" applyBorder="1" applyAlignment="1">
      <alignment horizontal="center" vertical="center" wrapText="1"/>
    </xf>
    <xf numFmtId="0" fontId="3" fillId="0" borderId="4" xfId="0" quotePrefix="1" applyFont="1" applyBorder="1" applyAlignment="1">
      <alignment horizontal="center" vertical="center" wrapText="1"/>
    </xf>
    <xf numFmtId="0" fontId="29" fillId="0" borderId="25" xfId="0" applyFont="1" applyBorder="1" applyAlignment="1">
      <alignment horizontal="center" vertical="center" wrapText="1"/>
    </xf>
    <xf numFmtId="0" fontId="25" fillId="23" borderId="7" xfId="0" applyFont="1" applyFill="1" applyBorder="1" applyAlignment="1">
      <alignment horizontal="center" vertical="center" wrapText="1"/>
    </xf>
    <xf numFmtId="0" fontId="25" fillId="23" borderId="42" xfId="0" applyFont="1" applyFill="1" applyBorder="1" applyAlignment="1">
      <alignment horizontal="center" vertical="center" wrapText="1"/>
    </xf>
    <xf numFmtId="0" fontId="25" fillId="23" borderId="29" xfId="0" applyFont="1" applyFill="1" applyBorder="1" applyAlignment="1">
      <alignment horizontal="center" vertical="center" wrapText="1"/>
    </xf>
    <xf numFmtId="0" fontId="25" fillId="23" borderId="1" xfId="0" applyFont="1" applyFill="1" applyBorder="1" applyAlignment="1">
      <alignment horizontal="center" vertical="center" wrapText="1"/>
    </xf>
    <xf numFmtId="0" fontId="25" fillId="23" borderId="18" xfId="0" applyFont="1" applyFill="1" applyBorder="1" applyAlignment="1">
      <alignment horizontal="center" vertical="center" wrapText="1"/>
    </xf>
    <xf numFmtId="0" fontId="25" fillId="23" borderId="17" xfId="0" applyFont="1" applyFill="1" applyBorder="1" applyAlignment="1">
      <alignment horizontal="center" vertical="center" wrapText="1"/>
    </xf>
    <xf numFmtId="0" fontId="25" fillId="23" borderId="22" xfId="0" applyFont="1" applyFill="1" applyBorder="1" applyAlignment="1">
      <alignment horizontal="center" vertical="center" wrapText="1"/>
    </xf>
    <xf numFmtId="0" fontId="25" fillId="23" borderId="3" xfId="0" applyFont="1" applyFill="1" applyBorder="1" applyAlignment="1">
      <alignment horizontal="center" vertical="center" wrapText="1"/>
    </xf>
    <xf numFmtId="0" fontId="25" fillId="23" borderId="8" xfId="0" applyFont="1" applyFill="1" applyBorder="1" applyAlignment="1">
      <alignment horizontal="center" vertical="center" wrapText="1"/>
    </xf>
    <xf numFmtId="0" fontId="25" fillId="23" borderId="27" xfId="0" applyFont="1" applyFill="1" applyBorder="1" applyAlignment="1">
      <alignment horizontal="center" vertical="center" wrapText="1"/>
    </xf>
    <xf numFmtId="0" fontId="25" fillId="23" borderId="25" xfId="0" applyFont="1" applyFill="1" applyBorder="1" applyAlignment="1">
      <alignment horizontal="center" vertical="center"/>
    </xf>
    <xf numFmtId="0" fontId="3" fillId="0" borderId="0" xfId="0" applyFont="1"/>
    <xf numFmtId="0" fontId="3" fillId="0" borderId="2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3" fillId="3" borderId="4" xfId="0" applyFont="1" applyFill="1" applyBorder="1" applyAlignment="1">
      <alignment horizontal="center" vertical="center"/>
    </xf>
    <xf numFmtId="0" fontId="3" fillId="0" borderId="2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left" vertical="center" wrapText="1"/>
    </xf>
    <xf numFmtId="0" fontId="3" fillId="0" borderId="28" xfId="0" applyFont="1" applyBorder="1" applyAlignment="1">
      <alignment horizontal="center" vertical="center" wrapText="1"/>
    </xf>
    <xf numFmtId="14" fontId="3" fillId="0" borderId="4" xfId="0" applyNumberFormat="1" applyFont="1" applyBorder="1" applyAlignment="1">
      <alignment horizontal="center" vertical="center" wrapText="1"/>
    </xf>
    <xf numFmtId="0" fontId="3" fillId="0" borderId="4" xfId="3" applyFont="1" applyBorder="1" applyAlignment="1">
      <alignment horizontal="center" vertical="center" wrapText="1"/>
    </xf>
    <xf numFmtId="0" fontId="3" fillId="0" borderId="9" xfId="0" applyFont="1" applyBorder="1" applyAlignment="1">
      <alignment horizontal="center" vertical="center" wrapText="1"/>
    </xf>
    <xf numFmtId="17" fontId="3" fillId="0" borderId="4" xfId="0" applyNumberFormat="1" applyFont="1" applyBorder="1" applyAlignment="1">
      <alignment horizontal="center" vertical="center" wrapText="1"/>
    </xf>
    <xf numFmtId="0" fontId="3" fillId="0" borderId="4" xfId="0" applyFont="1" applyBorder="1" applyAlignment="1">
      <alignment horizontal="center" vertical="center"/>
    </xf>
    <xf numFmtId="0" fontId="3" fillId="0" borderId="12" xfId="0" applyFont="1" applyBorder="1" applyAlignment="1">
      <alignment horizontal="center" vertical="center" wrapText="1"/>
    </xf>
    <xf numFmtId="0" fontId="3" fillId="9" borderId="4"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4" xfId="0" applyFont="1" applyFill="1" applyBorder="1" applyAlignment="1">
      <alignment horizontal="center" vertical="center"/>
    </xf>
    <xf numFmtId="0" fontId="3" fillId="9" borderId="23" xfId="0" applyFont="1" applyFill="1" applyBorder="1" applyAlignment="1">
      <alignment horizontal="center" vertical="center" wrapText="1"/>
    </xf>
    <xf numFmtId="0" fontId="3" fillId="9" borderId="24" xfId="0" applyFont="1" applyFill="1" applyBorder="1" applyAlignment="1">
      <alignment horizontal="center" vertical="center" wrapText="1"/>
    </xf>
    <xf numFmtId="0" fontId="3" fillId="9" borderId="5" xfId="0" applyFont="1" applyFill="1" applyBorder="1" applyAlignment="1">
      <alignment horizontal="center" vertical="center" wrapText="1"/>
    </xf>
    <xf numFmtId="165" fontId="3" fillId="9" borderId="4" xfId="0" applyNumberFormat="1" applyFont="1" applyFill="1" applyBorder="1" applyAlignment="1">
      <alignment horizontal="center" vertical="center" wrapText="1"/>
    </xf>
    <xf numFmtId="0" fontId="3" fillId="9" borderId="8" xfId="0" applyFont="1" applyFill="1" applyBorder="1" applyAlignment="1">
      <alignment horizontal="left" vertical="center" wrapText="1"/>
    </xf>
    <xf numFmtId="14" fontId="3" fillId="4" borderId="4"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24" xfId="0" applyFont="1" applyBorder="1" applyAlignment="1">
      <alignment horizontal="center" vertical="center" wrapText="1"/>
    </xf>
    <xf numFmtId="165" fontId="2" fillId="0" borderId="4" xfId="0" applyNumberFormat="1" applyFont="1" applyBorder="1" applyAlignment="1">
      <alignment horizontal="center" vertical="center" wrapText="1"/>
    </xf>
    <xf numFmtId="0" fontId="15" fillId="0" borderId="12" xfId="1" applyBorder="1" applyAlignment="1">
      <alignment horizontal="left" vertical="center" wrapText="1"/>
    </xf>
    <xf numFmtId="0" fontId="16" fillId="0" borderId="12" xfId="1" applyFont="1" applyBorder="1"/>
    <xf numFmtId="0" fontId="38" fillId="12" borderId="33" xfId="2" applyFont="1" applyFill="1" applyBorder="1" applyAlignment="1">
      <alignment horizontal="center" vertical="center" wrapText="1"/>
    </xf>
    <xf numFmtId="0" fontId="39" fillId="13" borderId="33" xfId="2" applyFont="1" applyFill="1" applyBorder="1"/>
    <xf numFmtId="0" fontId="15" fillId="0" borderId="9" xfId="1" applyAlignment="1">
      <alignment horizontal="center"/>
    </xf>
    <xf numFmtId="14" fontId="15" fillId="0" borderId="12" xfId="1" applyNumberFormat="1" applyBorder="1" applyAlignment="1">
      <alignment horizontal="left" vertical="center" wrapText="1"/>
    </xf>
    <xf numFmtId="164" fontId="15" fillId="0" borderId="12" xfId="1" applyNumberFormat="1" applyBorder="1" applyAlignment="1">
      <alignment horizontal="left" vertical="center" wrapText="1"/>
    </xf>
    <xf numFmtId="0" fontId="17" fillId="0" borderId="12" xfId="1" applyFont="1" applyBorder="1" applyAlignment="1">
      <alignment horizontal="left" vertical="center" wrapText="1"/>
    </xf>
    <xf numFmtId="0" fontId="6" fillId="2" borderId="8" xfId="0" applyFont="1" applyFill="1" applyBorder="1" applyAlignment="1">
      <alignment horizontal="center" vertical="center" wrapText="1"/>
    </xf>
    <xf numFmtId="0" fontId="4" fillId="0" borderId="6" xfId="0" applyFont="1" applyBorder="1"/>
    <xf numFmtId="0" fontId="26" fillId="0" borderId="2" xfId="0" applyFont="1" applyBorder="1" applyAlignment="1">
      <alignment vertical="center"/>
    </xf>
    <xf numFmtId="0" fontId="26" fillId="0" borderId="11" xfId="0" applyFont="1" applyBorder="1" applyAlignment="1">
      <alignment vertical="center"/>
    </xf>
    <xf numFmtId="0" fontId="28" fillId="24" borderId="15" xfId="0" applyFont="1" applyFill="1" applyBorder="1" applyAlignment="1">
      <alignment horizontal="center" vertical="center" wrapText="1"/>
    </xf>
    <xf numFmtId="0" fontId="22" fillId="25" borderId="6" xfId="0" applyFont="1" applyFill="1" applyBorder="1"/>
    <xf numFmtId="0" fontId="22" fillId="25" borderId="21" xfId="0" applyFont="1" applyFill="1" applyBorder="1"/>
    <xf numFmtId="0" fontId="28" fillId="24" borderId="26" xfId="0" applyFont="1" applyFill="1" applyBorder="1" applyAlignment="1">
      <alignment horizontal="center" vertical="center" wrapText="1"/>
    </xf>
    <xf numFmtId="0" fontId="28" fillId="24" borderId="6" xfId="0" applyFont="1" applyFill="1" applyBorder="1" applyAlignment="1">
      <alignment horizontal="center" vertical="center" wrapText="1"/>
    </xf>
    <xf numFmtId="0" fontId="28" fillId="24" borderId="13" xfId="0" applyFont="1" applyFill="1" applyBorder="1" applyAlignment="1">
      <alignment horizontal="center" vertical="center" wrapText="1"/>
    </xf>
    <xf numFmtId="0" fontId="22" fillId="16" borderId="6" xfId="0" applyFont="1" applyFill="1" applyBorder="1"/>
    <xf numFmtId="0" fontId="22" fillId="16" borderId="14" xfId="0" applyFont="1" applyFill="1" applyBorder="1"/>
    <xf numFmtId="0" fontId="28" fillId="24" borderId="8" xfId="0" applyFont="1" applyFill="1" applyBorder="1" applyAlignment="1">
      <alignment horizontal="center" vertical="center" wrapText="1"/>
    </xf>
    <xf numFmtId="0" fontId="28" fillId="24" borderId="14" xfId="0" applyFont="1" applyFill="1" applyBorder="1" applyAlignment="1">
      <alignment horizontal="center" vertical="center" wrapText="1"/>
    </xf>
    <xf numFmtId="0" fontId="27" fillId="0" borderId="6" xfId="0" applyFont="1" applyBorder="1" applyAlignment="1">
      <alignment horizontal="center" vertical="center"/>
    </xf>
    <xf numFmtId="0" fontId="27" fillId="0" borderId="6" xfId="0" applyFont="1" applyBorder="1" applyAlignment="1">
      <alignment horizontal="left" vertical="center"/>
    </xf>
    <xf numFmtId="0" fontId="35" fillId="25" borderId="13" xfId="0" applyFont="1" applyFill="1" applyBorder="1" applyAlignment="1">
      <alignment horizontal="center" vertical="center" wrapText="1"/>
    </xf>
    <xf numFmtId="0" fontId="35" fillId="25" borderId="6" xfId="0" applyFont="1" applyFill="1" applyBorder="1" applyAlignment="1">
      <alignment horizontal="center" vertical="center" wrapText="1"/>
    </xf>
    <xf numFmtId="0" fontId="35" fillId="25" borderId="16" xfId="0" applyFont="1" applyFill="1" applyBorder="1" applyAlignment="1">
      <alignment horizontal="center" vertical="center" wrapText="1"/>
    </xf>
    <xf numFmtId="0" fontId="28" fillId="24" borderId="16" xfId="0" applyFont="1" applyFill="1" applyBorder="1" applyAlignment="1">
      <alignment horizontal="center" vertical="center" wrapText="1"/>
    </xf>
    <xf numFmtId="0" fontId="22" fillId="0" borderId="6" xfId="20" applyFont="1" applyBorder="1" applyAlignment="1">
      <alignment horizontal="left" vertical="center" wrapText="1"/>
    </xf>
    <xf numFmtId="0" fontId="22" fillId="0" borderId="6" xfId="20" applyFont="1" applyBorder="1"/>
    <xf numFmtId="0" fontId="22" fillId="0" borderId="5" xfId="20" applyFont="1" applyBorder="1"/>
    <xf numFmtId="0" fontId="50" fillId="0" borderId="8" xfId="20" applyFont="1" applyBorder="1" applyAlignment="1">
      <alignment horizontal="center" vertical="center"/>
    </xf>
    <xf numFmtId="0" fontId="46" fillId="0" borderId="6" xfId="20" applyFont="1" applyBorder="1"/>
    <xf numFmtId="0" fontId="46" fillId="0" borderId="5" xfId="20" applyFont="1" applyBorder="1"/>
    <xf numFmtId="0" fontId="47" fillId="17" borderId="34" xfId="20" applyFont="1" applyFill="1" applyBorder="1" applyAlignment="1">
      <alignment horizontal="center" vertical="center" wrapText="1"/>
    </xf>
    <xf numFmtId="0" fontId="47" fillId="17" borderId="35" xfId="20" applyFont="1" applyFill="1" applyBorder="1" applyAlignment="1">
      <alignment horizontal="center" vertical="center" wrapText="1"/>
    </xf>
    <xf numFmtId="0" fontId="47" fillId="17" borderId="36" xfId="20" applyFont="1" applyFill="1" applyBorder="1" applyAlignment="1">
      <alignment horizontal="center" vertical="center" wrapText="1"/>
    </xf>
    <xf numFmtId="0" fontId="41" fillId="19" borderId="39" xfId="20" applyFont="1" applyFill="1" applyBorder="1" applyAlignment="1">
      <alignment vertical="center" wrapText="1"/>
    </xf>
    <xf numFmtId="0" fontId="41" fillId="19" borderId="41" xfId="20" applyFont="1" applyFill="1" applyBorder="1" applyAlignment="1">
      <alignment vertical="center" wrapText="1"/>
    </xf>
    <xf numFmtId="0" fontId="41" fillId="19" borderId="37" xfId="20" applyFont="1" applyFill="1" applyBorder="1" applyAlignment="1">
      <alignment vertical="center" wrapText="1"/>
    </xf>
    <xf numFmtId="0" fontId="42" fillId="0" borderId="39" xfId="20" applyFont="1" applyBorder="1" applyAlignment="1">
      <alignment vertical="center" wrapText="1"/>
    </xf>
    <xf numFmtId="0" fontId="42" fillId="0" borderId="37" xfId="20" applyFont="1" applyBorder="1" applyAlignment="1">
      <alignment vertical="center" wrapText="1"/>
    </xf>
    <xf numFmtId="0" fontId="10" fillId="20" borderId="8" xfId="20" applyFont="1" applyFill="1" applyBorder="1" applyAlignment="1">
      <alignment horizontal="center" vertical="center"/>
    </xf>
    <xf numFmtId="0" fontId="46" fillId="17" borderId="6" xfId="20" applyFont="1" applyFill="1" applyBorder="1"/>
    <xf numFmtId="0" fontId="46" fillId="17" borderId="5" xfId="20" applyFont="1" applyFill="1" applyBorder="1"/>
    <xf numFmtId="0" fontId="12" fillId="8" borderId="10" xfId="0" applyFont="1" applyFill="1" applyBorder="1" applyAlignment="1">
      <alignment horizontal="center"/>
    </xf>
    <xf numFmtId="0" fontId="4" fillId="0" borderId="11" xfId="0" applyFont="1" applyBorder="1"/>
    <xf numFmtId="0" fontId="12" fillId="8" borderId="8" xfId="0" applyFont="1" applyFill="1" applyBorder="1" applyAlignment="1">
      <alignment horizontal="center"/>
    </xf>
    <xf numFmtId="0" fontId="4" fillId="0" borderId="5" xfId="0" applyFont="1" applyBorder="1"/>
    <xf numFmtId="0" fontId="1" fillId="0" borderId="4" xfId="0" applyFont="1" applyBorder="1" applyAlignment="1">
      <alignment horizontal="center" vertical="center" wrapText="1"/>
    </xf>
  </cellXfs>
  <cellStyles count="21">
    <cellStyle name="Enllaç" xfId="5" builtinId="8"/>
    <cellStyle name="Normal" xfId="0" builtinId="0"/>
    <cellStyle name="Normal 10" xfId="10" xr:uid="{29319066-7086-407F-9E43-0CAFF9CF2D36}"/>
    <cellStyle name="Normal 11" xfId="11" xr:uid="{455F9C02-4E77-4CCD-8F57-5FD3252074B7}"/>
    <cellStyle name="Normal 12" xfId="12" xr:uid="{ADEE4C9C-C7E9-41F6-8D61-7F4AC73950D9}"/>
    <cellStyle name="Normal 13" xfId="13" xr:uid="{1590F74E-8043-40FB-8D82-9B85B9C2E032}"/>
    <cellStyle name="Normal 14" xfId="14" xr:uid="{ADD670A4-D938-47ED-B310-C351958786B4}"/>
    <cellStyle name="Normal 15" xfId="15" xr:uid="{1D4646DD-E7D3-4C45-91C3-1DD7D13ACF7F}"/>
    <cellStyle name="Normal 16" xfId="16" xr:uid="{8331A9BB-6B93-47ED-976E-69EE5EC8A893}"/>
    <cellStyle name="Normal 17" xfId="17" xr:uid="{41E353F8-194D-475D-BCB7-2EAE691D0F9C}"/>
    <cellStyle name="Normal 18" xfId="18" xr:uid="{23330463-E129-4248-8FAC-861498DF1213}"/>
    <cellStyle name="Normal 19" xfId="19" xr:uid="{A0682318-6D7D-480C-A9B4-4C8BA9EBF9F5}"/>
    <cellStyle name="Normal 2" xfId="1" xr:uid="{CFE04692-B6C2-475E-BAE4-0A941E9AAC8F}"/>
    <cellStyle name="Normal 2 2" xfId="20" xr:uid="{E33CF30B-C2AF-4DA6-B0B8-0C66D86B5863}"/>
    <cellStyle name="Normal 3" xfId="2" xr:uid="{2EEECA49-731D-4CEC-8BD2-820E5E6DD826}"/>
    <cellStyle name="Normal 4" xfId="3" xr:uid="{A301E05C-DC0B-4DDA-AE74-3BBF3F6EE065}"/>
    <cellStyle name="Normal 5" xfId="4" xr:uid="{2D3B6B2E-1B7E-4CBA-9743-3AD459B5F3DF}"/>
    <cellStyle name="Normal 6" xfId="6" xr:uid="{E461EFF6-4706-4D05-9786-6A40D12821AE}"/>
    <cellStyle name="Normal 7" xfId="7" xr:uid="{A95BCC97-9B48-4965-91DE-6151961D32A5}"/>
    <cellStyle name="Normal 8" xfId="8" xr:uid="{F4B4D22F-A806-4CFD-930D-5EE556A88D40}"/>
    <cellStyle name="Normal 9" xfId="9" xr:uid="{C03B8EAC-69B0-42B4-9CB3-42F434B0457A}"/>
  </cellStyles>
  <dxfs count="9">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s>
  <tableStyles count="0" defaultTableStyle="TableStyleMedium2" defaultPivotStyle="PivotStyleLight16"/>
  <colors>
    <mruColors>
      <color rgb="FF0D9A76"/>
      <color rgb="FFF1FDF9"/>
      <color rgb="FF5A6F8C"/>
      <color rgb="FFACB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85725</xdr:rowOff>
    </xdr:from>
    <xdr:to>
      <xdr:col>2</xdr:col>
      <xdr:colOff>361878</xdr:colOff>
      <xdr:row>0</xdr:row>
      <xdr:rowOff>637964</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FEEA53C3-2D53-4DE1-9661-6B386997B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85725"/>
          <a:ext cx="1609653" cy="5522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133774</xdr:colOff>
      <xdr:row>0</xdr:row>
      <xdr:rowOff>173143</xdr:rowOff>
    </xdr:from>
    <xdr:to>
      <xdr:col>2</xdr:col>
      <xdr:colOff>891751</xdr:colOff>
      <xdr:row>0</xdr:row>
      <xdr:rowOff>704427</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E5E4EDC2-75DB-4D4A-B303-D40D911D9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774" y="173143"/>
          <a:ext cx="1497964" cy="540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87630</xdr:colOff>
      <xdr:row>0</xdr:row>
      <xdr:rowOff>38100</xdr:rowOff>
    </xdr:from>
    <xdr:to>
      <xdr:col>0</xdr:col>
      <xdr:colOff>1581150</xdr:colOff>
      <xdr:row>0</xdr:row>
      <xdr:rowOff>594149</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5AE86BB4-F7F6-4D19-891B-8773A4BFA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 y="38100"/>
          <a:ext cx="1493520" cy="556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gecal.sharepoint.com/sites/GD_SI/Proyectos/RCH-ROCHE%20DIAGNOSTICS/BAIXATS%20DEL%20SIG/obsolets2024/SIG-24-FR-02%20Tabla%20de%20apreciaci&#243;n%20y%20valoraci&#243;n%20de%20riesgos%20Seg.%20Inf.%202024%20&amp;%202025_17092024.xlsx" TargetMode="External"/><Relationship Id="rId1" Type="http://schemas.openxmlformats.org/officeDocument/2006/relationships/externalLinkPath" Target="https://ingecal.sharepoint.com/sites/GD_SI/Proyectos/RCH-ROCHE%20DIAGNOSTICS/BAIXATS%20DEL%20SIG/obsolets2024/SIG-24-FR-02%20Tabla%20de%20apreciaci&#243;n%20y%20valoraci&#243;n%20de%20riesgos%20Seg.%20Inf.%202024%20&amp;%202025_1709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NUMINTEC/WIP/2023/IMP-039%20Tabla%20de%20Apreciaci&#243;n%20y%20Valoraci&#243;n%20de%20Riesgos.xlsx" TargetMode="External"/><Relationship Id="rId1" Type="http://schemas.openxmlformats.org/officeDocument/2006/relationships/externalLinkPath" Target="file:///C:\Users\tonir\AppData\Local\Microsoft\Windows\INetCache\Content.Outlook\CHB2ZYGJ\IMP-039%20Tabla%20de%20Apreciaci&#243;n%20y%20Valoraci&#243;n%20de%20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 de Firmas "/>
      <sheetName val="Identificación riesgos (2024)"/>
      <sheetName val="Identificación riesgos (2023)"/>
      <sheetName val="Identificación riesgos (2022)"/>
      <sheetName val="Identificación riesgos (2021)"/>
      <sheetName val="Oportunidades SGSI"/>
      <sheetName val="Criterios NR"/>
      <sheetName val="Listas"/>
      <sheetName val="Lista sugerencia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Apreciación riesgos 2023"/>
      <sheetName val="Apreciación riesgos 2022"/>
      <sheetName val="Apreciación riesgos 2021"/>
      <sheetName val="Apreciación riesgos 2019"/>
      <sheetName val="Aceptación riesgos"/>
      <sheetName val="Apreciación riesgos 2020"/>
      <sheetName val="Apreciación riesgos 2018"/>
      <sheetName val="Criterios NPR"/>
      <sheetName val="Listas"/>
      <sheetName val="Lista sugerenci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96DA-5706-4BAE-975B-FDBE4986E877}">
  <dimension ref="A1:D992"/>
  <sheetViews>
    <sheetView workbookViewId="0">
      <selection activeCell="G6" sqref="G6"/>
    </sheetView>
  </sheetViews>
  <sheetFormatPr defaultColWidth="14.33203125" defaultRowHeight="15" customHeight="1"/>
  <cols>
    <col min="1" max="1" width="4.33203125" style="19" customWidth="1"/>
    <col min="2" max="2" width="16.33203125" style="19" customWidth="1"/>
    <col min="3" max="3" width="20.33203125" style="19" customWidth="1"/>
    <col min="4" max="4" width="43.33203125" style="19" customWidth="1"/>
    <col min="5" max="26" width="10.6640625" style="19" customWidth="1"/>
    <col min="27" max="16384" width="14.33203125" style="19"/>
  </cols>
  <sheetData>
    <row r="1" spans="1:4" ht="57.45" customHeight="1">
      <c r="A1" s="130"/>
      <c r="B1" s="130"/>
      <c r="C1" s="130"/>
      <c r="D1" s="130"/>
    </row>
    <row r="2" spans="1:4" ht="20.25" customHeight="1">
      <c r="B2" s="47" t="s">
        <v>0</v>
      </c>
      <c r="C2" s="126" t="s">
        <v>1</v>
      </c>
      <c r="D2" s="127"/>
    </row>
    <row r="3" spans="1:4" ht="20.25" customHeight="1">
      <c r="B3" s="47" t="s">
        <v>2</v>
      </c>
      <c r="C3" s="131">
        <v>45394</v>
      </c>
      <c r="D3" s="127"/>
    </row>
    <row r="4" spans="1:4" ht="31.2" customHeight="1">
      <c r="B4" s="47" t="s">
        <v>3</v>
      </c>
      <c r="C4" s="126" t="s">
        <v>4</v>
      </c>
      <c r="D4" s="127"/>
    </row>
    <row r="5" spans="1:4" ht="20.25" customHeight="1">
      <c r="B5" s="47" t="s">
        <v>5</v>
      </c>
      <c r="C5" s="132" t="s">
        <v>6</v>
      </c>
      <c r="D5" s="127"/>
    </row>
    <row r="6" spans="1:4" ht="20.25" customHeight="1">
      <c r="B6" s="47" t="s">
        <v>7</v>
      </c>
      <c r="C6" s="133" t="s">
        <v>8</v>
      </c>
      <c r="D6" s="127"/>
    </row>
    <row r="7" spans="1:4" ht="46.2" customHeight="1">
      <c r="A7" s="20"/>
      <c r="B7" s="47" t="s">
        <v>9</v>
      </c>
      <c r="C7" s="126" t="s">
        <v>10</v>
      </c>
      <c r="D7" s="127"/>
    </row>
    <row r="8" spans="1:4" ht="20.25" customHeight="1">
      <c r="B8" s="21"/>
      <c r="C8" s="21"/>
      <c r="D8" s="21"/>
    </row>
    <row r="9" spans="1:4" ht="20.25" customHeight="1">
      <c r="B9" s="128" t="s">
        <v>11</v>
      </c>
      <c r="C9" s="128"/>
      <c r="D9" s="129"/>
    </row>
    <row r="10" spans="1:4" ht="20.25" customHeight="1">
      <c r="B10" s="48" t="s">
        <v>12</v>
      </c>
      <c r="C10" s="48" t="s">
        <v>13</v>
      </c>
      <c r="D10" s="48" t="s">
        <v>14</v>
      </c>
    </row>
    <row r="11" spans="1:4" ht="20.25" customHeight="1">
      <c r="B11" s="54" t="s">
        <v>15</v>
      </c>
      <c r="C11" s="22">
        <v>45313</v>
      </c>
      <c r="D11" s="23" t="s">
        <v>16</v>
      </c>
    </row>
    <row r="12" spans="1:4" ht="14.4">
      <c r="B12" s="56"/>
      <c r="C12" s="22"/>
      <c r="D12" s="23"/>
    </row>
    <row r="13" spans="1:4" ht="14.4">
      <c r="B13" s="23"/>
      <c r="C13" s="22"/>
      <c r="D13" s="23"/>
    </row>
    <row r="14" spans="1:4" ht="14.4">
      <c r="B14" s="24"/>
      <c r="C14" s="22"/>
      <c r="D14" s="23"/>
    </row>
    <row r="15" spans="1:4" ht="14.4">
      <c r="B15" s="24"/>
      <c r="C15" s="22"/>
      <c r="D15" s="23"/>
    </row>
    <row r="16" spans="1:4" ht="14.4">
      <c r="B16" s="24"/>
      <c r="C16" s="22"/>
      <c r="D16" s="23"/>
    </row>
    <row r="17" spans="2:4" ht="14.4">
      <c r="B17" s="24"/>
      <c r="C17" s="22"/>
      <c r="D17" s="23"/>
    </row>
    <row r="18" spans="2:4" ht="15.75" customHeight="1"/>
    <row r="19" spans="2:4" ht="15.75" customHeight="1"/>
    <row r="20" spans="2:4" ht="15.75" customHeight="1"/>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8">
    <mergeCell ref="C7:D7"/>
    <mergeCell ref="B9:D9"/>
    <mergeCell ref="A1:D1"/>
    <mergeCell ref="C2:D2"/>
    <mergeCell ref="C3:D3"/>
    <mergeCell ref="C4:D4"/>
    <mergeCell ref="C5:D5"/>
    <mergeCell ref="C6:D6"/>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pane ySplit="3" topLeftCell="A4" activePane="bottomLeft" state="frozen"/>
      <selection pane="bottomLeft" activeCell="B5" sqref="B5"/>
    </sheetView>
  </sheetViews>
  <sheetFormatPr defaultColWidth="14.33203125" defaultRowHeight="15" customHeight="1"/>
  <cols>
    <col min="1" max="1" width="25.88671875" customWidth="1"/>
    <col min="2" max="2" width="18.33203125" customWidth="1"/>
    <col min="3" max="3" width="10.33203125" customWidth="1"/>
    <col min="4" max="4" width="73.6640625" customWidth="1"/>
    <col min="5" max="5" width="9.33203125" customWidth="1"/>
    <col min="6" max="6" width="10.88671875" customWidth="1"/>
    <col min="7" max="7" width="20" customWidth="1"/>
    <col min="8" max="8" width="45" customWidth="1"/>
    <col min="9" max="9" width="15.6640625" customWidth="1"/>
    <col min="10" max="10" width="13.109375" customWidth="1"/>
    <col min="11" max="11" width="13.88671875" customWidth="1"/>
    <col min="12" max="12" width="32.33203125" customWidth="1"/>
  </cols>
  <sheetData>
    <row r="1" spans="1:12" ht="12.75" customHeight="1"/>
    <row r="2" spans="1:12" ht="12.75" customHeight="1">
      <c r="A2" s="134" t="s">
        <v>17</v>
      </c>
      <c r="B2" s="135"/>
      <c r="C2" s="135"/>
      <c r="D2" s="135"/>
      <c r="E2" s="135"/>
      <c r="F2" s="135"/>
      <c r="G2" s="135"/>
      <c r="H2" s="135"/>
      <c r="I2" s="135"/>
      <c r="J2" s="135"/>
      <c r="K2" s="135"/>
      <c r="L2" s="135"/>
    </row>
    <row r="3" spans="1:12" ht="12.75" customHeight="1">
      <c r="A3" s="1" t="s">
        <v>18</v>
      </c>
      <c r="B3" s="1" t="s">
        <v>19</v>
      </c>
      <c r="C3" s="2" t="s">
        <v>20</v>
      </c>
      <c r="D3" s="1" t="s">
        <v>21</v>
      </c>
      <c r="E3" s="1" t="s">
        <v>22</v>
      </c>
      <c r="F3" s="1" t="s">
        <v>23</v>
      </c>
      <c r="G3" s="1" t="s">
        <v>24</v>
      </c>
      <c r="H3" s="1" t="s">
        <v>25</v>
      </c>
      <c r="I3" s="1" t="s">
        <v>26</v>
      </c>
      <c r="J3" s="1" t="s">
        <v>27</v>
      </c>
      <c r="K3" s="1" t="s">
        <v>28</v>
      </c>
      <c r="L3" s="1" t="s">
        <v>29</v>
      </c>
    </row>
    <row r="4" spans="1:12" ht="12.75" customHeight="1">
      <c r="A4" s="3" t="s">
        <v>30</v>
      </c>
      <c r="B4" s="3"/>
      <c r="C4" s="3" t="s">
        <v>31</v>
      </c>
      <c r="D4" s="4" t="s">
        <v>32</v>
      </c>
      <c r="E4" s="3"/>
      <c r="F4" s="3"/>
      <c r="G4" s="5">
        <f t="shared" ref="G4:G57" si="0">E4*F4</f>
        <v>0</v>
      </c>
      <c r="H4" s="3"/>
      <c r="I4" s="3"/>
      <c r="J4" s="3"/>
      <c r="K4" s="3"/>
      <c r="L4" s="3"/>
    </row>
    <row r="5" spans="1:12" ht="12.75" customHeight="1">
      <c r="A5" s="3" t="s">
        <v>30</v>
      </c>
      <c r="B5" s="3"/>
      <c r="C5" s="3" t="s">
        <v>33</v>
      </c>
      <c r="D5" s="6" t="s">
        <v>34</v>
      </c>
      <c r="E5" s="3"/>
      <c r="F5" s="3"/>
      <c r="G5" s="5">
        <f t="shared" si="0"/>
        <v>0</v>
      </c>
      <c r="H5" s="3"/>
      <c r="I5" s="3"/>
      <c r="J5" s="3"/>
      <c r="K5" s="3"/>
      <c r="L5" s="3"/>
    </row>
    <row r="6" spans="1:12" ht="12.75" customHeight="1">
      <c r="A6" s="3" t="s">
        <v>30</v>
      </c>
      <c r="B6" s="3"/>
      <c r="C6" s="3" t="s">
        <v>35</v>
      </c>
      <c r="D6" s="6" t="s">
        <v>36</v>
      </c>
      <c r="E6" s="3"/>
      <c r="F6" s="3"/>
      <c r="G6" s="5">
        <f t="shared" si="0"/>
        <v>0</v>
      </c>
      <c r="H6" s="3"/>
      <c r="I6" s="3"/>
      <c r="J6" s="3"/>
      <c r="K6" s="3"/>
      <c r="L6" s="3"/>
    </row>
    <row r="7" spans="1:12" ht="12.75" customHeight="1">
      <c r="A7" s="3" t="s">
        <v>30</v>
      </c>
      <c r="B7" s="3"/>
      <c r="C7" s="3" t="s">
        <v>37</v>
      </c>
      <c r="D7" s="6" t="s">
        <v>38</v>
      </c>
      <c r="E7" s="3"/>
      <c r="F7" s="3"/>
      <c r="G7" s="5">
        <f t="shared" si="0"/>
        <v>0</v>
      </c>
      <c r="H7" s="3"/>
      <c r="I7" s="3"/>
      <c r="J7" s="3"/>
      <c r="K7" s="3"/>
      <c r="L7" s="3"/>
    </row>
    <row r="8" spans="1:12" ht="12.75" customHeight="1">
      <c r="A8" s="3" t="s">
        <v>30</v>
      </c>
      <c r="B8" s="3"/>
      <c r="C8" s="3" t="s">
        <v>39</v>
      </c>
      <c r="D8" s="6" t="s">
        <v>40</v>
      </c>
      <c r="E8" s="3"/>
      <c r="F8" s="3"/>
      <c r="G8" s="5">
        <f t="shared" si="0"/>
        <v>0</v>
      </c>
      <c r="H8" s="3"/>
      <c r="I8" s="3"/>
      <c r="J8" s="3"/>
      <c r="K8" s="3"/>
      <c r="L8" s="3"/>
    </row>
    <row r="9" spans="1:12" ht="12.75" customHeight="1">
      <c r="A9" s="3" t="s">
        <v>41</v>
      </c>
      <c r="B9" s="3"/>
      <c r="C9" s="3" t="s">
        <v>42</v>
      </c>
      <c r="D9" s="3" t="s">
        <v>43</v>
      </c>
      <c r="E9" s="3"/>
      <c r="F9" s="3"/>
      <c r="G9" s="5">
        <f t="shared" si="0"/>
        <v>0</v>
      </c>
      <c r="H9" s="3"/>
      <c r="I9" s="3"/>
      <c r="J9" s="3"/>
      <c r="K9" s="3"/>
      <c r="L9" s="3"/>
    </row>
    <row r="10" spans="1:12" ht="12.75" customHeight="1">
      <c r="A10" s="3" t="s">
        <v>41</v>
      </c>
      <c r="B10" s="3"/>
      <c r="C10" s="3" t="s">
        <v>44</v>
      </c>
      <c r="D10" s="3" t="s">
        <v>45</v>
      </c>
      <c r="E10" s="3"/>
      <c r="F10" s="3"/>
      <c r="G10" s="5">
        <f t="shared" si="0"/>
        <v>0</v>
      </c>
      <c r="H10" s="3"/>
      <c r="I10" s="3"/>
      <c r="J10" s="3"/>
      <c r="K10" s="3"/>
      <c r="L10" s="3"/>
    </row>
    <row r="11" spans="1:12" ht="12.75" customHeight="1">
      <c r="A11" s="3"/>
      <c r="B11" s="3"/>
      <c r="C11" s="3"/>
      <c r="D11" s="3"/>
      <c r="E11" s="3"/>
      <c r="F11" s="3"/>
      <c r="G11" s="5">
        <f t="shared" si="0"/>
        <v>0</v>
      </c>
      <c r="H11" s="3"/>
      <c r="I11" s="3"/>
      <c r="J11" s="3"/>
      <c r="K11" s="3"/>
      <c r="L11" s="3"/>
    </row>
    <row r="12" spans="1:12" ht="12.75" customHeight="1">
      <c r="A12" s="3"/>
      <c r="B12" s="3"/>
      <c r="C12" s="3"/>
      <c r="D12" s="3"/>
      <c r="E12" s="3"/>
      <c r="F12" s="3"/>
      <c r="G12" s="5">
        <f t="shared" si="0"/>
        <v>0</v>
      </c>
      <c r="H12" s="3"/>
      <c r="I12" s="3"/>
      <c r="J12" s="3"/>
      <c r="K12" s="3"/>
      <c r="L12" s="3"/>
    </row>
    <row r="13" spans="1:12" ht="12.75" customHeight="1">
      <c r="A13" s="3"/>
      <c r="B13" s="3"/>
      <c r="C13" s="3"/>
      <c r="D13" s="3"/>
      <c r="E13" s="3"/>
      <c r="F13" s="3"/>
      <c r="G13" s="5">
        <f t="shared" si="0"/>
        <v>0</v>
      </c>
      <c r="H13" s="3"/>
      <c r="I13" s="3"/>
      <c r="J13" s="3"/>
      <c r="K13" s="3"/>
      <c r="L13" s="3"/>
    </row>
    <row r="14" spans="1:12" ht="12.75" customHeight="1">
      <c r="A14" s="3"/>
      <c r="B14" s="3"/>
      <c r="C14" s="3"/>
      <c r="D14" s="3"/>
      <c r="E14" s="3"/>
      <c r="F14" s="3"/>
      <c r="G14" s="5">
        <f t="shared" si="0"/>
        <v>0</v>
      </c>
      <c r="H14" s="3"/>
      <c r="I14" s="3"/>
      <c r="J14" s="3"/>
      <c r="K14" s="3"/>
      <c r="L14" s="3"/>
    </row>
    <row r="15" spans="1:12" ht="12.75" customHeight="1">
      <c r="A15" s="3"/>
      <c r="B15" s="3"/>
      <c r="C15" s="3"/>
      <c r="D15" s="3"/>
      <c r="E15" s="3"/>
      <c r="F15" s="3"/>
      <c r="G15" s="5">
        <f t="shared" si="0"/>
        <v>0</v>
      </c>
      <c r="H15" s="3"/>
      <c r="I15" s="3"/>
      <c r="J15" s="3"/>
      <c r="K15" s="3"/>
      <c r="L15" s="3"/>
    </row>
    <row r="16" spans="1:12" ht="12.75" customHeight="1">
      <c r="A16" s="3"/>
      <c r="B16" s="3"/>
      <c r="C16" s="3"/>
      <c r="D16" s="3"/>
      <c r="E16" s="3"/>
      <c r="F16" s="3"/>
      <c r="G16" s="5">
        <f t="shared" si="0"/>
        <v>0</v>
      </c>
      <c r="H16" s="3"/>
      <c r="I16" s="3"/>
      <c r="J16" s="3"/>
      <c r="K16" s="3"/>
      <c r="L16" s="3"/>
    </row>
    <row r="17" spans="1:12" ht="12.75" customHeight="1">
      <c r="A17" s="3"/>
      <c r="B17" s="3"/>
      <c r="C17" s="3"/>
      <c r="D17" s="3"/>
      <c r="E17" s="3"/>
      <c r="F17" s="3"/>
      <c r="G17" s="5">
        <f t="shared" si="0"/>
        <v>0</v>
      </c>
      <c r="H17" s="3"/>
      <c r="I17" s="3"/>
      <c r="J17" s="3"/>
      <c r="K17" s="3"/>
      <c r="L17" s="3"/>
    </row>
    <row r="18" spans="1:12" ht="12.75" customHeight="1">
      <c r="A18" s="3"/>
      <c r="B18" s="3"/>
      <c r="C18" s="3"/>
      <c r="D18" s="3"/>
      <c r="E18" s="3"/>
      <c r="F18" s="3"/>
      <c r="G18" s="5">
        <f t="shared" si="0"/>
        <v>0</v>
      </c>
      <c r="H18" s="3"/>
      <c r="I18" s="3"/>
      <c r="J18" s="3"/>
      <c r="K18" s="3"/>
      <c r="L18" s="3"/>
    </row>
    <row r="19" spans="1:12" ht="12.75" customHeight="1">
      <c r="A19" s="3"/>
      <c r="B19" s="3"/>
      <c r="C19" s="3"/>
      <c r="D19" s="3"/>
      <c r="E19" s="3"/>
      <c r="F19" s="3"/>
      <c r="G19" s="5">
        <f t="shared" si="0"/>
        <v>0</v>
      </c>
      <c r="H19" s="3"/>
      <c r="I19" s="3"/>
      <c r="J19" s="3"/>
      <c r="K19" s="3"/>
      <c r="L19" s="3"/>
    </row>
    <row r="20" spans="1:12" ht="12.75" customHeight="1">
      <c r="A20" s="3"/>
      <c r="B20" s="3"/>
      <c r="C20" s="3"/>
      <c r="D20" s="3"/>
      <c r="E20" s="3"/>
      <c r="F20" s="3"/>
      <c r="G20" s="5">
        <f t="shared" si="0"/>
        <v>0</v>
      </c>
      <c r="H20" s="3"/>
      <c r="I20" s="3"/>
      <c r="J20" s="3"/>
      <c r="K20" s="3"/>
      <c r="L20" s="3"/>
    </row>
    <row r="21" spans="1:12" ht="12.75" customHeight="1">
      <c r="A21" s="3"/>
      <c r="B21" s="3"/>
      <c r="C21" s="3"/>
      <c r="D21" s="3"/>
      <c r="E21" s="3"/>
      <c r="F21" s="3"/>
      <c r="G21" s="5">
        <f t="shared" si="0"/>
        <v>0</v>
      </c>
      <c r="H21" s="3"/>
      <c r="I21" s="3"/>
      <c r="J21" s="3"/>
      <c r="K21" s="3"/>
      <c r="L21" s="3"/>
    </row>
    <row r="22" spans="1:12" ht="12.75" customHeight="1">
      <c r="A22" s="3"/>
      <c r="B22" s="3"/>
      <c r="C22" s="3"/>
      <c r="D22" s="3"/>
      <c r="E22" s="3"/>
      <c r="F22" s="3"/>
      <c r="G22" s="5">
        <f t="shared" si="0"/>
        <v>0</v>
      </c>
      <c r="H22" s="3"/>
      <c r="I22" s="3"/>
      <c r="J22" s="3"/>
      <c r="K22" s="3"/>
      <c r="L22" s="3"/>
    </row>
    <row r="23" spans="1:12" ht="12.75" customHeight="1">
      <c r="A23" s="3"/>
      <c r="B23" s="3"/>
      <c r="C23" s="3"/>
      <c r="D23" s="3"/>
      <c r="E23" s="3"/>
      <c r="F23" s="3"/>
      <c r="G23" s="5">
        <f t="shared" si="0"/>
        <v>0</v>
      </c>
      <c r="H23" s="3"/>
      <c r="I23" s="3"/>
      <c r="J23" s="3"/>
      <c r="K23" s="3"/>
      <c r="L23" s="3"/>
    </row>
    <row r="24" spans="1:12" ht="12.75" customHeight="1">
      <c r="A24" s="3"/>
      <c r="B24" s="3"/>
      <c r="C24" s="3"/>
      <c r="D24" s="3"/>
      <c r="E24" s="3"/>
      <c r="F24" s="3"/>
      <c r="G24" s="5">
        <f t="shared" si="0"/>
        <v>0</v>
      </c>
      <c r="H24" s="3"/>
      <c r="I24" s="3"/>
      <c r="J24" s="3"/>
      <c r="K24" s="3"/>
      <c r="L24" s="3"/>
    </row>
    <row r="25" spans="1:12" ht="12.75" customHeight="1">
      <c r="A25" s="3"/>
      <c r="B25" s="3"/>
      <c r="C25" s="3"/>
      <c r="D25" s="3"/>
      <c r="E25" s="3"/>
      <c r="F25" s="3"/>
      <c r="G25" s="5">
        <f t="shared" si="0"/>
        <v>0</v>
      </c>
      <c r="H25" s="3"/>
      <c r="I25" s="3"/>
      <c r="J25" s="3"/>
      <c r="K25" s="3"/>
      <c r="L25" s="3"/>
    </row>
    <row r="26" spans="1:12" ht="12.75" customHeight="1">
      <c r="A26" s="3"/>
      <c r="B26" s="3"/>
      <c r="C26" s="3"/>
      <c r="D26" s="3"/>
      <c r="E26" s="3"/>
      <c r="F26" s="3"/>
      <c r="G26" s="5">
        <f t="shared" si="0"/>
        <v>0</v>
      </c>
      <c r="H26" s="3"/>
      <c r="I26" s="3"/>
      <c r="J26" s="3"/>
      <c r="K26" s="3"/>
      <c r="L26" s="3"/>
    </row>
    <row r="27" spans="1:12" ht="12.75" customHeight="1">
      <c r="A27" s="3"/>
      <c r="B27" s="3"/>
      <c r="C27" s="3"/>
      <c r="D27" s="3"/>
      <c r="E27" s="3"/>
      <c r="F27" s="3"/>
      <c r="G27" s="5">
        <f t="shared" si="0"/>
        <v>0</v>
      </c>
      <c r="H27" s="3"/>
      <c r="I27" s="3"/>
      <c r="J27" s="3"/>
      <c r="K27" s="3"/>
      <c r="L27" s="3"/>
    </row>
    <row r="28" spans="1:12" ht="12.75" customHeight="1">
      <c r="A28" s="3"/>
      <c r="B28" s="3"/>
      <c r="C28" s="3"/>
      <c r="D28" s="3"/>
      <c r="E28" s="3"/>
      <c r="F28" s="3"/>
      <c r="G28" s="5">
        <f t="shared" si="0"/>
        <v>0</v>
      </c>
      <c r="H28" s="3"/>
      <c r="I28" s="3"/>
      <c r="J28" s="3"/>
      <c r="K28" s="3"/>
      <c r="L28" s="3"/>
    </row>
    <row r="29" spans="1:12" ht="12.75" customHeight="1">
      <c r="A29" s="3"/>
      <c r="B29" s="3"/>
      <c r="C29" s="3"/>
      <c r="D29" s="3"/>
      <c r="E29" s="3"/>
      <c r="F29" s="3"/>
      <c r="G29" s="5">
        <f t="shared" si="0"/>
        <v>0</v>
      </c>
      <c r="H29" s="3"/>
      <c r="I29" s="3"/>
      <c r="J29" s="3"/>
      <c r="K29" s="3"/>
      <c r="L29" s="3"/>
    </row>
    <row r="30" spans="1:12" ht="12.75" customHeight="1">
      <c r="A30" s="3"/>
      <c r="B30" s="3"/>
      <c r="C30" s="3"/>
      <c r="D30" s="3"/>
      <c r="E30" s="3"/>
      <c r="F30" s="3"/>
      <c r="G30" s="5">
        <f t="shared" si="0"/>
        <v>0</v>
      </c>
      <c r="H30" s="3"/>
      <c r="I30" s="3"/>
      <c r="J30" s="3"/>
      <c r="K30" s="3"/>
      <c r="L30" s="3"/>
    </row>
    <row r="31" spans="1:12" ht="12.75" customHeight="1">
      <c r="A31" s="3"/>
      <c r="B31" s="3"/>
      <c r="C31" s="3"/>
      <c r="D31" s="3"/>
      <c r="E31" s="3"/>
      <c r="F31" s="3"/>
      <c r="G31" s="5">
        <f t="shared" si="0"/>
        <v>0</v>
      </c>
      <c r="H31" s="3"/>
      <c r="I31" s="3"/>
      <c r="J31" s="3"/>
      <c r="K31" s="3"/>
      <c r="L31" s="3"/>
    </row>
    <row r="32" spans="1:12" ht="12.75" customHeight="1">
      <c r="A32" s="3"/>
      <c r="B32" s="3"/>
      <c r="C32" s="3"/>
      <c r="D32" s="3"/>
      <c r="E32" s="3"/>
      <c r="F32" s="3"/>
      <c r="G32" s="5">
        <f t="shared" si="0"/>
        <v>0</v>
      </c>
      <c r="H32" s="3"/>
      <c r="I32" s="3"/>
      <c r="J32" s="3"/>
      <c r="K32" s="3"/>
      <c r="L32" s="3"/>
    </row>
    <row r="33" spans="1:12" ht="12.75" customHeight="1">
      <c r="A33" s="3"/>
      <c r="B33" s="3"/>
      <c r="C33" s="3"/>
      <c r="D33" s="3"/>
      <c r="E33" s="3"/>
      <c r="F33" s="3"/>
      <c r="G33" s="5">
        <f t="shared" si="0"/>
        <v>0</v>
      </c>
      <c r="H33" s="3"/>
      <c r="I33" s="3"/>
      <c r="J33" s="3"/>
      <c r="K33" s="3"/>
      <c r="L33" s="3"/>
    </row>
    <row r="34" spans="1:12" ht="12.75" customHeight="1">
      <c r="A34" s="3"/>
      <c r="B34" s="3"/>
      <c r="C34" s="3"/>
      <c r="D34" s="3"/>
      <c r="E34" s="3"/>
      <c r="F34" s="3"/>
      <c r="G34" s="5">
        <f t="shared" si="0"/>
        <v>0</v>
      </c>
      <c r="H34" s="3"/>
      <c r="I34" s="3"/>
      <c r="J34" s="3"/>
      <c r="K34" s="3"/>
      <c r="L34" s="3"/>
    </row>
    <row r="35" spans="1:12" ht="12.75" customHeight="1">
      <c r="A35" s="3"/>
      <c r="B35" s="3"/>
      <c r="C35" s="3"/>
      <c r="D35" s="3"/>
      <c r="E35" s="3"/>
      <c r="F35" s="3"/>
      <c r="G35" s="5">
        <f t="shared" si="0"/>
        <v>0</v>
      </c>
      <c r="H35" s="3"/>
      <c r="I35" s="3"/>
      <c r="J35" s="3"/>
      <c r="K35" s="3"/>
      <c r="L35" s="3"/>
    </row>
    <row r="36" spans="1:12" ht="12.75" customHeight="1">
      <c r="A36" s="3"/>
      <c r="B36" s="3"/>
      <c r="C36" s="3"/>
      <c r="D36" s="3"/>
      <c r="E36" s="3"/>
      <c r="F36" s="3"/>
      <c r="G36" s="5">
        <f t="shared" si="0"/>
        <v>0</v>
      </c>
      <c r="H36" s="3"/>
      <c r="I36" s="3"/>
      <c r="J36" s="3"/>
      <c r="K36" s="3"/>
      <c r="L36" s="3"/>
    </row>
    <row r="37" spans="1:12" ht="12.75" customHeight="1">
      <c r="A37" s="3"/>
      <c r="B37" s="3"/>
      <c r="C37" s="3"/>
      <c r="D37" s="3"/>
      <c r="E37" s="3"/>
      <c r="F37" s="3"/>
      <c r="G37" s="5">
        <f t="shared" si="0"/>
        <v>0</v>
      </c>
      <c r="H37" s="3"/>
      <c r="I37" s="3"/>
      <c r="J37" s="3"/>
      <c r="K37" s="3"/>
      <c r="L37" s="3"/>
    </row>
    <row r="38" spans="1:12" ht="12.75" customHeight="1">
      <c r="A38" s="3"/>
      <c r="B38" s="3"/>
      <c r="C38" s="3"/>
      <c r="D38" s="3"/>
      <c r="E38" s="3"/>
      <c r="F38" s="3"/>
      <c r="G38" s="5">
        <f t="shared" si="0"/>
        <v>0</v>
      </c>
      <c r="H38" s="3"/>
      <c r="I38" s="3"/>
      <c r="J38" s="3"/>
      <c r="K38" s="3"/>
      <c r="L38" s="3"/>
    </row>
    <row r="39" spans="1:12" ht="12.75" customHeight="1">
      <c r="A39" s="3"/>
      <c r="B39" s="3"/>
      <c r="C39" s="3"/>
      <c r="D39" s="3"/>
      <c r="E39" s="3"/>
      <c r="F39" s="3"/>
      <c r="G39" s="5">
        <f t="shared" si="0"/>
        <v>0</v>
      </c>
      <c r="H39" s="3"/>
      <c r="I39" s="3"/>
      <c r="J39" s="3"/>
      <c r="K39" s="3"/>
      <c r="L39" s="3"/>
    </row>
    <row r="40" spans="1:12" ht="12.75" customHeight="1">
      <c r="A40" s="3"/>
      <c r="B40" s="3"/>
      <c r="C40" s="3"/>
      <c r="D40" s="3"/>
      <c r="E40" s="3"/>
      <c r="F40" s="3"/>
      <c r="G40" s="5">
        <f t="shared" si="0"/>
        <v>0</v>
      </c>
      <c r="H40" s="3"/>
      <c r="I40" s="3"/>
      <c r="J40" s="3"/>
      <c r="K40" s="3"/>
      <c r="L40" s="3"/>
    </row>
    <row r="41" spans="1:12" ht="12.75" customHeight="1">
      <c r="A41" s="3"/>
      <c r="B41" s="3"/>
      <c r="C41" s="3"/>
      <c r="D41" s="3"/>
      <c r="E41" s="3"/>
      <c r="F41" s="3"/>
      <c r="G41" s="5">
        <f t="shared" si="0"/>
        <v>0</v>
      </c>
      <c r="H41" s="3"/>
      <c r="I41" s="3"/>
      <c r="J41" s="3"/>
      <c r="K41" s="3"/>
      <c r="L41" s="3"/>
    </row>
    <row r="42" spans="1:12" ht="12.75" customHeight="1">
      <c r="A42" s="3"/>
      <c r="B42" s="3"/>
      <c r="C42" s="3"/>
      <c r="D42" s="3"/>
      <c r="E42" s="3"/>
      <c r="F42" s="3"/>
      <c r="G42" s="5">
        <f t="shared" si="0"/>
        <v>0</v>
      </c>
      <c r="H42" s="3"/>
      <c r="I42" s="3"/>
      <c r="J42" s="3"/>
      <c r="K42" s="3"/>
      <c r="L42" s="3"/>
    </row>
    <row r="43" spans="1:12" ht="12.75" customHeight="1">
      <c r="A43" s="3"/>
      <c r="B43" s="3"/>
      <c r="C43" s="3"/>
      <c r="D43" s="3"/>
      <c r="E43" s="3"/>
      <c r="F43" s="3"/>
      <c r="G43" s="5">
        <f t="shared" si="0"/>
        <v>0</v>
      </c>
      <c r="H43" s="3"/>
      <c r="I43" s="3"/>
      <c r="J43" s="3"/>
      <c r="K43" s="3"/>
      <c r="L43" s="3"/>
    </row>
    <row r="44" spans="1:12" ht="12.75" customHeight="1">
      <c r="A44" s="3"/>
      <c r="B44" s="3"/>
      <c r="C44" s="3"/>
      <c r="D44" s="3"/>
      <c r="E44" s="3"/>
      <c r="F44" s="3"/>
      <c r="G44" s="5">
        <f t="shared" si="0"/>
        <v>0</v>
      </c>
      <c r="H44" s="3"/>
      <c r="I44" s="3"/>
      <c r="J44" s="3"/>
      <c r="K44" s="3"/>
      <c r="L44" s="3"/>
    </row>
    <row r="45" spans="1:12" ht="12.75" customHeight="1">
      <c r="A45" s="3"/>
      <c r="B45" s="3"/>
      <c r="C45" s="3"/>
      <c r="D45" s="3"/>
      <c r="E45" s="3"/>
      <c r="F45" s="3"/>
      <c r="G45" s="5">
        <f t="shared" si="0"/>
        <v>0</v>
      </c>
      <c r="H45" s="3"/>
      <c r="I45" s="3"/>
      <c r="J45" s="3"/>
      <c r="K45" s="3"/>
      <c r="L45" s="3"/>
    </row>
    <row r="46" spans="1:12" ht="12.75" customHeight="1">
      <c r="A46" s="3"/>
      <c r="B46" s="3"/>
      <c r="C46" s="3"/>
      <c r="D46" s="3"/>
      <c r="E46" s="3"/>
      <c r="F46" s="3"/>
      <c r="G46" s="5">
        <f t="shared" si="0"/>
        <v>0</v>
      </c>
      <c r="H46" s="3"/>
      <c r="I46" s="3"/>
      <c r="J46" s="3"/>
      <c r="K46" s="3"/>
      <c r="L46" s="3"/>
    </row>
    <row r="47" spans="1:12" ht="12.75" customHeight="1">
      <c r="A47" s="3"/>
      <c r="B47" s="3"/>
      <c r="C47" s="3"/>
      <c r="D47" s="3"/>
      <c r="E47" s="3"/>
      <c r="F47" s="3"/>
      <c r="G47" s="5">
        <f t="shared" si="0"/>
        <v>0</v>
      </c>
      <c r="H47" s="3"/>
      <c r="I47" s="3"/>
      <c r="J47" s="3"/>
      <c r="K47" s="3"/>
      <c r="L47" s="3"/>
    </row>
    <row r="48" spans="1:12" ht="12.75" customHeight="1">
      <c r="A48" s="3"/>
      <c r="B48" s="3"/>
      <c r="C48" s="3"/>
      <c r="D48" s="3"/>
      <c r="E48" s="3"/>
      <c r="F48" s="3"/>
      <c r="G48" s="5">
        <f t="shared" si="0"/>
        <v>0</v>
      </c>
      <c r="H48" s="3"/>
      <c r="I48" s="3"/>
      <c r="J48" s="3"/>
      <c r="K48" s="3"/>
      <c r="L48" s="3"/>
    </row>
    <row r="49" spans="1:12" ht="12.75" customHeight="1">
      <c r="A49" s="3"/>
      <c r="B49" s="3"/>
      <c r="C49" s="3"/>
      <c r="D49" s="3"/>
      <c r="E49" s="3"/>
      <c r="F49" s="3"/>
      <c r="G49" s="5">
        <f t="shared" si="0"/>
        <v>0</v>
      </c>
      <c r="H49" s="3"/>
      <c r="I49" s="3"/>
      <c r="J49" s="3"/>
      <c r="K49" s="3"/>
      <c r="L49" s="3"/>
    </row>
    <row r="50" spans="1:12" ht="12.75" customHeight="1">
      <c r="A50" s="3"/>
      <c r="B50" s="3"/>
      <c r="C50" s="3"/>
      <c r="D50" s="3"/>
      <c r="E50" s="3"/>
      <c r="F50" s="3"/>
      <c r="G50" s="5">
        <f t="shared" si="0"/>
        <v>0</v>
      </c>
      <c r="H50" s="3"/>
      <c r="I50" s="3"/>
      <c r="J50" s="3"/>
      <c r="K50" s="3"/>
      <c r="L50" s="3"/>
    </row>
    <row r="51" spans="1:12" ht="12.75" customHeight="1">
      <c r="A51" s="3"/>
      <c r="B51" s="3"/>
      <c r="C51" s="3"/>
      <c r="D51" s="3"/>
      <c r="E51" s="3"/>
      <c r="F51" s="3"/>
      <c r="G51" s="5">
        <f t="shared" si="0"/>
        <v>0</v>
      </c>
      <c r="H51" s="3"/>
      <c r="I51" s="3"/>
      <c r="J51" s="3"/>
      <c r="K51" s="3"/>
      <c r="L51" s="3"/>
    </row>
    <row r="52" spans="1:12" ht="12.75" customHeight="1">
      <c r="A52" s="3"/>
      <c r="B52" s="3"/>
      <c r="C52" s="3"/>
      <c r="D52" s="3"/>
      <c r="E52" s="3"/>
      <c r="F52" s="3"/>
      <c r="G52" s="5">
        <f t="shared" si="0"/>
        <v>0</v>
      </c>
      <c r="H52" s="3"/>
      <c r="I52" s="3"/>
      <c r="J52" s="3"/>
      <c r="K52" s="3"/>
      <c r="L52" s="3"/>
    </row>
    <row r="53" spans="1:12" ht="12.75" customHeight="1">
      <c r="A53" s="3"/>
      <c r="B53" s="3"/>
      <c r="C53" s="3"/>
      <c r="D53" s="3"/>
      <c r="E53" s="3"/>
      <c r="F53" s="3"/>
      <c r="G53" s="5">
        <f t="shared" si="0"/>
        <v>0</v>
      </c>
      <c r="H53" s="3"/>
      <c r="I53" s="3"/>
      <c r="J53" s="3"/>
      <c r="K53" s="3"/>
      <c r="L53" s="3"/>
    </row>
    <row r="54" spans="1:12" ht="12.75" customHeight="1">
      <c r="A54" s="3"/>
      <c r="B54" s="3"/>
      <c r="C54" s="3"/>
      <c r="D54" s="3"/>
      <c r="E54" s="3"/>
      <c r="F54" s="3"/>
      <c r="G54" s="5">
        <f t="shared" si="0"/>
        <v>0</v>
      </c>
      <c r="H54" s="3"/>
      <c r="I54" s="3"/>
      <c r="J54" s="3"/>
      <c r="K54" s="3"/>
      <c r="L54" s="3"/>
    </row>
    <row r="55" spans="1:12" ht="12.75" customHeight="1">
      <c r="A55" s="3"/>
      <c r="B55" s="3"/>
      <c r="C55" s="3"/>
      <c r="D55" s="3"/>
      <c r="E55" s="3"/>
      <c r="F55" s="3"/>
      <c r="G55" s="5">
        <f t="shared" si="0"/>
        <v>0</v>
      </c>
      <c r="H55" s="3"/>
      <c r="I55" s="3"/>
      <c r="J55" s="3"/>
      <c r="K55" s="3"/>
      <c r="L55" s="3"/>
    </row>
    <row r="56" spans="1:12" ht="12.75" customHeight="1">
      <c r="A56" s="3"/>
      <c r="B56" s="3"/>
      <c r="C56" s="3"/>
      <c r="D56" s="3"/>
      <c r="E56" s="3"/>
      <c r="F56" s="3"/>
      <c r="G56" s="5">
        <f t="shared" si="0"/>
        <v>0</v>
      </c>
      <c r="H56" s="3"/>
      <c r="I56" s="3"/>
      <c r="J56" s="3"/>
      <c r="K56" s="3"/>
      <c r="L56" s="3"/>
    </row>
    <row r="57" spans="1:12" ht="12.75" customHeight="1">
      <c r="A57" s="3"/>
      <c r="B57" s="3"/>
      <c r="C57" s="3"/>
      <c r="D57" s="3"/>
      <c r="E57" s="3"/>
      <c r="F57" s="3"/>
      <c r="G57" s="5">
        <f t="shared" si="0"/>
        <v>0</v>
      </c>
      <c r="H57" s="3"/>
      <c r="I57" s="3"/>
      <c r="J57" s="3"/>
      <c r="K57" s="3"/>
      <c r="L57" s="3"/>
    </row>
    <row r="58" spans="1:12" ht="12.75" customHeight="1"/>
    <row r="59" spans="1:12" ht="12.75" customHeight="1"/>
    <row r="60" spans="1:12" ht="12.75" customHeight="1"/>
    <row r="61" spans="1:12" ht="12.75" customHeight="1"/>
    <row r="62" spans="1:12" ht="12.75" customHeight="1"/>
    <row r="63" spans="1:12" ht="12.75" customHeight="1"/>
    <row r="64" spans="1: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3" xr:uid="{00000000-0009-0000-0000-000002000000}"/>
  <mergeCells count="1">
    <mergeCell ref="A2:L2"/>
  </mergeCells>
  <conditionalFormatting sqref="G4:G57">
    <cfRule type="cellIs" dxfId="8" priority="1" operator="between">
      <formula>8</formula>
      <formula>9</formula>
    </cfRule>
    <cfRule type="cellIs" dxfId="7" priority="2" operator="greaterThanOrEqual">
      <formula>10</formula>
    </cfRule>
    <cfRule type="cellIs" dxfId="6" priority="3" operator="lessThan">
      <formula>8</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EDBC-0486-44D6-969A-2E556B0A4BA6}">
  <sheetPr filterMode="1">
    <pageSetUpPr fitToPage="1"/>
  </sheetPr>
  <dimension ref="A1:AH297"/>
  <sheetViews>
    <sheetView tabSelected="1" zoomScale="90" zoomScaleNormal="90" workbookViewId="0">
      <pane xSplit="5" ySplit="3" topLeftCell="Q162" activePane="bottomRight" state="frozen"/>
      <selection pane="topRight" activeCell="K3" sqref="K3:L3"/>
      <selection pane="bottomLeft" activeCell="K3" sqref="K3:L3"/>
      <selection pane="bottomRight" activeCell="V290" sqref="V290"/>
    </sheetView>
  </sheetViews>
  <sheetFormatPr defaultColWidth="14.33203125" defaultRowHeight="13.8"/>
  <cols>
    <col min="1" max="1" width="22.88671875" style="25" hidden="1" customWidth="1"/>
    <col min="2" max="2" width="11" style="25" customWidth="1"/>
    <col min="3" max="3" width="18.33203125" style="25" customWidth="1"/>
    <col min="4" max="4" width="55.109375" style="25" customWidth="1"/>
    <col min="5" max="5" width="39.109375" style="25" customWidth="1"/>
    <col min="6" max="6" width="48.88671875" style="25" customWidth="1"/>
    <col min="7" max="7" width="36.33203125" style="25" customWidth="1"/>
    <col min="8" max="8" width="15" style="25" customWidth="1"/>
    <col min="9" max="9" width="15" style="25" hidden="1" customWidth="1"/>
    <col min="10" max="10" width="18.6640625" style="25" customWidth="1"/>
    <col min="11" max="11" width="13.44140625" style="25" customWidth="1"/>
    <col min="12" max="17" width="8.33203125" style="25" customWidth="1"/>
    <col min="18" max="18" width="9.6640625" style="25" customWidth="1"/>
    <col min="19" max="19" width="8.33203125" style="25" customWidth="1"/>
    <col min="20" max="20" width="10.33203125" style="25" customWidth="1"/>
    <col min="21" max="21" width="20" style="25" customWidth="1"/>
    <col min="22" max="22" width="53.88671875" style="25" customWidth="1"/>
    <col min="23" max="23" width="22.6640625" style="25" customWidth="1"/>
    <col min="24" max="24" width="18.109375" style="25" customWidth="1"/>
    <col min="25" max="25" width="21.6640625" style="25" customWidth="1"/>
    <col min="26" max="26" width="23.6640625" style="25" customWidth="1"/>
    <col min="27" max="27" width="16.88671875" style="25" customWidth="1"/>
    <col min="28" max="28" width="58.109375" style="45" customWidth="1"/>
    <col min="29" max="29" width="9" style="25" customWidth="1"/>
    <col min="30" max="30" width="8.6640625" style="25" customWidth="1"/>
    <col min="31" max="31" width="17" style="25" customWidth="1"/>
    <col min="32" max="32" width="27.33203125" style="25" customWidth="1"/>
    <col min="33" max="34" width="11.33203125" style="25" customWidth="1"/>
    <col min="35" max="16384" width="14.33203125" style="25"/>
  </cols>
  <sheetData>
    <row r="1" spans="1:34" ht="73.349999999999994" customHeight="1">
      <c r="A1" s="136"/>
      <c r="B1" s="148"/>
      <c r="C1" s="148"/>
      <c r="D1" s="149" t="s">
        <v>46</v>
      </c>
      <c r="E1" s="149"/>
      <c r="F1" s="46"/>
      <c r="G1" s="46"/>
      <c r="H1" s="46"/>
      <c r="I1" s="52"/>
      <c r="J1" s="52"/>
      <c r="K1" s="52"/>
      <c r="L1" s="52"/>
      <c r="M1" s="52"/>
      <c r="N1" s="52"/>
      <c r="O1" s="52"/>
      <c r="P1" s="52"/>
      <c r="Q1" s="52"/>
      <c r="R1" s="52"/>
      <c r="S1" s="52"/>
      <c r="T1" s="52"/>
      <c r="U1" s="52"/>
      <c r="V1" s="52"/>
      <c r="W1" s="52"/>
      <c r="X1" s="52"/>
      <c r="Y1" s="52"/>
      <c r="Z1" s="52"/>
      <c r="AA1" s="52"/>
      <c r="AB1" s="52"/>
      <c r="AC1" s="52"/>
      <c r="AD1" s="52"/>
      <c r="AE1" s="52"/>
      <c r="AF1" s="52"/>
      <c r="AG1" s="97"/>
      <c r="AH1" s="97"/>
    </row>
    <row r="2" spans="1:34" ht="40.200000000000003" hidden="1" customHeight="1">
      <c r="A2" s="137"/>
      <c r="B2" s="146" t="s">
        <v>47</v>
      </c>
      <c r="C2" s="142"/>
      <c r="D2" s="142"/>
      <c r="E2" s="142"/>
      <c r="F2" s="142"/>
      <c r="G2" s="142"/>
      <c r="H2" s="147"/>
      <c r="I2" s="150" t="s">
        <v>1962</v>
      </c>
      <c r="J2" s="151"/>
      <c r="K2" s="152"/>
      <c r="L2" s="138" t="s">
        <v>48</v>
      </c>
      <c r="M2" s="142"/>
      <c r="N2" s="142"/>
      <c r="O2" s="142"/>
      <c r="P2" s="142"/>
      <c r="Q2" s="153"/>
      <c r="R2" s="138" t="s">
        <v>49</v>
      </c>
      <c r="S2" s="139"/>
      <c r="T2" s="139"/>
      <c r="U2" s="140"/>
      <c r="V2" s="141" t="s">
        <v>50</v>
      </c>
      <c r="W2" s="142"/>
      <c r="X2" s="139"/>
      <c r="Y2" s="139"/>
      <c r="Z2" s="139"/>
      <c r="AA2" s="139"/>
      <c r="AB2" s="139"/>
      <c r="AC2" s="143" t="s">
        <v>51</v>
      </c>
      <c r="AD2" s="144"/>
      <c r="AE2" s="144"/>
      <c r="AF2" s="145"/>
      <c r="AG2" s="97"/>
      <c r="AH2" s="97"/>
    </row>
    <row r="3" spans="1:34" s="27" customFormat="1" ht="42.15" hidden="1" customHeight="1">
      <c r="A3" s="49" t="s">
        <v>52</v>
      </c>
      <c r="B3" s="86" t="s">
        <v>53</v>
      </c>
      <c r="C3" s="86" t="s">
        <v>54</v>
      </c>
      <c r="D3" s="86" t="s">
        <v>55</v>
      </c>
      <c r="E3" s="86" t="s">
        <v>56</v>
      </c>
      <c r="F3" s="86" t="s">
        <v>57</v>
      </c>
      <c r="G3" s="86" t="s">
        <v>58</v>
      </c>
      <c r="H3" s="87" t="s">
        <v>59</v>
      </c>
      <c r="I3" s="88" t="s">
        <v>60</v>
      </c>
      <c r="J3" s="89" t="s">
        <v>61</v>
      </c>
      <c r="K3" s="90" t="s">
        <v>62</v>
      </c>
      <c r="L3" s="91" t="s">
        <v>63</v>
      </c>
      <c r="M3" s="86" t="s">
        <v>64</v>
      </c>
      <c r="N3" s="86" t="s">
        <v>65</v>
      </c>
      <c r="O3" s="86" t="s">
        <v>66</v>
      </c>
      <c r="P3" s="89" t="s">
        <v>67</v>
      </c>
      <c r="Q3" s="90" t="s">
        <v>68</v>
      </c>
      <c r="R3" s="91" t="s">
        <v>69</v>
      </c>
      <c r="S3" s="86" t="s">
        <v>70</v>
      </c>
      <c r="T3" s="86" t="s">
        <v>71</v>
      </c>
      <c r="U3" s="92" t="s">
        <v>72</v>
      </c>
      <c r="V3" s="93" t="s">
        <v>73</v>
      </c>
      <c r="W3" s="93" t="s">
        <v>74</v>
      </c>
      <c r="X3" s="86" t="s">
        <v>75</v>
      </c>
      <c r="Y3" s="86" t="s">
        <v>76</v>
      </c>
      <c r="Z3" s="86" t="s">
        <v>77</v>
      </c>
      <c r="AA3" s="86" t="s">
        <v>78</v>
      </c>
      <c r="AB3" s="94" t="s">
        <v>79</v>
      </c>
      <c r="AC3" s="95" t="s">
        <v>80</v>
      </c>
      <c r="AD3" s="86" t="s">
        <v>81</v>
      </c>
      <c r="AE3" s="86" t="s">
        <v>82</v>
      </c>
      <c r="AF3" s="96" t="s">
        <v>83</v>
      </c>
      <c r="AG3" s="26"/>
      <c r="AH3" s="26"/>
    </row>
    <row r="4" spans="1:34" s="27" customFormat="1" ht="114.15" hidden="1" customHeight="1">
      <c r="A4" s="28" t="s">
        <v>84</v>
      </c>
      <c r="B4" s="29" t="s">
        <v>85</v>
      </c>
      <c r="C4" s="81" t="s">
        <v>86</v>
      </c>
      <c r="D4" s="81" t="s">
        <v>87</v>
      </c>
      <c r="E4" s="81" t="s">
        <v>88</v>
      </c>
      <c r="F4" s="81" t="s">
        <v>89</v>
      </c>
      <c r="G4" s="81" t="s">
        <v>90</v>
      </c>
      <c r="H4" s="98">
        <v>3</v>
      </c>
      <c r="I4" s="99" t="s">
        <v>91</v>
      </c>
      <c r="J4" s="100" t="s">
        <v>92</v>
      </c>
      <c r="K4" s="101" t="s">
        <v>93</v>
      </c>
      <c r="L4" s="102">
        <v>4</v>
      </c>
      <c r="M4" s="81">
        <v>4</v>
      </c>
      <c r="N4" s="81">
        <v>4</v>
      </c>
      <c r="O4" s="81">
        <v>4</v>
      </c>
      <c r="P4" s="100">
        <v>4</v>
      </c>
      <c r="Q4" s="101">
        <v>4</v>
      </c>
      <c r="R4" s="53">
        <f>MAX(L4:Q4)</f>
        <v>4</v>
      </c>
      <c r="S4" s="81">
        <v>1</v>
      </c>
      <c r="T4" s="103">
        <f t="shared" ref="T4:T211" si="0">R4*S4</f>
        <v>4</v>
      </c>
      <c r="U4" s="104" t="str">
        <f>IF(T4&lt;8,"ACEPTAR","MITIGAR")</f>
        <v>ACEPTAR</v>
      </c>
      <c r="V4" s="82"/>
      <c r="W4" s="105"/>
      <c r="X4" s="81"/>
      <c r="Y4" s="81"/>
      <c r="Z4" s="83"/>
      <c r="AA4" s="81"/>
      <c r="AB4" s="106"/>
      <c r="AC4" s="107">
        <f t="shared" ref="AC4:AC5" si="1">R4</f>
        <v>4</v>
      </c>
      <c r="AD4" s="81">
        <f t="shared" ref="AD4:AD5" si="2">S4</f>
        <v>1</v>
      </c>
      <c r="AE4" s="103">
        <f t="shared" ref="AE4:AE210" si="3">AC4*AD4</f>
        <v>4</v>
      </c>
      <c r="AF4" s="98" t="str">
        <f t="shared" ref="AF4:AF67" si="4">IF(U4="MITIGAR",IF(AE4&lt;8,"SI",IF(AE4&lt;=T4,"INSUFICIENTE","NO")),"")</f>
        <v/>
      </c>
      <c r="AG4" s="97"/>
      <c r="AH4" s="97"/>
    </row>
    <row r="5" spans="1:34" s="27" customFormat="1" ht="57.6" hidden="1">
      <c r="A5" s="30" t="s">
        <v>94</v>
      </c>
      <c r="B5" s="29" t="s">
        <v>95</v>
      </c>
      <c r="C5" s="81" t="s">
        <v>86</v>
      </c>
      <c r="D5" s="81" t="s">
        <v>96</v>
      </c>
      <c r="E5" s="81" t="s">
        <v>88</v>
      </c>
      <c r="F5" s="81" t="s">
        <v>97</v>
      </c>
      <c r="G5" s="81" t="s">
        <v>98</v>
      </c>
      <c r="H5" s="98">
        <v>3</v>
      </c>
      <c r="I5" s="99" t="s">
        <v>99</v>
      </c>
      <c r="J5" s="100" t="s">
        <v>100</v>
      </c>
      <c r="K5" s="101" t="s">
        <v>101</v>
      </c>
      <c r="L5" s="102">
        <v>4</v>
      </c>
      <c r="M5" s="81">
        <v>4</v>
      </c>
      <c r="N5" s="81">
        <v>4</v>
      </c>
      <c r="O5" s="81">
        <v>4</v>
      </c>
      <c r="P5" s="100">
        <v>4</v>
      </c>
      <c r="Q5" s="101">
        <v>4</v>
      </c>
      <c r="R5" s="53">
        <f t="shared" ref="R5:R68" si="5">MAX(L5:Q5)</f>
        <v>4</v>
      </c>
      <c r="S5" s="81">
        <v>1</v>
      </c>
      <c r="T5" s="103">
        <f t="shared" si="0"/>
        <v>4</v>
      </c>
      <c r="U5" s="104" t="str">
        <f>IF(T5&lt;8,"ACEPTAR","MITIGAR")</f>
        <v>ACEPTAR</v>
      </c>
      <c r="V5" s="82"/>
      <c r="W5" s="105"/>
      <c r="X5" s="81"/>
      <c r="Y5" s="81"/>
      <c r="Z5" s="83"/>
      <c r="AA5" s="108"/>
      <c r="AB5" s="106"/>
      <c r="AC5" s="107">
        <f t="shared" si="1"/>
        <v>4</v>
      </c>
      <c r="AD5" s="81">
        <f t="shared" si="2"/>
        <v>1</v>
      </c>
      <c r="AE5" s="103">
        <f t="shared" si="3"/>
        <v>4</v>
      </c>
      <c r="AF5" s="98" t="str">
        <f t="shared" si="4"/>
        <v/>
      </c>
      <c r="AG5" s="97"/>
      <c r="AH5" s="97"/>
    </row>
    <row r="6" spans="1:34" s="27" customFormat="1" ht="100.8" hidden="1">
      <c r="A6" s="30" t="s">
        <v>94</v>
      </c>
      <c r="B6" s="29" t="s">
        <v>102</v>
      </c>
      <c r="C6" s="81" t="s">
        <v>86</v>
      </c>
      <c r="D6" s="81" t="s">
        <v>103</v>
      </c>
      <c r="E6" s="81" t="s">
        <v>88</v>
      </c>
      <c r="F6" s="81" t="s">
        <v>104</v>
      </c>
      <c r="G6" s="81" t="s">
        <v>98</v>
      </c>
      <c r="H6" s="98">
        <v>3</v>
      </c>
      <c r="I6" s="99" t="s">
        <v>105</v>
      </c>
      <c r="J6" s="100" t="s">
        <v>106</v>
      </c>
      <c r="K6" s="101" t="s">
        <v>107</v>
      </c>
      <c r="L6" s="102">
        <v>3</v>
      </c>
      <c r="M6" s="81">
        <v>3</v>
      </c>
      <c r="N6" s="81">
        <v>3</v>
      </c>
      <c r="O6" s="81">
        <v>3</v>
      </c>
      <c r="P6" s="100">
        <v>3</v>
      </c>
      <c r="Q6" s="101">
        <v>3</v>
      </c>
      <c r="R6" s="53">
        <f t="shared" si="5"/>
        <v>3</v>
      </c>
      <c r="S6" s="81">
        <v>3</v>
      </c>
      <c r="T6" s="103">
        <f t="shared" si="0"/>
        <v>9</v>
      </c>
      <c r="U6" s="104" t="s">
        <v>108</v>
      </c>
      <c r="V6" s="82" t="s">
        <v>109</v>
      </c>
      <c r="W6" s="105"/>
      <c r="X6" s="109"/>
      <c r="Y6" s="81"/>
      <c r="Z6" s="83"/>
      <c r="AA6" s="81"/>
      <c r="AB6" s="106"/>
      <c r="AC6" s="107">
        <f>R6</f>
        <v>3</v>
      </c>
      <c r="AD6" s="81">
        <f>S6</f>
        <v>3</v>
      </c>
      <c r="AE6" s="103">
        <f t="shared" si="3"/>
        <v>9</v>
      </c>
      <c r="AF6" s="98" t="str">
        <f t="shared" si="4"/>
        <v/>
      </c>
      <c r="AG6" s="97"/>
      <c r="AH6" s="97"/>
    </row>
    <row r="7" spans="1:34" s="27" customFormat="1" ht="72" hidden="1">
      <c r="A7" s="30" t="s">
        <v>94</v>
      </c>
      <c r="B7" s="29" t="s">
        <v>110</v>
      </c>
      <c r="C7" s="81" t="s">
        <v>111</v>
      </c>
      <c r="D7" s="81" t="s">
        <v>112</v>
      </c>
      <c r="E7" s="81" t="s">
        <v>113</v>
      </c>
      <c r="F7" s="81" t="s">
        <v>114</v>
      </c>
      <c r="G7" s="81" t="s">
        <v>90</v>
      </c>
      <c r="H7" s="98">
        <v>3</v>
      </c>
      <c r="I7" s="99" t="s">
        <v>115</v>
      </c>
      <c r="J7" s="100" t="s">
        <v>116</v>
      </c>
      <c r="K7" s="101" t="s">
        <v>117</v>
      </c>
      <c r="L7" s="102">
        <v>1</v>
      </c>
      <c r="M7" s="81">
        <v>1</v>
      </c>
      <c r="N7" s="81">
        <v>1</v>
      </c>
      <c r="O7" s="29">
        <v>1</v>
      </c>
      <c r="P7" s="32">
        <v>1</v>
      </c>
      <c r="Q7" s="33">
        <v>2</v>
      </c>
      <c r="R7" s="53">
        <f t="shared" si="5"/>
        <v>2</v>
      </c>
      <c r="S7" s="81">
        <v>1</v>
      </c>
      <c r="T7" s="103">
        <f t="shared" si="0"/>
        <v>2</v>
      </c>
      <c r="U7" s="104" t="str">
        <f t="shared" ref="U7:U69" si="6">IF(T7&lt;8,"ACEPTAR","MITIGAR")</f>
        <v>ACEPTAR</v>
      </c>
      <c r="V7" s="82"/>
      <c r="W7" s="105"/>
      <c r="X7" s="81"/>
      <c r="Y7" s="81"/>
      <c r="Z7" s="83"/>
      <c r="AA7" s="81"/>
      <c r="AB7" s="106"/>
      <c r="AC7" s="107">
        <f t="shared" ref="AC7:AC70" si="7">R7</f>
        <v>2</v>
      </c>
      <c r="AD7" s="81">
        <f t="shared" ref="AD7:AD70" si="8">S7</f>
        <v>1</v>
      </c>
      <c r="AE7" s="103">
        <f t="shared" si="3"/>
        <v>2</v>
      </c>
      <c r="AF7" s="98" t="str">
        <f t="shared" si="4"/>
        <v/>
      </c>
      <c r="AG7" s="97"/>
      <c r="AH7" s="97"/>
    </row>
    <row r="8" spans="1:34" s="27" customFormat="1" ht="57.6" hidden="1">
      <c r="A8" s="30" t="s">
        <v>94</v>
      </c>
      <c r="B8" s="29" t="s">
        <v>118</v>
      </c>
      <c r="C8" s="81" t="s">
        <v>111</v>
      </c>
      <c r="D8" s="81" t="s">
        <v>119</v>
      </c>
      <c r="E8" s="81" t="s">
        <v>120</v>
      </c>
      <c r="F8" s="81" t="s">
        <v>121</v>
      </c>
      <c r="G8" s="81" t="s">
        <v>90</v>
      </c>
      <c r="H8" s="98">
        <v>3</v>
      </c>
      <c r="I8" s="99" t="s">
        <v>122</v>
      </c>
      <c r="J8" s="100" t="s">
        <v>123</v>
      </c>
      <c r="K8" s="101" t="s">
        <v>124</v>
      </c>
      <c r="L8" s="102">
        <v>1</v>
      </c>
      <c r="M8" s="81">
        <v>1</v>
      </c>
      <c r="N8" s="81">
        <v>1</v>
      </c>
      <c r="O8" s="29"/>
      <c r="P8" s="32"/>
      <c r="Q8" s="33"/>
      <c r="R8" s="53">
        <f t="shared" si="5"/>
        <v>1</v>
      </c>
      <c r="S8" s="81">
        <v>1</v>
      </c>
      <c r="T8" s="103">
        <f t="shared" si="0"/>
        <v>1</v>
      </c>
      <c r="U8" s="104" t="str">
        <f t="shared" si="6"/>
        <v>ACEPTAR</v>
      </c>
      <c r="V8" s="82"/>
      <c r="W8" s="105"/>
      <c r="X8" s="81"/>
      <c r="Y8" s="81"/>
      <c r="Z8" s="83"/>
      <c r="AA8" s="81"/>
      <c r="AB8" s="106"/>
      <c r="AC8" s="107">
        <f t="shared" si="7"/>
        <v>1</v>
      </c>
      <c r="AD8" s="81">
        <f t="shared" si="8"/>
        <v>1</v>
      </c>
      <c r="AE8" s="103">
        <f t="shared" si="3"/>
        <v>1</v>
      </c>
      <c r="AF8" s="98" t="str">
        <f t="shared" si="4"/>
        <v/>
      </c>
      <c r="AG8" s="97"/>
      <c r="AH8" s="97"/>
    </row>
    <row r="9" spans="1:34" s="27" customFormat="1" ht="97.2" customHeight="1">
      <c r="A9" s="30" t="s">
        <v>94</v>
      </c>
      <c r="B9" s="29" t="s">
        <v>125</v>
      </c>
      <c r="C9" s="175" t="s">
        <v>285</v>
      </c>
      <c r="D9" s="175" t="s">
        <v>126</v>
      </c>
      <c r="E9" s="81" t="s">
        <v>127</v>
      </c>
      <c r="F9" s="81" t="s">
        <v>128</v>
      </c>
      <c r="G9" s="81" t="s">
        <v>90</v>
      </c>
      <c r="H9" s="98">
        <v>3</v>
      </c>
      <c r="I9" s="99" t="s">
        <v>129</v>
      </c>
      <c r="J9" s="100" t="s">
        <v>130</v>
      </c>
      <c r="K9" s="101" t="s">
        <v>131</v>
      </c>
      <c r="L9" s="102">
        <v>3</v>
      </c>
      <c r="M9" s="81">
        <v>4</v>
      </c>
      <c r="N9" s="81">
        <v>4</v>
      </c>
      <c r="O9" s="29">
        <v>3</v>
      </c>
      <c r="P9" s="32">
        <v>3</v>
      </c>
      <c r="Q9" s="33">
        <v>3</v>
      </c>
      <c r="R9" s="53">
        <f t="shared" si="5"/>
        <v>4</v>
      </c>
      <c r="S9" s="81">
        <v>3</v>
      </c>
      <c r="T9" s="103">
        <f t="shared" si="0"/>
        <v>12</v>
      </c>
      <c r="U9" s="104" t="str">
        <f t="shared" si="6"/>
        <v>MITIGAR</v>
      </c>
      <c r="V9" s="82" t="s">
        <v>132</v>
      </c>
      <c r="W9" s="55"/>
      <c r="X9" s="81" t="s">
        <v>133</v>
      </c>
      <c r="Y9" s="175" t="s">
        <v>1961</v>
      </c>
      <c r="Z9" s="83" t="s">
        <v>135</v>
      </c>
      <c r="AA9" s="81"/>
      <c r="AB9" s="106"/>
      <c r="AC9" s="107">
        <f t="shared" si="7"/>
        <v>4</v>
      </c>
      <c r="AD9" s="81">
        <f t="shared" si="8"/>
        <v>3</v>
      </c>
      <c r="AE9" s="103">
        <f t="shared" si="3"/>
        <v>12</v>
      </c>
      <c r="AF9" s="98" t="str">
        <f t="shared" si="4"/>
        <v>INSUFICIENTE</v>
      </c>
      <c r="AG9" s="97"/>
      <c r="AH9" s="97"/>
    </row>
    <row r="10" spans="1:34" s="27" customFormat="1" ht="57.6" hidden="1">
      <c r="A10" s="30" t="s">
        <v>94</v>
      </c>
      <c r="B10" s="29" t="s">
        <v>136</v>
      </c>
      <c r="C10" s="81" t="s">
        <v>111</v>
      </c>
      <c r="D10" s="81" t="s">
        <v>137</v>
      </c>
      <c r="E10" s="81" t="s">
        <v>138</v>
      </c>
      <c r="F10" s="81" t="s">
        <v>139</v>
      </c>
      <c r="G10" s="81" t="s">
        <v>140</v>
      </c>
      <c r="H10" s="98">
        <v>2</v>
      </c>
      <c r="I10" s="99" t="s">
        <v>141</v>
      </c>
      <c r="J10" s="100" t="s">
        <v>142</v>
      </c>
      <c r="K10" s="101" t="s">
        <v>143</v>
      </c>
      <c r="L10" s="102"/>
      <c r="M10" s="81"/>
      <c r="N10" s="81">
        <v>2</v>
      </c>
      <c r="O10" s="81"/>
      <c r="P10" s="100"/>
      <c r="Q10" s="101">
        <v>3</v>
      </c>
      <c r="R10" s="53">
        <f t="shared" si="5"/>
        <v>3</v>
      </c>
      <c r="S10" s="81">
        <v>1</v>
      </c>
      <c r="T10" s="103">
        <f t="shared" si="0"/>
        <v>3</v>
      </c>
      <c r="U10" s="104" t="str">
        <f t="shared" si="6"/>
        <v>ACEPTAR</v>
      </c>
      <c r="V10" s="82"/>
      <c r="W10" s="105"/>
      <c r="X10" s="81"/>
      <c r="Y10" s="81"/>
      <c r="Z10" s="83"/>
      <c r="AA10" s="81"/>
      <c r="AB10" s="106"/>
      <c r="AC10" s="107">
        <f t="shared" si="7"/>
        <v>3</v>
      </c>
      <c r="AD10" s="81">
        <f t="shared" si="8"/>
        <v>1</v>
      </c>
      <c r="AE10" s="103">
        <f t="shared" si="3"/>
        <v>3</v>
      </c>
      <c r="AF10" s="98" t="str">
        <f t="shared" si="4"/>
        <v/>
      </c>
      <c r="AG10" s="97"/>
      <c r="AH10" s="97"/>
    </row>
    <row r="11" spans="1:34" s="27" customFormat="1" ht="57.6" hidden="1">
      <c r="A11" s="30" t="s">
        <v>94</v>
      </c>
      <c r="B11" s="29" t="s">
        <v>144</v>
      </c>
      <c r="C11" s="81" t="s">
        <v>111</v>
      </c>
      <c r="D11" s="81" t="s">
        <v>145</v>
      </c>
      <c r="E11" s="81" t="s">
        <v>146</v>
      </c>
      <c r="F11" s="81" t="s">
        <v>147</v>
      </c>
      <c r="G11" s="175" t="s">
        <v>148</v>
      </c>
      <c r="H11" s="98">
        <v>3</v>
      </c>
      <c r="I11" s="99" t="s">
        <v>149</v>
      </c>
      <c r="J11" s="100" t="s">
        <v>150</v>
      </c>
      <c r="K11" s="101" t="s">
        <v>151</v>
      </c>
      <c r="L11" s="102"/>
      <c r="M11" s="81"/>
      <c r="N11" s="81">
        <v>3</v>
      </c>
      <c r="O11" s="81"/>
      <c r="P11" s="100"/>
      <c r="Q11" s="101">
        <v>3</v>
      </c>
      <c r="R11" s="53">
        <f t="shared" si="5"/>
        <v>3</v>
      </c>
      <c r="S11" s="81">
        <v>2</v>
      </c>
      <c r="T11" s="103">
        <f t="shared" si="0"/>
        <v>6</v>
      </c>
      <c r="U11" s="104" t="str">
        <f t="shared" si="6"/>
        <v>ACEPTAR</v>
      </c>
      <c r="V11" s="82"/>
      <c r="W11" s="105"/>
      <c r="X11" s="81"/>
      <c r="Y11" s="81"/>
      <c r="Z11" s="83"/>
      <c r="AA11" s="81"/>
      <c r="AB11" s="106"/>
      <c r="AC11" s="107">
        <f t="shared" si="7"/>
        <v>3</v>
      </c>
      <c r="AD11" s="81">
        <f t="shared" si="8"/>
        <v>2</v>
      </c>
      <c r="AE11" s="103">
        <f t="shared" si="3"/>
        <v>6</v>
      </c>
      <c r="AF11" s="98" t="str">
        <f t="shared" si="4"/>
        <v/>
      </c>
      <c r="AG11" s="97"/>
      <c r="AH11" s="97"/>
    </row>
    <row r="12" spans="1:34" s="27" customFormat="1" ht="67.2" hidden="1" customHeight="1">
      <c r="A12" s="30" t="s">
        <v>94</v>
      </c>
      <c r="B12" s="29" t="s">
        <v>152</v>
      </c>
      <c r="C12" s="81" t="s">
        <v>111</v>
      </c>
      <c r="D12" s="81" t="s">
        <v>153</v>
      </c>
      <c r="E12" s="81" t="s">
        <v>154</v>
      </c>
      <c r="F12" s="81" t="s">
        <v>147</v>
      </c>
      <c r="G12" s="175" t="s">
        <v>1960</v>
      </c>
      <c r="H12" s="98">
        <v>3</v>
      </c>
      <c r="I12" s="99" t="s">
        <v>149</v>
      </c>
      <c r="J12" s="100" t="s">
        <v>150</v>
      </c>
      <c r="K12" s="101" t="s">
        <v>155</v>
      </c>
      <c r="L12" s="102"/>
      <c r="M12" s="81"/>
      <c r="N12" s="81">
        <v>3</v>
      </c>
      <c r="O12" s="81"/>
      <c r="P12" s="100"/>
      <c r="Q12" s="101"/>
      <c r="R12" s="53">
        <f t="shared" si="5"/>
        <v>3</v>
      </c>
      <c r="S12" s="81">
        <v>1</v>
      </c>
      <c r="T12" s="103">
        <f t="shared" si="0"/>
        <v>3</v>
      </c>
      <c r="U12" s="104" t="str">
        <f t="shared" si="6"/>
        <v>ACEPTAR</v>
      </c>
      <c r="V12" s="82"/>
      <c r="W12" s="105"/>
      <c r="X12" s="81"/>
      <c r="Y12" s="81"/>
      <c r="Z12" s="83"/>
      <c r="AA12" s="81"/>
      <c r="AB12" s="106"/>
      <c r="AC12" s="107">
        <f t="shared" si="7"/>
        <v>3</v>
      </c>
      <c r="AD12" s="81">
        <f t="shared" si="8"/>
        <v>1</v>
      </c>
      <c r="AE12" s="103">
        <f t="shared" si="3"/>
        <v>3</v>
      </c>
      <c r="AF12" s="98" t="str">
        <f t="shared" si="4"/>
        <v/>
      </c>
      <c r="AG12" s="97"/>
      <c r="AH12" s="97"/>
    </row>
    <row r="13" spans="1:34" s="27" customFormat="1" ht="57.6" hidden="1">
      <c r="A13" s="30" t="s">
        <v>156</v>
      </c>
      <c r="B13" s="29" t="s">
        <v>157</v>
      </c>
      <c r="C13" s="81" t="s">
        <v>158</v>
      </c>
      <c r="D13" s="81" t="s">
        <v>159</v>
      </c>
      <c r="E13" s="81" t="s">
        <v>160</v>
      </c>
      <c r="F13" s="81" t="s">
        <v>161</v>
      </c>
      <c r="G13" s="81" t="s">
        <v>162</v>
      </c>
      <c r="H13" s="98">
        <v>3</v>
      </c>
      <c r="I13" s="99" t="s">
        <v>163</v>
      </c>
      <c r="J13" s="100" t="s">
        <v>164</v>
      </c>
      <c r="K13" s="101" t="s">
        <v>165</v>
      </c>
      <c r="L13" s="102">
        <v>3</v>
      </c>
      <c r="M13" s="81">
        <v>3</v>
      </c>
      <c r="N13" s="81">
        <v>3</v>
      </c>
      <c r="O13" s="81"/>
      <c r="P13" s="100"/>
      <c r="Q13" s="101"/>
      <c r="R13" s="53">
        <f t="shared" si="5"/>
        <v>3</v>
      </c>
      <c r="S13" s="81">
        <v>2</v>
      </c>
      <c r="T13" s="103">
        <f t="shared" si="0"/>
        <v>6</v>
      </c>
      <c r="U13" s="104" t="str">
        <f t="shared" si="6"/>
        <v>ACEPTAR</v>
      </c>
      <c r="V13" s="82"/>
      <c r="W13" s="105"/>
      <c r="X13" s="81"/>
      <c r="Y13" s="81"/>
      <c r="Z13" s="83"/>
      <c r="AA13" s="81"/>
      <c r="AB13" s="106"/>
      <c r="AC13" s="107">
        <f t="shared" si="7"/>
        <v>3</v>
      </c>
      <c r="AD13" s="81">
        <f t="shared" si="8"/>
        <v>2</v>
      </c>
      <c r="AE13" s="103">
        <f t="shared" si="3"/>
        <v>6</v>
      </c>
      <c r="AF13" s="98" t="str">
        <f t="shared" si="4"/>
        <v/>
      </c>
      <c r="AG13" s="97"/>
      <c r="AH13" s="97"/>
    </row>
    <row r="14" spans="1:34" s="27" customFormat="1" ht="43.2" hidden="1">
      <c r="A14" s="30" t="s">
        <v>156</v>
      </c>
      <c r="B14" s="29" t="s">
        <v>166</v>
      </c>
      <c r="C14" s="81" t="s">
        <v>158</v>
      </c>
      <c r="D14" s="81" t="s">
        <v>159</v>
      </c>
      <c r="E14" s="81" t="s">
        <v>167</v>
      </c>
      <c r="F14" s="81" t="s">
        <v>168</v>
      </c>
      <c r="G14" s="81" t="s">
        <v>162</v>
      </c>
      <c r="H14" s="98">
        <v>3</v>
      </c>
      <c r="I14" s="99" t="s">
        <v>163</v>
      </c>
      <c r="J14" s="100" t="s">
        <v>164</v>
      </c>
      <c r="K14" s="101" t="s">
        <v>165</v>
      </c>
      <c r="L14" s="102"/>
      <c r="M14" s="81"/>
      <c r="N14" s="81"/>
      <c r="O14" s="81"/>
      <c r="P14" s="100"/>
      <c r="Q14" s="101">
        <v>1</v>
      </c>
      <c r="R14" s="53">
        <f t="shared" si="5"/>
        <v>1</v>
      </c>
      <c r="S14" s="81">
        <v>1</v>
      </c>
      <c r="T14" s="103">
        <f t="shared" si="0"/>
        <v>1</v>
      </c>
      <c r="U14" s="104" t="str">
        <f t="shared" si="6"/>
        <v>ACEPTAR</v>
      </c>
      <c r="V14" s="82"/>
      <c r="W14" s="110"/>
      <c r="Y14" s="81"/>
      <c r="Z14" s="83"/>
      <c r="AA14" s="81"/>
      <c r="AB14" s="106"/>
      <c r="AC14" s="107">
        <f t="shared" si="7"/>
        <v>1</v>
      </c>
      <c r="AD14" s="81">
        <f t="shared" si="8"/>
        <v>1</v>
      </c>
      <c r="AE14" s="103">
        <f t="shared" si="3"/>
        <v>1</v>
      </c>
      <c r="AF14" s="98" t="str">
        <f t="shared" si="4"/>
        <v/>
      </c>
      <c r="AG14" s="97"/>
      <c r="AH14" s="97"/>
    </row>
    <row r="15" spans="1:34" s="27" customFormat="1" ht="78" hidden="1" customHeight="1">
      <c r="A15" s="30" t="s">
        <v>156</v>
      </c>
      <c r="B15" s="29" t="s">
        <v>169</v>
      </c>
      <c r="C15" s="81" t="s">
        <v>170</v>
      </c>
      <c r="D15" s="81" t="s">
        <v>171</v>
      </c>
      <c r="E15" s="81" t="s">
        <v>172</v>
      </c>
      <c r="F15" s="110" t="s">
        <v>173</v>
      </c>
      <c r="G15" s="81" t="s">
        <v>98</v>
      </c>
      <c r="H15" s="98">
        <v>3</v>
      </c>
      <c r="I15" s="99" t="s">
        <v>174</v>
      </c>
      <c r="J15" s="100" t="s">
        <v>175</v>
      </c>
      <c r="K15" s="101" t="s">
        <v>176</v>
      </c>
      <c r="L15" s="102">
        <v>4</v>
      </c>
      <c r="M15" s="81">
        <v>4</v>
      </c>
      <c r="N15" s="81">
        <v>4</v>
      </c>
      <c r="O15" s="29">
        <v>4</v>
      </c>
      <c r="P15" s="32">
        <v>4</v>
      </c>
      <c r="Q15" s="33">
        <v>4</v>
      </c>
      <c r="R15" s="53">
        <f t="shared" si="5"/>
        <v>4</v>
      </c>
      <c r="S15" s="81">
        <v>1</v>
      </c>
      <c r="T15" s="103">
        <f t="shared" si="0"/>
        <v>4</v>
      </c>
      <c r="U15" s="104" t="str">
        <f t="shared" si="6"/>
        <v>ACEPTAR</v>
      </c>
      <c r="V15" s="82"/>
      <c r="W15" s="55"/>
      <c r="X15" s="81"/>
      <c r="Y15" s="81"/>
      <c r="Z15" s="83"/>
      <c r="AA15" s="81"/>
      <c r="AB15" s="106"/>
      <c r="AC15" s="107">
        <f t="shared" si="7"/>
        <v>4</v>
      </c>
      <c r="AD15" s="81">
        <f t="shared" si="8"/>
        <v>1</v>
      </c>
      <c r="AE15" s="103">
        <f t="shared" si="3"/>
        <v>4</v>
      </c>
      <c r="AF15" s="98" t="str">
        <f t="shared" si="4"/>
        <v/>
      </c>
      <c r="AG15" s="97"/>
      <c r="AH15" s="97"/>
    </row>
    <row r="16" spans="1:34" s="27" customFormat="1" ht="57.6" hidden="1">
      <c r="A16" s="30" t="s">
        <v>156</v>
      </c>
      <c r="B16" s="29" t="s">
        <v>177</v>
      </c>
      <c r="C16" s="81" t="s">
        <v>111</v>
      </c>
      <c r="D16" s="81" t="s">
        <v>178</v>
      </c>
      <c r="E16" s="81" t="s">
        <v>179</v>
      </c>
      <c r="F16" s="81" t="s">
        <v>97</v>
      </c>
      <c r="G16" s="81" t="s">
        <v>98</v>
      </c>
      <c r="H16" s="98">
        <v>3</v>
      </c>
      <c r="I16" s="99" t="s">
        <v>180</v>
      </c>
      <c r="J16" s="100" t="s">
        <v>181</v>
      </c>
      <c r="K16" s="101" t="s">
        <v>182</v>
      </c>
      <c r="L16" s="102">
        <v>3</v>
      </c>
      <c r="M16" s="81">
        <v>3</v>
      </c>
      <c r="N16" s="81">
        <v>3</v>
      </c>
      <c r="O16" s="81">
        <v>3</v>
      </c>
      <c r="P16" s="100">
        <v>3</v>
      </c>
      <c r="Q16" s="101">
        <v>3</v>
      </c>
      <c r="R16" s="53">
        <f t="shared" si="5"/>
        <v>3</v>
      </c>
      <c r="S16" s="81">
        <v>2</v>
      </c>
      <c r="T16" s="103">
        <f t="shared" si="0"/>
        <v>6</v>
      </c>
      <c r="U16" s="104" t="str">
        <f t="shared" si="6"/>
        <v>ACEPTAR</v>
      </c>
      <c r="V16" s="82"/>
      <c r="W16" s="105"/>
      <c r="X16" s="81"/>
      <c r="Y16" s="81"/>
      <c r="Z16" s="83"/>
      <c r="AA16" s="108"/>
      <c r="AB16" s="106"/>
      <c r="AC16" s="107">
        <f t="shared" si="7"/>
        <v>3</v>
      </c>
      <c r="AD16" s="81">
        <f t="shared" si="8"/>
        <v>2</v>
      </c>
      <c r="AE16" s="103">
        <f t="shared" si="3"/>
        <v>6</v>
      </c>
      <c r="AF16" s="98" t="str">
        <f t="shared" si="4"/>
        <v/>
      </c>
      <c r="AG16" s="97"/>
      <c r="AH16" s="97"/>
    </row>
    <row r="17" spans="1:34" s="27" customFormat="1" ht="57.6" hidden="1">
      <c r="A17" s="30" t="s">
        <v>156</v>
      </c>
      <c r="B17" s="29" t="s">
        <v>183</v>
      </c>
      <c r="C17" s="81" t="s">
        <v>170</v>
      </c>
      <c r="D17" s="81" t="s">
        <v>184</v>
      </c>
      <c r="E17" s="81" t="s">
        <v>185</v>
      </c>
      <c r="F17" s="81" t="s">
        <v>161</v>
      </c>
      <c r="G17" s="81" t="s">
        <v>98</v>
      </c>
      <c r="H17" s="98">
        <v>3</v>
      </c>
      <c r="I17" s="99" t="s">
        <v>186</v>
      </c>
      <c r="J17" s="100" t="s">
        <v>187</v>
      </c>
      <c r="K17" s="101" t="s">
        <v>188</v>
      </c>
      <c r="L17" s="102">
        <v>3</v>
      </c>
      <c r="M17" s="81">
        <v>3</v>
      </c>
      <c r="N17" s="81">
        <v>3</v>
      </c>
      <c r="O17" s="29">
        <v>3</v>
      </c>
      <c r="P17" s="32">
        <v>3</v>
      </c>
      <c r="Q17" s="33">
        <v>3</v>
      </c>
      <c r="R17" s="53">
        <f t="shared" si="5"/>
        <v>3</v>
      </c>
      <c r="S17" s="81">
        <v>2</v>
      </c>
      <c r="T17" s="103">
        <f t="shared" si="0"/>
        <v>6</v>
      </c>
      <c r="U17" s="104" t="s">
        <v>108</v>
      </c>
      <c r="W17" s="55"/>
      <c r="X17" s="81"/>
      <c r="Y17" s="84"/>
      <c r="Z17" s="83"/>
      <c r="AA17" s="111"/>
      <c r="AB17" s="106"/>
      <c r="AC17" s="107">
        <f t="shared" si="7"/>
        <v>3</v>
      </c>
      <c r="AD17" s="81">
        <f t="shared" si="8"/>
        <v>2</v>
      </c>
      <c r="AE17" s="103">
        <f t="shared" si="3"/>
        <v>6</v>
      </c>
      <c r="AF17" s="98" t="str">
        <f t="shared" si="4"/>
        <v/>
      </c>
      <c r="AG17" s="97"/>
      <c r="AH17" s="97"/>
    </row>
    <row r="18" spans="1:34" s="27" customFormat="1" ht="81.599999999999994" customHeight="1">
      <c r="A18" s="30" t="s">
        <v>156</v>
      </c>
      <c r="B18" s="29" t="s">
        <v>183</v>
      </c>
      <c r="C18" s="81" t="s">
        <v>170</v>
      </c>
      <c r="D18" s="81" t="s">
        <v>189</v>
      </c>
      <c r="E18" s="81" t="s">
        <v>185</v>
      </c>
      <c r="F18" s="81" t="s">
        <v>161</v>
      </c>
      <c r="G18" s="81" t="s">
        <v>98</v>
      </c>
      <c r="H18" s="98">
        <v>3</v>
      </c>
      <c r="I18" s="99" t="s">
        <v>186</v>
      </c>
      <c r="J18" s="100" t="s">
        <v>187</v>
      </c>
      <c r="K18" s="101" t="s">
        <v>188</v>
      </c>
      <c r="L18" s="102">
        <v>3</v>
      </c>
      <c r="M18" s="81">
        <v>3</v>
      </c>
      <c r="N18" s="81">
        <v>3</v>
      </c>
      <c r="O18" s="29">
        <v>3</v>
      </c>
      <c r="P18" s="32">
        <v>3</v>
      </c>
      <c r="Q18" s="33">
        <v>3</v>
      </c>
      <c r="R18" s="53">
        <f t="shared" si="5"/>
        <v>3</v>
      </c>
      <c r="S18" s="81">
        <v>3</v>
      </c>
      <c r="T18" s="103">
        <f t="shared" ref="T18" si="9">R18*S18</f>
        <v>9</v>
      </c>
      <c r="U18" s="104" t="str">
        <f t="shared" ref="U18" si="10">IF(T18&lt;8,"ACEPTAR","MITIGAR")</f>
        <v>MITIGAR</v>
      </c>
      <c r="V18" s="82" t="s">
        <v>190</v>
      </c>
      <c r="W18" s="55"/>
      <c r="X18" s="81"/>
      <c r="Y18" s="84"/>
      <c r="Z18" s="83"/>
      <c r="AA18" s="111"/>
      <c r="AB18" s="106"/>
      <c r="AC18" s="107">
        <f t="shared" si="7"/>
        <v>3</v>
      </c>
      <c r="AD18" s="81">
        <f t="shared" si="8"/>
        <v>3</v>
      </c>
      <c r="AE18" s="103">
        <f t="shared" ref="AE18" si="11">AC18*AD18</f>
        <v>9</v>
      </c>
      <c r="AF18" s="98" t="str">
        <f t="shared" si="4"/>
        <v>INSUFICIENTE</v>
      </c>
      <c r="AG18" s="97"/>
      <c r="AH18" s="97"/>
    </row>
    <row r="19" spans="1:34" s="27" customFormat="1" ht="86.4" hidden="1">
      <c r="A19" s="30" t="s">
        <v>156</v>
      </c>
      <c r="B19" s="29" t="s">
        <v>191</v>
      </c>
      <c r="C19" s="81" t="s">
        <v>170</v>
      </c>
      <c r="D19" s="81" t="s">
        <v>192</v>
      </c>
      <c r="E19" s="81" t="s">
        <v>193</v>
      </c>
      <c r="F19" s="81" t="s">
        <v>194</v>
      </c>
      <c r="G19" s="81" t="s">
        <v>98</v>
      </c>
      <c r="H19" s="98">
        <v>3</v>
      </c>
      <c r="I19" s="99" t="s">
        <v>195</v>
      </c>
      <c r="J19" s="100" t="s">
        <v>196</v>
      </c>
      <c r="K19" s="101" t="s">
        <v>176</v>
      </c>
      <c r="L19" s="102">
        <v>3</v>
      </c>
      <c r="M19" s="81">
        <v>3</v>
      </c>
      <c r="N19" s="81">
        <v>3</v>
      </c>
      <c r="O19" s="29">
        <v>3</v>
      </c>
      <c r="P19" s="32">
        <v>3</v>
      </c>
      <c r="Q19" s="33">
        <v>3</v>
      </c>
      <c r="R19" s="53">
        <f t="shared" si="5"/>
        <v>3</v>
      </c>
      <c r="S19" s="81">
        <v>2</v>
      </c>
      <c r="T19" s="103">
        <f t="shared" si="0"/>
        <v>6</v>
      </c>
      <c r="U19" s="104" t="str">
        <f t="shared" si="6"/>
        <v>ACEPTAR</v>
      </c>
      <c r="V19" s="82"/>
      <c r="W19" s="105"/>
      <c r="X19" s="81"/>
      <c r="Y19" s="81"/>
      <c r="Z19" s="83"/>
      <c r="AA19" s="111"/>
      <c r="AB19" s="106"/>
      <c r="AC19" s="107">
        <f t="shared" si="7"/>
        <v>3</v>
      </c>
      <c r="AD19" s="81">
        <f t="shared" si="8"/>
        <v>2</v>
      </c>
      <c r="AE19" s="103">
        <f t="shared" si="3"/>
        <v>6</v>
      </c>
      <c r="AF19" s="98" t="str">
        <f t="shared" si="4"/>
        <v/>
      </c>
      <c r="AG19" s="97"/>
      <c r="AH19" s="97"/>
    </row>
    <row r="20" spans="1:34" s="27" customFormat="1" ht="57.6" hidden="1">
      <c r="A20" s="30" t="s">
        <v>156</v>
      </c>
      <c r="B20" s="29" t="s">
        <v>197</v>
      </c>
      <c r="C20" s="81" t="s">
        <v>170</v>
      </c>
      <c r="D20" s="81" t="s">
        <v>198</v>
      </c>
      <c r="E20" s="81" t="s">
        <v>199</v>
      </c>
      <c r="F20" s="81" t="s">
        <v>200</v>
      </c>
      <c r="G20" s="81" t="s">
        <v>201</v>
      </c>
      <c r="H20" s="98">
        <v>2</v>
      </c>
      <c r="I20" s="99" t="s">
        <v>202</v>
      </c>
      <c r="J20" s="100" t="s">
        <v>203</v>
      </c>
      <c r="K20" s="101" t="s">
        <v>176</v>
      </c>
      <c r="L20" s="102"/>
      <c r="M20" s="81"/>
      <c r="N20" s="81">
        <v>3</v>
      </c>
      <c r="O20" s="81"/>
      <c r="P20" s="100"/>
      <c r="Q20" s="101">
        <v>3</v>
      </c>
      <c r="R20" s="53">
        <f t="shared" si="5"/>
        <v>3</v>
      </c>
      <c r="S20" s="81">
        <v>2</v>
      </c>
      <c r="T20" s="103">
        <f t="shared" si="0"/>
        <v>6</v>
      </c>
      <c r="U20" s="104" t="str">
        <f t="shared" si="6"/>
        <v>ACEPTAR</v>
      </c>
      <c r="V20" s="82"/>
      <c r="W20" s="105"/>
      <c r="X20" s="81"/>
      <c r="Y20" s="81"/>
      <c r="Z20" s="83"/>
      <c r="AA20" s="111"/>
      <c r="AB20" s="106"/>
      <c r="AC20" s="107">
        <f t="shared" si="7"/>
        <v>3</v>
      </c>
      <c r="AD20" s="81">
        <f t="shared" si="8"/>
        <v>2</v>
      </c>
      <c r="AE20" s="103">
        <f t="shared" si="3"/>
        <v>6</v>
      </c>
      <c r="AF20" s="98" t="str">
        <f t="shared" si="4"/>
        <v/>
      </c>
      <c r="AG20" s="97"/>
      <c r="AH20" s="97"/>
    </row>
    <row r="21" spans="1:34" s="27" customFormat="1" ht="86.4" hidden="1">
      <c r="A21" s="30" t="s">
        <v>204</v>
      </c>
      <c r="B21" s="29" t="s">
        <v>205</v>
      </c>
      <c r="C21" s="81" t="s">
        <v>206</v>
      </c>
      <c r="D21" s="81" t="s">
        <v>207</v>
      </c>
      <c r="E21" s="81" t="s">
        <v>208</v>
      </c>
      <c r="F21" s="81" t="s">
        <v>209</v>
      </c>
      <c r="G21" s="81" t="s">
        <v>210</v>
      </c>
      <c r="H21" s="98">
        <v>3</v>
      </c>
      <c r="I21" s="99" t="s">
        <v>211</v>
      </c>
      <c r="J21" s="100" t="s">
        <v>212</v>
      </c>
      <c r="K21" s="101" t="s">
        <v>213</v>
      </c>
      <c r="L21" s="102">
        <v>3</v>
      </c>
      <c r="M21" s="81">
        <v>3</v>
      </c>
      <c r="N21" s="81">
        <v>3</v>
      </c>
      <c r="O21" s="29">
        <v>3</v>
      </c>
      <c r="P21" s="32">
        <v>3</v>
      </c>
      <c r="Q21" s="33">
        <v>3</v>
      </c>
      <c r="R21" s="53">
        <f t="shared" si="5"/>
        <v>3</v>
      </c>
      <c r="S21" s="81">
        <v>2</v>
      </c>
      <c r="T21" s="103">
        <f t="shared" si="0"/>
        <v>6</v>
      </c>
      <c r="U21" s="104" t="str">
        <f t="shared" si="6"/>
        <v>ACEPTAR</v>
      </c>
      <c r="V21" s="82"/>
      <c r="W21" s="105"/>
      <c r="X21" s="81"/>
      <c r="Y21" s="81"/>
      <c r="Z21" s="83"/>
      <c r="AA21" s="111"/>
      <c r="AB21" s="106"/>
      <c r="AC21" s="107">
        <f t="shared" si="7"/>
        <v>3</v>
      </c>
      <c r="AD21" s="81">
        <f t="shared" si="8"/>
        <v>2</v>
      </c>
      <c r="AE21" s="103">
        <f t="shared" si="3"/>
        <v>6</v>
      </c>
      <c r="AF21" s="98" t="str">
        <f t="shared" si="4"/>
        <v/>
      </c>
      <c r="AG21" s="97"/>
      <c r="AH21" s="97"/>
    </row>
    <row r="22" spans="1:34" s="27" customFormat="1" ht="86.4" hidden="1">
      <c r="A22" s="30" t="s">
        <v>204</v>
      </c>
      <c r="B22" s="29" t="s">
        <v>214</v>
      </c>
      <c r="C22" s="81" t="s">
        <v>215</v>
      </c>
      <c r="D22" s="81" t="s">
        <v>216</v>
      </c>
      <c r="E22" s="81" t="s">
        <v>217</v>
      </c>
      <c r="F22" s="81" t="s">
        <v>218</v>
      </c>
      <c r="G22" s="81" t="s">
        <v>210</v>
      </c>
      <c r="H22" s="98">
        <v>3</v>
      </c>
      <c r="I22" s="99" t="s">
        <v>219</v>
      </c>
      <c r="J22" s="100" t="s">
        <v>212</v>
      </c>
      <c r="K22" s="101" t="s">
        <v>213</v>
      </c>
      <c r="L22" s="102">
        <v>4</v>
      </c>
      <c r="M22" s="81">
        <v>4</v>
      </c>
      <c r="N22" s="81">
        <v>4</v>
      </c>
      <c r="O22" s="29">
        <v>4</v>
      </c>
      <c r="P22" s="32">
        <v>4</v>
      </c>
      <c r="Q22" s="101"/>
      <c r="R22" s="53">
        <f t="shared" si="5"/>
        <v>4</v>
      </c>
      <c r="S22" s="81">
        <v>1</v>
      </c>
      <c r="T22" s="103">
        <f t="shared" si="0"/>
        <v>4</v>
      </c>
      <c r="U22" s="104" t="str">
        <f t="shared" si="6"/>
        <v>ACEPTAR</v>
      </c>
      <c r="V22" s="82"/>
      <c r="W22" s="105"/>
      <c r="X22" s="81"/>
      <c r="Y22" s="81"/>
      <c r="Z22" s="83"/>
      <c r="AA22" s="111"/>
      <c r="AB22" s="106"/>
      <c r="AC22" s="107">
        <f t="shared" si="7"/>
        <v>4</v>
      </c>
      <c r="AD22" s="81">
        <f t="shared" si="8"/>
        <v>1</v>
      </c>
      <c r="AE22" s="103">
        <f t="shared" si="3"/>
        <v>4</v>
      </c>
      <c r="AF22" s="98" t="str">
        <f t="shared" si="4"/>
        <v/>
      </c>
      <c r="AG22" s="97"/>
      <c r="AH22" s="97"/>
    </row>
    <row r="23" spans="1:34" s="27" customFormat="1" ht="43.2" hidden="1">
      <c r="A23" s="30" t="s">
        <v>204</v>
      </c>
      <c r="B23" s="29" t="s">
        <v>220</v>
      </c>
      <c r="C23" s="81" t="s">
        <v>111</v>
      </c>
      <c r="D23" s="81" t="s">
        <v>221</v>
      </c>
      <c r="E23" s="81" t="s">
        <v>222</v>
      </c>
      <c r="F23" s="81" t="s">
        <v>218</v>
      </c>
      <c r="G23" s="81" t="s">
        <v>223</v>
      </c>
      <c r="H23" s="98">
        <v>2</v>
      </c>
      <c r="I23" s="99" t="s">
        <v>224</v>
      </c>
      <c r="J23" s="100" t="s">
        <v>225</v>
      </c>
      <c r="K23" s="101" t="s">
        <v>176</v>
      </c>
      <c r="L23" s="102">
        <v>3</v>
      </c>
      <c r="M23" s="81">
        <v>3</v>
      </c>
      <c r="N23" s="81">
        <v>3</v>
      </c>
      <c r="O23" s="29">
        <v>3</v>
      </c>
      <c r="P23" s="32">
        <v>3</v>
      </c>
      <c r="Q23" s="101">
        <v>3</v>
      </c>
      <c r="R23" s="53">
        <f t="shared" si="5"/>
        <v>3</v>
      </c>
      <c r="S23" s="81">
        <v>2</v>
      </c>
      <c r="T23" s="103">
        <f t="shared" si="0"/>
        <v>6</v>
      </c>
      <c r="U23" s="104" t="str">
        <f t="shared" si="6"/>
        <v>ACEPTAR</v>
      </c>
      <c r="V23" s="82"/>
      <c r="W23" s="105"/>
      <c r="X23" s="81"/>
      <c r="Y23" s="81"/>
      <c r="Z23" s="83"/>
      <c r="AA23" s="111"/>
      <c r="AB23" s="106"/>
      <c r="AC23" s="107">
        <f t="shared" si="7"/>
        <v>3</v>
      </c>
      <c r="AD23" s="81">
        <f t="shared" si="8"/>
        <v>2</v>
      </c>
      <c r="AE23" s="103">
        <f t="shared" si="3"/>
        <v>6</v>
      </c>
      <c r="AF23" s="98" t="str">
        <f t="shared" si="4"/>
        <v/>
      </c>
      <c r="AG23" s="97"/>
      <c r="AH23" s="97"/>
    </row>
    <row r="24" spans="1:34" s="27" customFormat="1" ht="43.2" hidden="1">
      <c r="A24" s="30" t="s">
        <v>204</v>
      </c>
      <c r="B24" s="29" t="s">
        <v>226</v>
      </c>
      <c r="C24" s="81" t="s">
        <v>158</v>
      </c>
      <c r="D24" s="81" t="s">
        <v>227</v>
      </c>
      <c r="E24" s="81" t="s">
        <v>228</v>
      </c>
      <c r="F24" s="81" t="s">
        <v>229</v>
      </c>
      <c r="G24" s="81" t="s">
        <v>223</v>
      </c>
      <c r="H24" s="98">
        <v>2</v>
      </c>
      <c r="I24" s="99" t="s">
        <v>230</v>
      </c>
      <c r="J24" s="100" t="s">
        <v>231</v>
      </c>
      <c r="K24" s="101" t="s">
        <v>151</v>
      </c>
      <c r="L24" s="102"/>
      <c r="M24" s="81"/>
      <c r="N24" s="81">
        <v>3</v>
      </c>
      <c r="O24" s="81"/>
      <c r="P24" s="100"/>
      <c r="Q24" s="101"/>
      <c r="R24" s="53">
        <f t="shared" si="5"/>
        <v>3</v>
      </c>
      <c r="S24" s="81">
        <v>1</v>
      </c>
      <c r="T24" s="103">
        <f t="shared" si="0"/>
        <v>3</v>
      </c>
      <c r="U24" s="104" t="str">
        <f t="shared" si="6"/>
        <v>ACEPTAR</v>
      </c>
      <c r="V24" s="82"/>
      <c r="W24" s="105"/>
      <c r="X24" s="81"/>
      <c r="Y24" s="81"/>
      <c r="Z24" s="83"/>
      <c r="AA24" s="111"/>
      <c r="AB24" s="106"/>
      <c r="AC24" s="107">
        <f t="shared" si="7"/>
        <v>3</v>
      </c>
      <c r="AD24" s="81">
        <f t="shared" si="8"/>
        <v>1</v>
      </c>
      <c r="AE24" s="103">
        <f t="shared" si="3"/>
        <v>3</v>
      </c>
      <c r="AF24" s="98" t="str">
        <f t="shared" si="4"/>
        <v/>
      </c>
      <c r="AG24" s="97"/>
      <c r="AH24" s="97"/>
    </row>
    <row r="25" spans="1:34" s="27" customFormat="1" ht="43.2" hidden="1">
      <c r="A25" s="30" t="s">
        <v>204</v>
      </c>
      <c r="B25" s="29" t="s">
        <v>232</v>
      </c>
      <c r="C25" s="81" t="s">
        <v>111</v>
      </c>
      <c r="D25" s="81" t="s">
        <v>233</v>
      </c>
      <c r="E25" s="81" t="s">
        <v>234</v>
      </c>
      <c r="F25" s="81" t="s">
        <v>235</v>
      </c>
      <c r="G25" s="81" t="s">
        <v>236</v>
      </c>
      <c r="H25" s="98">
        <v>3</v>
      </c>
      <c r="I25" s="99" t="s">
        <v>237</v>
      </c>
      <c r="J25" s="100" t="s">
        <v>238</v>
      </c>
      <c r="K25" s="101" t="s">
        <v>239</v>
      </c>
      <c r="L25" s="102"/>
      <c r="M25" s="81"/>
      <c r="N25" s="81">
        <v>3</v>
      </c>
      <c r="O25" s="81"/>
      <c r="P25" s="100"/>
      <c r="Q25" s="101"/>
      <c r="R25" s="53">
        <f t="shared" si="5"/>
        <v>3</v>
      </c>
      <c r="S25" s="81">
        <v>2</v>
      </c>
      <c r="T25" s="103">
        <f t="shared" si="0"/>
        <v>6</v>
      </c>
      <c r="U25" s="104" t="str">
        <f t="shared" si="6"/>
        <v>ACEPTAR</v>
      </c>
      <c r="V25" s="82"/>
      <c r="W25" s="105"/>
      <c r="X25" s="81"/>
      <c r="Y25" s="81"/>
      <c r="Z25" s="83"/>
      <c r="AA25" s="111"/>
      <c r="AB25" s="106"/>
      <c r="AC25" s="107">
        <f t="shared" si="7"/>
        <v>3</v>
      </c>
      <c r="AD25" s="81">
        <f t="shared" si="8"/>
        <v>2</v>
      </c>
      <c r="AE25" s="103">
        <f t="shared" si="3"/>
        <v>6</v>
      </c>
      <c r="AF25" s="98" t="str">
        <f t="shared" si="4"/>
        <v/>
      </c>
      <c r="AG25" s="97"/>
      <c r="AH25" s="97"/>
    </row>
    <row r="26" spans="1:34" s="27" customFormat="1" ht="43.2" hidden="1">
      <c r="A26" s="30" t="s">
        <v>204</v>
      </c>
      <c r="B26" s="29" t="s">
        <v>240</v>
      </c>
      <c r="C26" s="81" t="s">
        <v>111</v>
      </c>
      <c r="D26" s="81" t="s">
        <v>241</v>
      </c>
      <c r="E26" s="81" t="s">
        <v>234</v>
      </c>
      <c r="F26" s="81" t="s">
        <v>235</v>
      </c>
      <c r="G26" s="81" t="s">
        <v>236</v>
      </c>
      <c r="H26" s="98">
        <v>3</v>
      </c>
      <c r="I26" s="99" t="s">
        <v>242</v>
      </c>
      <c r="J26" s="100" t="s">
        <v>243</v>
      </c>
      <c r="K26" s="101" t="s">
        <v>244</v>
      </c>
      <c r="L26" s="102"/>
      <c r="M26" s="81"/>
      <c r="N26" s="81">
        <v>3</v>
      </c>
      <c r="O26" s="81"/>
      <c r="P26" s="100"/>
      <c r="Q26" s="101"/>
      <c r="R26" s="53">
        <f t="shared" si="5"/>
        <v>3</v>
      </c>
      <c r="S26" s="81">
        <v>2</v>
      </c>
      <c r="T26" s="103">
        <f t="shared" si="0"/>
        <v>6</v>
      </c>
      <c r="U26" s="104" t="str">
        <f t="shared" si="6"/>
        <v>ACEPTAR</v>
      </c>
      <c r="V26" s="82"/>
      <c r="W26" s="105"/>
      <c r="X26" s="81"/>
      <c r="Y26" s="81"/>
      <c r="Z26" s="83"/>
      <c r="AA26" s="111"/>
      <c r="AB26" s="106"/>
      <c r="AC26" s="107">
        <f t="shared" si="7"/>
        <v>3</v>
      </c>
      <c r="AD26" s="81">
        <f t="shared" si="8"/>
        <v>2</v>
      </c>
      <c r="AE26" s="103">
        <f t="shared" si="3"/>
        <v>6</v>
      </c>
      <c r="AF26" s="98" t="str">
        <f t="shared" si="4"/>
        <v/>
      </c>
      <c r="AG26" s="97"/>
      <c r="AH26" s="97"/>
    </row>
    <row r="27" spans="1:34" s="27" customFormat="1" ht="60.45" hidden="1" customHeight="1">
      <c r="A27" s="30" t="s">
        <v>204</v>
      </c>
      <c r="B27" s="29" t="s">
        <v>245</v>
      </c>
      <c r="C27" s="81" t="s">
        <v>111</v>
      </c>
      <c r="D27" s="81" t="s">
        <v>246</v>
      </c>
      <c r="E27" s="81" t="s">
        <v>247</v>
      </c>
      <c r="F27" s="81" t="s">
        <v>248</v>
      </c>
      <c r="G27" s="81" t="s">
        <v>236</v>
      </c>
      <c r="H27" s="98">
        <v>3</v>
      </c>
      <c r="I27" s="99" t="s">
        <v>249</v>
      </c>
      <c r="J27" s="100" t="s">
        <v>225</v>
      </c>
      <c r="K27" s="101" t="s">
        <v>250</v>
      </c>
      <c r="L27" s="102"/>
      <c r="M27" s="81"/>
      <c r="N27" s="81">
        <v>3</v>
      </c>
      <c r="O27" s="81"/>
      <c r="P27" s="100"/>
      <c r="Q27" s="101"/>
      <c r="R27" s="53">
        <f t="shared" si="5"/>
        <v>3</v>
      </c>
      <c r="S27" s="81">
        <v>2</v>
      </c>
      <c r="T27" s="103">
        <f t="shared" si="0"/>
        <v>6</v>
      </c>
      <c r="U27" s="104" t="str">
        <f t="shared" si="6"/>
        <v>ACEPTAR</v>
      </c>
      <c r="V27" s="82"/>
      <c r="W27" s="105"/>
      <c r="X27" s="81"/>
      <c r="Y27" s="81"/>
      <c r="Z27" s="83"/>
      <c r="AA27" s="111"/>
      <c r="AB27" s="106"/>
      <c r="AC27" s="107">
        <f t="shared" si="7"/>
        <v>3</v>
      </c>
      <c r="AD27" s="81">
        <f t="shared" si="8"/>
        <v>2</v>
      </c>
      <c r="AE27" s="103">
        <f t="shared" si="3"/>
        <v>6</v>
      </c>
      <c r="AF27" s="98" t="str">
        <f t="shared" si="4"/>
        <v/>
      </c>
      <c r="AG27" s="97"/>
      <c r="AH27" s="97"/>
    </row>
    <row r="28" spans="1:34" s="27" customFormat="1" ht="43.2" hidden="1">
      <c r="A28" s="30" t="s">
        <v>204</v>
      </c>
      <c r="B28" s="29" t="s">
        <v>251</v>
      </c>
      <c r="C28" s="81" t="s">
        <v>111</v>
      </c>
      <c r="D28" s="81" t="s">
        <v>252</v>
      </c>
      <c r="E28" s="81" t="s">
        <v>247</v>
      </c>
      <c r="F28" s="81" t="s">
        <v>248</v>
      </c>
      <c r="G28" s="81" t="s">
        <v>253</v>
      </c>
      <c r="H28" s="98">
        <v>1</v>
      </c>
      <c r="I28" s="99" t="s">
        <v>254</v>
      </c>
      <c r="J28" s="100" t="s">
        <v>255</v>
      </c>
      <c r="K28" s="101" t="s">
        <v>256</v>
      </c>
      <c r="L28" s="102">
        <v>1</v>
      </c>
      <c r="M28" s="81">
        <v>1</v>
      </c>
      <c r="N28" s="81">
        <v>1</v>
      </c>
      <c r="O28" s="81"/>
      <c r="P28" s="100"/>
      <c r="Q28" s="101"/>
      <c r="R28" s="53">
        <f t="shared" si="5"/>
        <v>1</v>
      </c>
      <c r="S28" s="81">
        <v>1</v>
      </c>
      <c r="T28" s="103">
        <f t="shared" si="0"/>
        <v>1</v>
      </c>
      <c r="U28" s="104" t="str">
        <f t="shared" si="6"/>
        <v>ACEPTAR</v>
      </c>
      <c r="V28" s="82"/>
      <c r="W28" s="105"/>
      <c r="X28" s="81"/>
      <c r="Y28" s="81"/>
      <c r="Z28" s="83"/>
      <c r="AA28" s="111"/>
      <c r="AB28" s="106"/>
      <c r="AC28" s="107">
        <f t="shared" si="7"/>
        <v>1</v>
      </c>
      <c r="AD28" s="81">
        <f t="shared" si="8"/>
        <v>1</v>
      </c>
      <c r="AE28" s="103">
        <f t="shared" si="3"/>
        <v>1</v>
      </c>
      <c r="AF28" s="98" t="str">
        <f t="shared" si="4"/>
        <v/>
      </c>
      <c r="AG28" s="97"/>
      <c r="AH28" s="97"/>
    </row>
    <row r="29" spans="1:34" s="27" customFormat="1" ht="48.45" hidden="1" customHeight="1">
      <c r="A29" s="30" t="s">
        <v>204</v>
      </c>
      <c r="B29" s="29" t="s">
        <v>257</v>
      </c>
      <c r="C29" s="81" t="s">
        <v>111</v>
      </c>
      <c r="D29" s="81" t="s">
        <v>258</v>
      </c>
      <c r="E29" s="81" t="s">
        <v>259</v>
      </c>
      <c r="F29" s="81" t="s">
        <v>260</v>
      </c>
      <c r="G29" s="81" t="s">
        <v>253</v>
      </c>
      <c r="H29" s="98">
        <v>1</v>
      </c>
      <c r="I29" s="99" t="s">
        <v>261</v>
      </c>
      <c r="J29" s="100" t="s">
        <v>262</v>
      </c>
      <c r="K29" s="101" t="s">
        <v>263</v>
      </c>
      <c r="L29" s="102"/>
      <c r="M29" s="81"/>
      <c r="N29" s="81">
        <v>1</v>
      </c>
      <c r="O29" s="81"/>
      <c r="P29" s="100"/>
      <c r="Q29" s="101"/>
      <c r="R29" s="53">
        <f t="shared" si="5"/>
        <v>1</v>
      </c>
      <c r="S29" s="81">
        <v>1</v>
      </c>
      <c r="T29" s="103">
        <f t="shared" si="0"/>
        <v>1</v>
      </c>
      <c r="U29" s="104" t="str">
        <f t="shared" si="6"/>
        <v>ACEPTAR</v>
      </c>
      <c r="V29" s="82"/>
      <c r="W29" s="105"/>
      <c r="X29" s="81"/>
      <c r="Y29" s="81"/>
      <c r="Z29" s="83"/>
      <c r="AA29" s="111"/>
      <c r="AB29" s="106"/>
      <c r="AC29" s="107">
        <f t="shared" si="7"/>
        <v>1</v>
      </c>
      <c r="AD29" s="81">
        <f t="shared" si="8"/>
        <v>1</v>
      </c>
      <c r="AE29" s="103">
        <f t="shared" si="3"/>
        <v>1</v>
      </c>
      <c r="AF29" s="98" t="str">
        <f t="shared" si="4"/>
        <v/>
      </c>
      <c r="AG29" s="97"/>
      <c r="AH29" s="97"/>
    </row>
    <row r="30" spans="1:34" s="27" customFormat="1" ht="28.8" hidden="1">
      <c r="A30" s="30" t="s">
        <v>204</v>
      </c>
      <c r="B30" s="29" t="s">
        <v>264</v>
      </c>
      <c r="C30" s="81" t="s">
        <v>111</v>
      </c>
      <c r="D30" s="81" t="s">
        <v>265</v>
      </c>
      <c r="E30" s="81" t="s">
        <v>266</v>
      </c>
      <c r="F30" s="81" t="s">
        <v>260</v>
      </c>
      <c r="G30" s="81" t="s">
        <v>253</v>
      </c>
      <c r="H30" s="98">
        <v>1</v>
      </c>
      <c r="I30" s="99" t="s">
        <v>267</v>
      </c>
      <c r="J30" s="100" t="s">
        <v>255</v>
      </c>
      <c r="K30" s="101" t="s">
        <v>268</v>
      </c>
      <c r="L30" s="102"/>
      <c r="M30" s="81"/>
      <c r="N30" s="81">
        <v>1</v>
      </c>
      <c r="O30" s="81"/>
      <c r="P30" s="100"/>
      <c r="Q30" s="101"/>
      <c r="R30" s="53">
        <f t="shared" si="5"/>
        <v>1</v>
      </c>
      <c r="S30" s="81">
        <v>1</v>
      </c>
      <c r="T30" s="103">
        <f t="shared" si="0"/>
        <v>1</v>
      </c>
      <c r="U30" s="104" t="str">
        <f t="shared" si="6"/>
        <v>ACEPTAR</v>
      </c>
      <c r="V30" s="82"/>
      <c r="W30" s="105"/>
      <c r="X30" s="81"/>
      <c r="Y30" s="81"/>
      <c r="Z30" s="83"/>
      <c r="AA30" s="111"/>
      <c r="AB30" s="106"/>
      <c r="AC30" s="107">
        <f t="shared" si="7"/>
        <v>1</v>
      </c>
      <c r="AD30" s="81">
        <f t="shared" si="8"/>
        <v>1</v>
      </c>
      <c r="AE30" s="103">
        <f t="shared" si="3"/>
        <v>1</v>
      </c>
      <c r="AF30" s="98" t="str">
        <f t="shared" si="4"/>
        <v/>
      </c>
      <c r="AG30" s="97"/>
      <c r="AH30" s="97"/>
    </row>
    <row r="31" spans="1:34" s="27" customFormat="1" ht="44.85" hidden="1" customHeight="1">
      <c r="A31" s="30" t="s">
        <v>204</v>
      </c>
      <c r="B31" s="29" t="s">
        <v>269</v>
      </c>
      <c r="C31" s="81" t="s">
        <v>270</v>
      </c>
      <c r="D31" s="81" t="s">
        <v>271</v>
      </c>
      <c r="E31" s="81" t="s">
        <v>266</v>
      </c>
      <c r="F31" s="81" t="s">
        <v>260</v>
      </c>
      <c r="G31" s="81" t="s">
        <v>253</v>
      </c>
      <c r="H31" s="98">
        <v>1</v>
      </c>
      <c r="I31" s="99" t="s">
        <v>272</v>
      </c>
      <c r="J31" s="100" t="s">
        <v>273</v>
      </c>
      <c r="K31" s="101" t="s">
        <v>274</v>
      </c>
      <c r="L31" s="102"/>
      <c r="M31" s="81"/>
      <c r="N31" s="81">
        <v>1</v>
      </c>
      <c r="O31" s="81"/>
      <c r="P31" s="100"/>
      <c r="Q31" s="101"/>
      <c r="R31" s="53">
        <f t="shared" si="5"/>
        <v>1</v>
      </c>
      <c r="S31" s="81">
        <v>1</v>
      </c>
      <c r="T31" s="103">
        <f t="shared" si="0"/>
        <v>1</v>
      </c>
      <c r="U31" s="104" t="str">
        <f t="shared" si="6"/>
        <v>ACEPTAR</v>
      </c>
      <c r="V31" s="82"/>
      <c r="W31" s="105"/>
      <c r="X31" s="81"/>
      <c r="Y31" s="81"/>
      <c r="Z31" s="83"/>
      <c r="AA31" s="111"/>
      <c r="AB31" s="106"/>
      <c r="AC31" s="107">
        <f t="shared" si="7"/>
        <v>1</v>
      </c>
      <c r="AD31" s="81">
        <f t="shared" si="8"/>
        <v>1</v>
      </c>
      <c r="AE31" s="103">
        <f t="shared" si="3"/>
        <v>1</v>
      </c>
      <c r="AF31" s="98" t="str">
        <f t="shared" si="4"/>
        <v/>
      </c>
      <c r="AG31" s="97"/>
      <c r="AH31" s="97"/>
    </row>
    <row r="32" spans="1:34" s="27" customFormat="1" ht="86.4" hidden="1">
      <c r="A32" s="30" t="s">
        <v>275</v>
      </c>
      <c r="B32" s="29" t="s">
        <v>276</v>
      </c>
      <c r="C32" s="81" t="s">
        <v>111</v>
      </c>
      <c r="D32" s="81" t="s">
        <v>277</v>
      </c>
      <c r="E32" s="81" t="s">
        <v>278</v>
      </c>
      <c r="F32" s="81" t="s">
        <v>279</v>
      </c>
      <c r="G32" s="81" t="s">
        <v>280</v>
      </c>
      <c r="H32" s="98">
        <v>3</v>
      </c>
      <c r="I32" s="99" t="s">
        <v>281</v>
      </c>
      <c r="J32" s="100" t="s">
        <v>282</v>
      </c>
      <c r="K32" s="101" t="s">
        <v>283</v>
      </c>
      <c r="L32" s="102">
        <v>4</v>
      </c>
      <c r="M32" s="81">
        <v>4</v>
      </c>
      <c r="N32" s="81">
        <v>4</v>
      </c>
      <c r="O32" s="81"/>
      <c r="P32" s="100"/>
      <c r="Q32" s="101"/>
      <c r="R32" s="53">
        <f t="shared" si="5"/>
        <v>4</v>
      </c>
      <c r="S32" s="81">
        <v>1</v>
      </c>
      <c r="T32" s="103">
        <f t="shared" si="0"/>
        <v>4</v>
      </c>
      <c r="U32" s="104" t="str">
        <f t="shared" si="6"/>
        <v>ACEPTAR</v>
      </c>
      <c r="V32" s="82"/>
      <c r="W32" s="105"/>
      <c r="X32" s="81"/>
      <c r="Y32" s="81"/>
      <c r="Z32" s="83"/>
      <c r="AA32" s="111"/>
      <c r="AB32" s="106"/>
      <c r="AC32" s="107">
        <f t="shared" si="7"/>
        <v>4</v>
      </c>
      <c r="AD32" s="81">
        <f t="shared" si="8"/>
        <v>1</v>
      </c>
      <c r="AE32" s="103">
        <f t="shared" si="3"/>
        <v>4</v>
      </c>
      <c r="AF32" s="98" t="str">
        <f t="shared" si="4"/>
        <v/>
      </c>
      <c r="AG32" s="97"/>
      <c r="AH32" s="97"/>
    </row>
    <row r="33" spans="1:34" s="27" customFormat="1" ht="86.4" hidden="1">
      <c r="A33" s="30" t="s">
        <v>275</v>
      </c>
      <c r="B33" s="29" t="s">
        <v>284</v>
      </c>
      <c r="C33" s="81" t="s">
        <v>285</v>
      </c>
      <c r="D33" s="81" t="s">
        <v>286</v>
      </c>
      <c r="E33" s="81" t="s">
        <v>278</v>
      </c>
      <c r="F33" s="81" t="s">
        <v>279</v>
      </c>
      <c r="G33" s="81" t="s">
        <v>280</v>
      </c>
      <c r="H33" s="98">
        <v>3</v>
      </c>
      <c r="I33" s="99" t="s">
        <v>287</v>
      </c>
      <c r="J33" s="100" t="s">
        <v>288</v>
      </c>
      <c r="K33" s="101" t="s">
        <v>289</v>
      </c>
      <c r="L33" s="102">
        <v>4</v>
      </c>
      <c r="M33" s="81">
        <v>4</v>
      </c>
      <c r="N33" s="81">
        <v>4</v>
      </c>
      <c r="O33" s="81"/>
      <c r="P33" s="100"/>
      <c r="Q33" s="101"/>
      <c r="R33" s="53">
        <f t="shared" si="5"/>
        <v>4</v>
      </c>
      <c r="S33" s="81">
        <v>1</v>
      </c>
      <c r="T33" s="103">
        <f t="shared" si="0"/>
        <v>4</v>
      </c>
      <c r="U33" s="104" t="str">
        <f t="shared" si="6"/>
        <v>ACEPTAR</v>
      </c>
      <c r="V33" s="82"/>
      <c r="W33" s="105"/>
      <c r="X33" s="81"/>
      <c r="Y33" s="81"/>
      <c r="Z33" s="83"/>
      <c r="AA33" s="111"/>
      <c r="AB33" s="106"/>
      <c r="AC33" s="107">
        <f t="shared" si="7"/>
        <v>4</v>
      </c>
      <c r="AD33" s="81">
        <f t="shared" si="8"/>
        <v>1</v>
      </c>
      <c r="AE33" s="103">
        <f t="shared" si="3"/>
        <v>4</v>
      </c>
      <c r="AF33" s="98" t="str">
        <f t="shared" si="4"/>
        <v/>
      </c>
      <c r="AG33" s="97"/>
      <c r="AH33" s="97"/>
    </row>
    <row r="34" spans="1:34" s="27" customFormat="1" ht="86.4" hidden="1">
      <c r="A34" s="30" t="s">
        <v>275</v>
      </c>
      <c r="B34" s="29" t="s">
        <v>290</v>
      </c>
      <c r="C34" s="81" t="s">
        <v>285</v>
      </c>
      <c r="D34" s="81" t="s">
        <v>291</v>
      </c>
      <c r="E34" s="81" t="s">
        <v>278</v>
      </c>
      <c r="F34" s="81" t="s">
        <v>279</v>
      </c>
      <c r="G34" s="81" t="s">
        <v>280</v>
      </c>
      <c r="H34" s="98">
        <v>3</v>
      </c>
      <c r="I34" s="99" t="s">
        <v>292</v>
      </c>
      <c r="J34" s="100" t="s">
        <v>293</v>
      </c>
      <c r="K34" s="101" t="s">
        <v>294</v>
      </c>
      <c r="L34" s="102"/>
      <c r="M34" s="81"/>
      <c r="N34" s="81">
        <v>4</v>
      </c>
      <c r="O34" s="81">
        <v>4</v>
      </c>
      <c r="P34" s="100"/>
      <c r="Q34" s="101"/>
      <c r="R34" s="53">
        <f t="shared" si="5"/>
        <v>4</v>
      </c>
      <c r="S34" s="81">
        <v>1</v>
      </c>
      <c r="T34" s="103">
        <f t="shared" si="0"/>
        <v>4</v>
      </c>
      <c r="U34" s="104" t="str">
        <f t="shared" si="6"/>
        <v>ACEPTAR</v>
      </c>
      <c r="V34" s="82"/>
      <c r="W34" s="105"/>
      <c r="X34" s="81"/>
      <c r="Y34" s="81"/>
      <c r="Z34" s="83"/>
      <c r="AA34" s="111"/>
      <c r="AB34" s="106"/>
      <c r="AC34" s="107">
        <f t="shared" si="7"/>
        <v>4</v>
      </c>
      <c r="AD34" s="81">
        <f t="shared" si="8"/>
        <v>1</v>
      </c>
      <c r="AE34" s="103">
        <f t="shared" si="3"/>
        <v>4</v>
      </c>
      <c r="AF34" s="98" t="str">
        <f t="shared" si="4"/>
        <v/>
      </c>
      <c r="AG34" s="97"/>
      <c r="AH34" s="97"/>
    </row>
    <row r="35" spans="1:34" s="27" customFormat="1" ht="86.4" hidden="1">
      <c r="A35" s="30" t="s">
        <v>275</v>
      </c>
      <c r="B35" s="29" t="s">
        <v>295</v>
      </c>
      <c r="C35" s="81" t="s">
        <v>285</v>
      </c>
      <c r="D35" s="81" t="s">
        <v>296</v>
      </c>
      <c r="E35" s="81" t="s">
        <v>297</v>
      </c>
      <c r="F35" s="81" t="s">
        <v>279</v>
      </c>
      <c r="G35" s="81" t="s">
        <v>280</v>
      </c>
      <c r="H35" s="98">
        <v>3</v>
      </c>
      <c r="I35" s="99" t="s">
        <v>298</v>
      </c>
      <c r="J35" s="100" t="s">
        <v>299</v>
      </c>
      <c r="K35" s="101" t="s">
        <v>294</v>
      </c>
      <c r="L35" s="102">
        <v>4</v>
      </c>
      <c r="M35" s="81">
        <v>4</v>
      </c>
      <c r="N35" s="81">
        <v>4</v>
      </c>
      <c r="O35" s="81"/>
      <c r="P35" s="100"/>
      <c r="Q35" s="101"/>
      <c r="R35" s="53">
        <f t="shared" si="5"/>
        <v>4</v>
      </c>
      <c r="S35" s="81">
        <v>1</v>
      </c>
      <c r="T35" s="103">
        <f t="shared" si="0"/>
        <v>4</v>
      </c>
      <c r="U35" s="104" t="str">
        <f t="shared" si="6"/>
        <v>ACEPTAR</v>
      </c>
      <c r="V35" s="82"/>
      <c r="W35" s="105"/>
      <c r="X35" s="81"/>
      <c r="Y35" s="81"/>
      <c r="Z35" s="83"/>
      <c r="AA35" s="108"/>
      <c r="AB35" s="106"/>
      <c r="AC35" s="107">
        <f t="shared" si="7"/>
        <v>4</v>
      </c>
      <c r="AD35" s="81">
        <f t="shared" si="8"/>
        <v>1</v>
      </c>
      <c r="AE35" s="103">
        <f t="shared" si="3"/>
        <v>4</v>
      </c>
      <c r="AF35" s="98" t="str">
        <f t="shared" si="4"/>
        <v/>
      </c>
      <c r="AG35" s="97"/>
      <c r="AH35" s="97"/>
    </row>
    <row r="36" spans="1:34" s="27" customFormat="1" ht="115.2" hidden="1">
      <c r="A36" s="30" t="s">
        <v>275</v>
      </c>
      <c r="B36" s="29" t="s">
        <v>300</v>
      </c>
      <c r="C36" s="81" t="s">
        <v>285</v>
      </c>
      <c r="D36" s="81" t="s">
        <v>301</v>
      </c>
      <c r="E36" s="81" t="s">
        <v>278</v>
      </c>
      <c r="F36" s="81" t="s">
        <v>302</v>
      </c>
      <c r="G36" s="81" t="s">
        <v>280</v>
      </c>
      <c r="H36" s="98">
        <v>3</v>
      </c>
      <c r="I36" s="99" t="s">
        <v>303</v>
      </c>
      <c r="J36" s="100" t="s">
        <v>304</v>
      </c>
      <c r="K36" s="101" t="s">
        <v>305</v>
      </c>
      <c r="L36" s="102">
        <v>4</v>
      </c>
      <c r="M36" s="81">
        <v>4</v>
      </c>
      <c r="N36" s="81">
        <v>4</v>
      </c>
      <c r="O36" s="81"/>
      <c r="P36" s="100"/>
      <c r="Q36" s="101"/>
      <c r="R36" s="53">
        <f t="shared" si="5"/>
        <v>4</v>
      </c>
      <c r="S36" s="81">
        <v>1</v>
      </c>
      <c r="T36" s="103">
        <f t="shared" si="0"/>
        <v>4</v>
      </c>
      <c r="U36" s="104" t="str">
        <f t="shared" si="6"/>
        <v>ACEPTAR</v>
      </c>
      <c r="V36" s="82"/>
      <c r="W36" s="105"/>
      <c r="X36" s="81"/>
      <c r="Y36" s="81"/>
      <c r="Z36" s="83"/>
      <c r="AA36" s="108"/>
      <c r="AB36" s="106"/>
      <c r="AC36" s="107">
        <f t="shared" si="7"/>
        <v>4</v>
      </c>
      <c r="AD36" s="81">
        <f t="shared" si="8"/>
        <v>1</v>
      </c>
      <c r="AE36" s="103">
        <f t="shared" si="3"/>
        <v>4</v>
      </c>
      <c r="AF36" s="98" t="str">
        <f t="shared" si="4"/>
        <v/>
      </c>
      <c r="AG36" s="97"/>
      <c r="AH36" s="97"/>
    </row>
    <row r="37" spans="1:34" s="27" customFormat="1" ht="115.2" hidden="1">
      <c r="A37" s="30" t="s">
        <v>275</v>
      </c>
      <c r="B37" s="29" t="s">
        <v>306</v>
      </c>
      <c r="C37" s="81" t="s">
        <v>285</v>
      </c>
      <c r="D37" s="81" t="s">
        <v>307</v>
      </c>
      <c r="E37" s="81" t="s">
        <v>278</v>
      </c>
      <c r="F37" s="81" t="s">
        <v>302</v>
      </c>
      <c r="G37" s="81" t="s">
        <v>280</v>
      </c>
      <c r="H37" s="98">
        <v>3</v>
      </c>
      <c r="I37" s="99" t="s">
        <v>308</v>
      </c>
      <c r="J37" s="100" t="s">
        <v>309</v>
      </c>
      <c r="K37" s="101" t="s">
        <v>310</v>
      </c>
      <c r="L37" s="102">
        <v>4</v>
      </c>
      <c r="M37" s="81">
        <v>4</v>
      </c>
      <c r="N37" s="81">
        <v>4</v>
      </c>
      <c r="O37" s="81"/>
      <c r="P37" s="100">
        <v>4</v>
      </c>
      <c r="Q37" s="101"/>
      <c r="R37" s="53">
        <f t="shared" si="5"/>
        <v>4</v>
      </c>
      <c r="S37" s="81">
        <v>1</v>
      </c>
      <c r="T37" s="103">
        <f t="shared" ref="T37" si="12">R37*S37</f>
        <v>4</v>
      </c>
      <c r="U37" s="104" t="str">
        <f t="shared" ref="U37" si="13">IF(T37&lt;8,"ACEPTAR","MITIGAR")</f>
        <v>ACEPTAR</v>
      </c>
      <c r="V37" s="82"/>
      <c r="W37" s="105"/>
      <c r="X37" s="81"/>
      <c r="Y37" s="81"/>
      <c r="Z37" s="83"/>
      <c r="AA37" s="108"/>
      <c r="AB37" s="106"/>
      <c r="AC37" s="107">
        <f t="shared" si="7"/>
        <v>4</v>
      </c>
      <c r="AD37" s="81">
        <f t="shared" si="8"/>
        <v>1</v>
      </c>
      <c r="AE37" s="103">
        <f t="shared" ref="AE37" si="14">AC37*AD37</f>
        <v>4</v>
      </c>
      <c r="AF37" s="98" t="str">
        <f t="shared" si="4"/>
        <v/>
      </c>
      <c r="AG37" s="97"/>
      <c r="AH37" s="97"/>
    </row>
    <row r="38" spans="1:34" s="27" customFormat="1" ht="115.2" hidden="1">
      <c r="A38" s="30" t="s">
        <v>275</v>
      </c>
      <c r="B38" s="29" t="s">
        <v>311</v>
      </c>
      <c r="C38" s="81" t="s">
        <v>285</v>
      </c>
      <c r="D38" s="81" t="s">
        <v>312</v>
      </c>
      <c r="E38" s="81" t="s">
        <v>278</v>
      </c>
      <c r="F38" s="81" t="s">
        <v>302</v>
      </c>
      <c r="G38" s="81" t="s">
        <v>280</v>
      </c>
      <c r="H38" s="98">
        <v>3</v>
      </c>
      <c r="I38" s="99" t="s">
        <v>313</v>
      </c>
      <c r="J38" s="100" t="s">
        <v>314</v>
      </c>
      <c r="K38" s="101" t="s">
        <v>294</v>
      </c>
      <c r="L38" s="102">
        <v>4</v>
      </c>
      <c r="M38" s="81">
        <v>4</v>
      </c>
      <c r="N38" s="81">
        <v>4</v>
      </c>
      <c r="O38" s="81">
        <v>4</v>
      </c>
      <c r="P38" s="100">
        <v>4</v>
      </c>
      <c r="Q38" s="101"/>
      <c r="R38" s="53">
        <f t="shared" si="5"/>
        <v>4</v>
      </c>
      <c r="S38" s="81">
        <v>1</v>
      </c>
      <c r="T38" s="103">
        <f t="shared" ref="T38" si="15">R38*S38</f>
        <v>4</v>
      </c>
      <c r="U38" s="104" t="str">
        <f t="shared" ref="U38" si="16">IF(T38&lt;8,"ACEPTAR","MITIGAR")</f>
        <v>ACEPTAR</v>
      </c>
      <c r="V38" s="82"/>
      <c r="W38" s="105"/>
      <c r="X38" s="81"/>
      <c r="Y38" s="81"/>
      <c r="Z38" s="83"/>
      <c r="AA38" s="108"/>
      <c r="AB38" s="106"/>
      <c r="AC38" s="107">
        <f t="shared" si="7"/>
        <v>4</v>
      </c>
      <c r="AD38" s="81">
        <f t="shared" si="8"/>
        <v>1</v>
      </c>
      <c r="AE38" s="103">
        <f t="shared" ref="AE38" si="17">AC38*AD38</f>
        <v>4</v>
      </c>
      <c r="AF38" s="98" t="str">
        <f t="shared" si="4"/>
        <v/>
      </c>
      <c r="AG38" s="97"/>
      <c r="AH38" s="97"/>
    </row>
    <row r="39" spans="1:34" s="27" customFormat="1" ht="71.400000000000006" hidden="1" customHeight="1">
      <c r="A39" s="30" t="s">
        <v>275</v>
      </c>
      <c r="B39" s="29" t="s">
        <v>315</v>
      </c>
      <c r="C39" s="81" t="s">
        <v>111</v>
      </c>
      <c r="D39" s="81" t="s">
        <v>316</v>
      </c>
      <c r="E39" s="81" t="s">
        <v>317</v>
      </c>
      <c r="F39" s="81" t="s">
        <v>318</v>
      </c>
      <c r="G39" s="81" t="s">
        <v>280</v>
      </c>
      <c r="H39" s="98">
        <v>3</v>
      </c>
      <c r="I39" s="99" t="s">
        <v>319</v>
      </c>
      <c r="J39" s="100" t="s">
        <v>320</v>
      </c>
      <c r="K39" s="101" t="s">
        <v>321</v>
      </c>
      <c r="L39" s="102">
        <v>3</v>
      </c>
      <c r="M39" s="81">
        <v>3</v>
      </c>
      <c r="N39" s="81">
        <v>3</v>
      </c>
      <c r="O39" s="81">
        <v>3</v>
      </c>
      <c r="P39" s="100">
        <v>3</v>
      </c>
      <c r="Q39" s="101"/>
      <c r="R39" s="53">
        <f t="shared" si="5"/>
        <v>3</v>
      </c>
      <c r="S39" s="81">
        <v>1</v>
      </c>
      <c r="T39" s="103">
        <f t="shared" si="0"/>
        <v>3</v>
      </c>
      <c r="U39" s="104" t="str">
        <f t="shared" si="6"/>
        <v>ACEPTAR</v>
      </c>
      <c r="V39" s="82"/>
      <c r="W39" s="105"/>
      <c r="X39" s="81"/>
      <c r="Y39" s="81"/>
      <c r="Z39" s="83"/>
      <c r="AA39" s="111"/>
      <c r="AB39" s="106"/>
      <c r="AC39" s="107">
        <f t="shared" si="7"/>
        <v>3</v>
      </c>
      <c r="AD39" s="81">
        <f t="shared" si="8"/>
        <v>1</v>
      </c>
      <c r="AE39" s="103">
        <f t="shared" si="3"/>
        <v>3</v>
      </c>
      <c r="AF39" s="98" t="str">
        <f t="shared" si="4"/>
        <v/>
      </c>
      <c r="AG39" s="97"/>
      <c r="AH39" s="97"/>
    </row>
    <row r="40" spans="1:34" s="27" customFormat="1" ht="86.4" hidden="1">
      <c r="A40" s="30" t="s">
        <v>275</v>
      </c>
      <c r="B40" s="29" t="s">
        <v>322</v>
      </c>
      <c r="C40" s="81" t="s">
        <v>111</v>
      </c>
      <c r="D40" s="81" t="s">
        <v>323</v>
      </c>
      <c r="E40" s="81" t="s">
        <v>324</v>
      </c>
      <c r="F40" s="81" t="s">
        <v>279</v>
      </c>
      <c r="G40" s="81" t="s">
        <v>280</v>
      </c>
      <c r="H40" s="98">
        <v>3</v>
      </c>
      <c r="I40" s="99" t="s">
        <v>325</v>
      </c>
      <c r="J40" s="100" t="s">
        <v>326</v>
      </c>
      <c r="K40" s="101" t="s">
        <v>283</v>
      </c>
      <c r="L40" s="102">
        <v>3</v>
      </c>
      <c r="M40" s="81">
        <v>3</v>
      </c>
      <c r="N40" s="81">
        <v>3</v>
      </c>
      <c r="O40" s="81"/>
      <c r="P40" s="100"/>
      <c r="Q40" s="101"/>
      <c r="R40" s="53">
        <f t="shared" si="5"/>
        <v>3</v>
      </c>
      <c r="S40" s="81">
        <v>2</v>
      </c>
      <c r="T40" s="103">
        <f t="shared" si="0"/>
        <v>6</v>
      </c>
      <c r="U40" s="104" t="str">
        <f t="shared" si="6"/>
        <v>ACEPTAR</v>
      </c>
      <c r="V40" s="82"/>
      <c r="W40" s="105"/>
      <c r="X40" s="81"/>
      <c r="Y40" s="81"/>
      <c r="Z40" s="83"/>
      <c r="AA40" s="111"/>
      <c r="AB40" s="106"/>
      <c r="AC40" s="107">
        <f t="shared" si="7"/>
        <v>3</v>
      </c>
      <c r="AD40" s="81">
        <f t="shared" si="8"/>
        <v>2</v>
      </c>
      <c r="AE40" s="103">
        <f t="shared" si="3"/>
        <v>6</v>
      </c>
      <c r="AF40" s="98" t="str">
        <f t="shared" si="4"/>
        <v/>
      </c>
      <c r="AG40" s="97"/>
      <c r="AH40" s="97"/>
    </row>
    <row r="41" spans="1:34" s="27" customFormat="1" ht="57.6" hidden="1">
      <c r="A41" s="30" t="s">
        <v>275</v>
      </c>
      <c r="B41" s="29" t="s">
        <v>327</v>
      </c>
      <c r="C41" s="81" t="s">
        <v>111</v>
      </c>
      <c r="D41" s="81" t="s">
        <v>328</v>
      </c>
      <c r="E41" s="81" t="s">
        <v>324</v>
      </c>
      <c r="F41" s="81" t="s">
        <v>318</v>
      </c>
      <c r="G41" s="81" t="s">
        <v>280</v>
      </c>
      <c r="H41" s="98">
        <v>3</v>
      </c>
      <c r="I41" s="99" t="s">
        <v>329</v>
      </c>
      <c r="J41" s="100" t="s">
        <v>326</v>
      </c>
      <c r="K41" s="101" t="s">
        <v>330</v>
      </c>
      <c r="L41" s="102">
        <v>4</v>
      </c>
      <c r="M41" s="81">
        <v>4</v>
      </c>
      <c r="N41" s="81">
        <v>4</v>
      </c>
      <c r="O41" s="81"/>
      <c r="P41" s="100"/>
      <c r="Q41" s="101"/>
      <c r="R41" s="53">
        <f t="shared" si="5"/>
        <v>4</v>
      </c>
      <c r="S41" s="81">
        <v>1</v>
      </c>
      <c r="T41" s="103">
        <f t="shared" si="0"/>
        <v>4</v>
      </c>
      <c r="U41" s="104" t="str">
        <f t="shared" si="6"/>
        <v>ACEPTAR</v>
      </c>
      <c r="V41" s="82"/>
      <c r="W41" s="105"/>
      <c r="X41" s="81"/>
      <c r="Y41" s="81"/>
      <c r="Z41" s="83"/>
      <c r="AA41" s="111"/>
      <c r="AB41" s="106"/>
      <c r="AC41" s="107">
        <f t="shared" si="7"/>
        <v>4</v>
      </c>
      <c r="AD41" s="81">
        <f t="shared" si="8"/>
        <v>1</v>
      </c>
      <c r="AE41" s="103">
        <f t="shared" si="3"/>
        <v>4</v>
      </c>
      <c r="AF41" s="98" t="str">
        <f t="shared" si="4"/>
        <v/>
      </c>
      <c r="AG41" s="97"/>
      <c r="AH41" s="97"/>
    </row>
    <row r="42" spans="1:34" s="27" customFormat="1" ht="57.6" hidden="1">
      <c r="A42" s="30" t="s">
        <v>275</v>
      </c>
      <c r="B42" s="29" t="s">
        <v>331</v>
      </c>
      <c r="C42" s="81" t="s">
        <v>111</v>
      </c>
      <c r="D42" s="81" t="s">
        <v>332</v>
      </c>
      <c r="E42" s="81" t="s">
        <v>247</v>
      </c>
      <c r="F42" s="81" t="s">
        <v>333</v>
      </c>
      <c r="G42" s="81" t="s">
        <v>280</v>
      </c>
      <c r="H42" s="98">
        <v>3</v>
      </c>
      <c r="I42" s="99" t="s">
        <v>334</v>
      </c>
      <c r="J42" s="100" t="s">
        <v>320</v>
      </c>
      <c r="K42" s="101" t="s">
        <v>335</v>
      </c>
      <c r="L42" s="102">
        <v>4</v>
      </c>
      <c r="M42" s="81">
        <v>4</v>
      </c>
      <c r="N42" s="81">
        <v>4</v>
      </c>
      <c r="O42" s="81">
        <v>4</v>
      </c>
      <c r="P42" s="100">
        <v>4</v>
      </c>
      <c r="Q42" s="101"/>
      <c r="R42" s="53">
        <f t="shared" si="5"/>
        <v>4</v>
      </c>
      <c r="S42" s="81">
        <v>1</v>
      </c>
      <c r="T42" s="103">
        <f t="shared" si="0"/>
        <v>4</v>
      </c>
      <c r="U42" s="104" t="str">
        <f t="shared" si="6"/>
        <v>ACEPTAR</v>
      </c>
      <c r="V42" s="82"/>
      <c r="W42" s="105"/>
      <c r="X42" s="81"/>
      <c r="Y42" s="81"/>
      <c r="Z42" s="83"/>
      <c r="AA42" s="111"/>
      <c r="AB42" s="106"/>
      <c r="AC42" s="107">
        <f t="shared" si="7"/>
        <v>4</v>
      </c>
      <c r="AD42" s="81">
        <f t="shared" si="8"/>
        <v>1</v>
      </c>
      <c r="AE42" s="103">
        <f t="shared" si="3"/>
        <v>4</v>
      </c>
      <c r="AF42" s="98" t="str">
        <f t="shared" si="4"/>
        <v/>
      </c>
      <c r="AG42" s="97"/>
      <c r="AH42" s="97"/>
    </row>
    <row r="43" spans="1:34" s="27" customFormat="1" ht="67.95" hidden="1" customHeight="1">
      <c r="A43" s="30" t="s">
        <v>275</v>
      </c>
      <c r="B43" s="29" t="s">
        <v>336</v>
      </c>
      <c r="C43" s="81" t="s">
        <v>285</v>
      </c>
      <c r="D43" s="81" t="s">
        <v>337</v>
      </c>
      <c r="E43" s="81" t="s">
        <v>324</v>
      </c>
      <c r="F43" s="81" t="s">
        <v>318</v>
      </c>
      <c r="G43" s="81" t="s">
        <v>280</v>
      </c>
      <c r="H43" s="98">
        <v>3</v>
      </c>
      <c r="I43" s="99" t="s">
        <v>338</v>
      </c>
      <c r="J43" s="100" t="s">
        <v>339</v>
      </c>
      <c r="K43" s="101" t="s">
        <v>340</v>
      </c>
      <c r="L43" s="102">
        <v>4</v>
      </c>
      <c r="M43" s="81">
        <v>4</v>
      </c>
      <c r="N43" s="81">
        <v>4</v>
      </c>
      <c r="O43" s="81"/>
      <c r="P43" s="100"/>
      <c r="Q43" s="101"/>
      <c r="R43" s="53">
        <f t="shared" si="5"/>
        <v>4</v>
      </c>
      <c r="S43" s="81">
        <v>1</v>
      </c>
      <c r="T43" s="103">
        <f t="shared" si="0"/>
        <v>4</v>
      </c>
      <c r="U43" s="104" t="str">
        <f t="shared" si="6"/>
        <v>ACEPTAR</v>
      </c>
      <c r="V43" s="82"/>
      <c r="W43" s="105"/>
      <c r="X43" s="81"/>
      <c r="Y43" s="81"/>
      <c r="Z43" s="83"/>
      <c r="AA43" s="111"/>
      <c r="AB43" s="106"/>
      <c r="AC43" s="107">
        <f t="shared" si="7"/>
        <v>4</v>
      </c>
      <c r="AD43" s="81">
        <f t="shared" si="8"/>
        <v>1</v>
      </c>
      <c r="AE43" s="103">
        <f t="shared" si="3"/>
        <v>4</v>
      </c>
      <c r="AF43" s="98" t="str">
        <f t="shared" si="4"/>
        <v/>
      </c>
      <c r="AG43" s="97"/>
      <c r="AH43" s="97"/>
    </row>
    <row r="44" spans="1:34" s="27" customFormat="1" ht="57.6" hidden="1">
      <c r="A44" s="30" t="s">
        <v>275</v>
      </c>
      <c r="B44" s="29" t="s">
        <v>341</v>
      </c>
      <c r="C44" s="81" t="s">
        <v>285</v>
      </c>
      <c r="D44" s="81" t="s">
        <v>342</v>
      </c>
      <c r="E44" s="81" t="s">
        <v>317</v>
      </c>
      <c r="F44" s="81" t="s">
        <v>318</v>
      </c>
      <c r="G44" s="81" t="s">
        <v>280</v>
      </c>
      <c r="H44" s="98">
        <v>3</v>
      </c>
      <c r="I44" s="99" t="s">
        <v>343</v>
      </c>
      <c r="J44" s="100" t="s">
        <v>344</v>
      </c>
      <c r="K44" s="101" t="s">
        <v>345</v>
      </c>
      <c r="L44" s="102">
        <v>4</v>
      </c>
      <c r="M44" s="81">
        <v>4</v>
      </c>
      <c r="N44" s="81">
        <v>4</v>
      </c>
      <c r="O44" s="81">
        <v>4</v>
      </c>
      <c r="P44" s="100">
        <v>4</v>
      </c>
      <c r="Q44" s="101"/>
      <c r="R44" s="53">
        <f t="shared" si="5"/>
        <v>4</v>
      </c>
      <c r="S44" s="81">
        <v>1</v>
      </c>
      <c r="T44" s="103">
        <f t="shared" si="0"/>
        <v>4</v>
      </c>
      <c r="U44" s="104" t="str">
        <f t="shared" si="6"/>
        <v>ACEPTAR</v>
      </c>
      <c r="V44" s="82"/>
      <c r="W44" s="105"/>
      <c r="X44" s="81"/>
      <c r="Y44" s="81"/>
      <c r="Z44" s="83"/>
      <c r="AA44" s="111"/>
      <c r="AB44" s="106"/>
      <c r="AC44" s="107">
        <f t="shared" si="7"/>
        <v>4</v>
      </c>
      <c r="AD44" s="81">
        <f t="shared" si="8"/>
        <v>1</v>
      </c>
      <c r="AE44" s="103">
        <f t="shared" si="3"/>
        <v>4</v>
      </c>
      <c r="AF44" s="98" t="str">
        <f t="shared" si="4"/>
        <v/>
      </c>
      <c r="AG44" s="97"/>
      <c r="AH44" s="97"/>
    </row>
    <row r="45" spans="1:34" s="27" customFormat="1" ht="57.6" hidden="1">
      <c r="A45" s="30" t="s">
        <v>275</v>
      </c>
      <c r="B45" s="29" t="s">
        <v>346</v>
      </c>
      <c r="C45" s="81" t="s">
        <v>285</v>
      </c>
      <c r="D45" s="81" t="s">
        <v>347</v>
      </c>
      <c r="E45" s="81" t="s">
        <v>324</v>
      </c>
      <c r="F45" s="81" t="s">
        <v>318</v>
      </c>
      <c r="G45" s="81" t="s">
        <v>280</v>
      </c>
      <c r="H45" s="98">
        <v>3</v>
      </c>
      <c r="I45" s="99" t="s">
        <v>348</v>
      </c>
      <c r="J45" s="100" t="s">
        <v>142</v>
      </c>
      <c r="K45" s="101" t="s">
        <v>349</v>
      </c>
      <c r="L45" s="102">
        <v>4</v>
      </c>
      <c r="M45" s="81">
        <v>4</v>
      </c>
      <c r="N45" s="81">
        <v>4</v>
      </c>
      <c r="O45" s="81"/>
      <c r="P45" s="100"/>
      <c r="Q45" s="101"/>
      <c r="R45" s="53">
        <f t="shared" si="5"/>
        <v>4</v>
      </c>
      <c r="S45" s="81">
        <v>1</v>
      </c>
      <c r="T45" s="103">
        <f t="shared" si="0"/>
        <v>4</v>
      </c>
      <c r="U45" s="104" t="str">
        <f t="shared" si="6"/>
        <v>ACEPTAR</v>
      </c>
      <c r="V45" s="34"/>
      <c r="W45" s="51"/>
      <c r="X45" s="29"/>
      <c r="Y45" s="35"/>
      <c r="Z45" s="50"/>
      <c r="AA45" s="81"/>
      <c r="AB45" s="106"/>
      <c r="AC45" s="107">
        <f t="shared" si="7"/>
        <v>4</v>
      </c>
      <c r="AD45" s="81">
        <f t="shared" si="8"/>
        <v>1</v>
      </c>
      <c r="AE45" s="103">
        <f t="shared" si="3"/>
        <v>4</v>
      </c>
      <c r="AF45" s="98" t="str">
        <f t="shared" si="4"/>
        <v/>
      </c>
      <c r="AG45" s="97"/>
      <c r="AH45" s="97"/>
    </row>
    <row r="46" spans="1:34" s="27" customFormat="1" ht="57.6" hidden="1">
      <c r="A46" s="30" t="s">
        <v>275</v>
      </c>
      <c r="B46" s="29" t="s">
        <v>350</v>
      </c>
      <c r="C46" s="81" t="s">
        <v>285</v>
      </c>
      <c r="D46" s="81" t="s">
        <v>351</v>
      </c>
      <c r="E46" s="81" t="s">
        <v>317</v>
      </c>
      <c r="F46" s="81" t="s">
        <v>318</v>
      </c>
      <c r="G46" s="81" t="s">
        <v>280</v>
      </c>
      <c r="H46" s="98">
        <v>3</v>
      </c>
      <c r="I46" s="99" t="s">
        <v>352</v>
      </c>
      <c r="J46" s="38" t="s">
        <v>320</v>
      </c>
      <c r="K46" s="39" t="s">
        <v>345</v>
      </c>
      <c r="L46" s="102">
        <v>4</v>
      </c>
      <c r="M46" s="81">
        <v>4</v>
      </c>
      <c r="N46" s="81">
        <v>4</v>
      </c>
      <c r="O46" s="81">
        <v>4</v>
      </c>
      <c r="P46" s="100"/>
      <c r="Q46" s="101"/>
      <c r="R46" s="53">
        <f t="shared" si="5"/>
        <v>4</v>
      </c>
      <c r="S46" s="81">
        <v>1</v>
      </c>
      <c r="T46" s="103">
        <f t="shared" si="0"/>
        <v>4</v>
      </c>
      <c r="U46" s="104" t="str">
        <f t="shared" si="6"/>
        <v>ACEPTAR</v>
      </c>
      <c r="V46" s="82"/>
      <c r="W46" s="105"/>
      <c r="X46" s="81"/>
      <c r="Y46" s="81"/>
      <c r="Z46" s="83"/>
      <c r="AA46" s="111"/>
      <c r="AB46" s="106"/>
      <c r="AC46" s="107">
        <f t="shared" si="7"/>
        <v>4</v>
      </c>
      <c r="AD46" s="81">
        <f t="shared" si="8"/>
        <v>1</v>
      </c>
      <c r="AE46" s="103">
        <f t="shared" si="3"/>
        <v>4</v>
      </c>
      <c r="AF46" s="98" t="str">
        <f t="shared" si="4"/>
        <v/>
      </c>
      <c r="AG46" s="97"/>
      <c r="AH46" s="97"/>
    </row>
    <row r="47" spans="1:34" s="27" customFormat="1" ht="57.6" hidden="1">
      <c r="A47" s="30" t="s">
        <v>275</v>
      </c>
      <c r="B47" s="29" t="s">
        <v>353</v>
      </c>
      <c r="C47" s="81" t="s">
        <v>285</v>
      </c>
      <c r="D47" s="81" t="s">
        <v>354</v>
      </c>
      <c r="E47" s="81" t="s">
        <v>317</v>
      </c>
      <c r="F47" s="81" t="s">
        <v>318</v>
      </c>
      <c r="G47" s="81" t="s">
        <v>280</v>
      </c>
      <c r="H47" s="98">
        <v>3</v>
      </c>
      <c r="I47" s="99" t="s">
        <v>352</v>
      </c>
      <c r="J47" s="38" t="s">
        <v>320</v>
      </c>
      <c r="K47" s="39" t="s">
        <v>345</v>
      </c>
      <c r="L47" s="102">
        <v>3</v>
      </c>
      <c r="M47" s="81">
        <v>3</v>
      </c>
      <c r="N47" s="81">
        <v>3</v>
      </c>
      <c r="O47" s="81">
        <v>3</v>
      </c>
      <c r="P47" s="100"/>
      <c r="Q47" s="101"/>
      <c r="R47" s="53">
        <f t="shared" si="5"/>
        <v>3</v>
      </c>
      <c r="S47" s="81">
        <v>1</v>
      </c>
      <c r="T47" s="103">
        <f t="shared" si="0"/>
        <v>3</v>
      </c>
      <c r="U47" s="104" t="str">
        <f t="shared" si="6"/>
        <v>ACEPTAR</v>
      </c>
      <c r="V47" s="82"/>
      <c r="W47" s="105"/>
      <c r="X47" s="81"/>
      <c r="Y47" s="81"/>
      <c r="Z47" s="83"/>
      <c r="AA47" s="111"/>
      <c r="AB47" s="106"/>
      <c r="AC47" s="107">
        <f t="shared" si="7"/>
        <v>3</v>
      </c>
      <c r="AD47" s="81">
        <f t="shared" si="8"/>
        <v>1</v>
      </c>
      <c r="AE47" s="103">
        <f t="shared" si="3"/>
        <v>3</v>
      </c>
      <c r="AF47" s="98" t="str">
        <f t="shared" si="4"/>
        <v/>
      </c>
      <c r="AG47" s="97"/>
      <c r="AH47" s="97"/>
    </row>
    <row r="48" spans="1:34" s="27" customFormat="1" ht="115.2" hidden="1">
      <c r="A48" s="30" t="s">
        <v>275</v>
      </c>
      <c r="B48" s="29" t="s">
        <v>355</v>
      </c>
      <c r="C48" s="81" t="s">
        <v>111</v>
      </c>
      <c r="D48" s="81" t="s">
        <v>356</v>
      </c>
      <c r="E48" s="81" t="s">
        <v>278</v>
      </c>
      <c r="F48" s="81" t="s">
        <v>302</v>
      </c>
      <c r="G48" s="81" t="s">
        <v>280</v>
      </c>
      <c r="H48" s="98">
        <v>3</v>
      </c>
      <c r="I48" s="99" t="s">
        <v>357</v>
      </c>
      <c r="J48" s="38" t="s">
        <v>358</v>
      </c>
      <c r="K48" s="39" t="s">
        <v>289</v>
      </c>
      <c r="L48" s="102">
        <v>3</v>
      </c>
      <c r="M48" s="81">
        <v>3</v>
      </c>
      <c r="N48" s="81">
        <v>3</v>
      </c>
      <c r="O48" s="81">
        <v>3</v>
      </c>
      <c r="P48" s="100">
        <v>3</v>
      </c>
      <c r="Q48" s="101"/>
      <c r="R48" s="53">
        <f t="shared" si="5"/>
        <v>3</v>
      </c>
      <c r="S48" s="81">
        <v>2</v>
      </c>
      <c r="T48" s="103">
        <f t="shared" si="0"/>
        <v>6</v>
      </c>
      <c r="U48" s="104" t="str">
        <f t="shared" si="6"/>
        <v>ACEPTAR</v>
      </c>
      <c r="V48" s="82"/>
      <c r="W48" s="105"/>
      <c r="X48" s="81"/>
      <c r="Y48" s="81"/>
      <c r="Z48" s="83"/>
      <c r="AA48" s="111"/>
      <c r="AB48" s="106"/>
      <c r="AC48" s="107">
        <f t="shared" si="7"/>
        <v>3</v>
      </c>
      <c r="AD48" s="81">
        <f t="shared" si="8"/>
        <v>2</v>
      </c>
      <c r="AE48" s="103">
        <f t="shared" si="3"/>
        <v>6</v>
      </c>
      <c r="AF48" s="98" t="str">
        <f t="shared" si="4"/>
        <v/>
      </c>
      <c r="AG48" s="97"/>
      <c r="AH48" s="97"/>
    </row>
    <row r="49" spans="1:34" s="27" customFormat="1" ht="72.75" hidden="1" customHeight="1">
      <c r="A49" s="30" t="s">
        <v>275</v>
      </c>
      <c r="B49" s="29" t="s">
        <v>359</v>
      </c>
      <c r="C49" s="81" t="s">
        <v>360</v>
      </c>
      <c r="D49" s="81" t="s">
        <v>361</v>
      </c>
      <c r="E49" s="81" t="s">
        <v>362</v>
      </c>
      <c r="F49" s="81" t="s">
        <v>363</v>
      </c>
      <c r="G49" s="81" t="s">
        <v>364</v>
      </c>
      <c r="H49" s="98">
        <v>2</v>
      </c>
      <c r="I49" s="99" t="s">
        <v>365</v>
      </c>
      <c r="J49" s="40" t="s">
        <v>366</v>
      </c>
      <c r="K49" s="39" t="s">
        <v>367</v>
      </c>
      <c r="L49" s="102">
        <v>3</v>
      </c>
      <c r="M49" s="81">
        <v>3</v>
      </c>
      <c r="N49" s="81">
        <v>3</v>
      </c>
      <c r="O49" s="81">
        <v>3</v>
      </c>
      <c r="P49" s="100">
        <v>3</v>
      </c>
      <c r="Q49" s="101"/>
      <c r="R49" s="53">
        <f t="shared" si="5"/>
        <v>3</v>
      </c>
      <c r="S49" s="81">
        <v>2</v>
      </c>
      <c r="T49" s="103">
        <f t="shared" si="0"/>
        <v>6</v>
      </c>
      <c r="U49" s="104" t="str">
        <f t="shared" si="6"/>
        <v>ACEPTAR</v>
      </c>
      <c r="V49" s="82"/>
      <c r="W49" s="105"/>
      <c r="X49" s="81"/>
      <c r="Y49" s="81"/>
      <c r="Z49" s="83"/>
      <c r="AA49" s="111"/>
      <c r="AB49" s="106"/>
      <c r="AC49" s="107">
        <f t="shared" si="7"/>
        <v>3</v>
      </c>
      <c r="AD49" s="81">
        <f t="shared" si="8"/>
        <v>2</v>
      </c>
      <c r="AE49" s="103">
        <f t="shared" si="3"/>
        <v>6</v>
      </c>
      <c r="AF49" s="98" t="str">
        <f t="shared" si="4"/>
        <v/>
      </c>
      <c r="AG49" s="97"/>
      <c r="AH49" s="97"/>
    </row>
    <row r="50" spans="1:34" s="27" customFormat="1" ht="129.6" hidden="1">
      <c r="A50" s="30" t="s">
        <v>368</v>
      </c>
      <c r="B50" s="29" t="s">
        <v>369</v>
      </c>
      <c r="C50" s="81" t="s">
        <v>111</v>
      </c>
      <c r="D50" s="81" t="s">
        <v>370</v>
      </c>
      <c r="E50" s="81" t="s">
        <v>371</v>
      </c>
      <c r="F50" s="81" t="s">
        <v>372</v>
      </c>
      <c r="G50" s="81" t="s">
        <v>373</v>
      </c>
      <c r="H50" s="98">
        <v>3</v>
      </c>
      <c r="I50" s="99" t="s">
        <v>374</v>
      </c>
      <c r="J50" s="40" t="s">
        <v>375</v>
      </c>
      <c r="K50" s="39" t="s">
        <v>376</v>
      </c>
      <c r="L50" s="102">
        <v>4</v>
      </c>
      <c r="M50" s="81">
        <v>4</v>
      </c>
      <c r="N50" s="81">
        <v>4</v>
      </c>
      <c r="O50" s="81">
        <v>4</v>
      </c>
      <c r="P50" s="100">
        <v>4</v>
      </c>
      <c r="Q50" s="101"/>
      <c r="R50" s="53">
        <f t="shared" si="5"/>
        <v>4</v>
      </c>
      <c r="S50" s="81">
        <v>1</v>
      </c>
      <c r="T50" s="103">
        <f t="shared" si="0"/>
        <v>4</v>
      </c>
      <c r="U50" s="104" t="str">
        <f t="shared" si="6"/>
        <v>ACEPTAR</v>
      </c>
      <c r="V50" s="82"/>
      <c r="W50" s="105"/>
      <c r="X50" s="81"/>
      <c r="Y50" s="81"/>
      <c r="Z50" s="83"/>
      <c r="AA50" s="111"/>
      <c r="AB50" s="106"/>
      <c r="AC50" s="107">
        <f t="shared" si="7"/>
        <v>4</v>
      </c>
      <c r="AD50" s="81">
        <f t="shared" si="8"/>
        <v>1</v>
      </c>
      <c r="AE50" s="103">
        <f t="shared" si="3"/>
        <v>4</v>
      </c>
      <c r="AF50" s="98" t="str">
        <f t="shared" si="4"/>
        <v/>
      </c>
      <c r="AG50" s="97"/>
      <c r="AH50" s="97"/>
    </row>
    <row r="51" spans="1:34" s="27" customFormat="1" ht="69.599999999999994" hidden="1" customHeight="1">
      <c r="A51" s="30" t="s">
        <v>368</v>
      </c>
      <c r="B51" s="29" t="s">
        <v>377</v>
      </c>
      <c r="C51" s="81" t="s">
        <v>111</v>
      </c>
      <c r="D51" s="81" t="s">
        <v>378</v>
      </c>
      <c r="E51" s="81" t="s">
        <v>379</v>
      </c>
      <c r="F51" s="81" t="s">
        <v>380</v>
      </c>
      <c r="G51" s="81" t="s">
        <v>381</v>
      </c>
      <c r="H51" s="98">
        <v>3</v>
      </c>
      <c r="I51" s="99" t="s">
        <v>382</v>
      </c>
      <c r="J51" s="38" t="s">
        <v>383</v>
      </c>
      <c r="K51" s="39" t="s">
        <v>384</v>
      </c>
      <c r="L51" s="102">
        <v>4</v>
      </c>
      <c r="M51" s="81">
        <v>4</v>
      </c>
      <c r="N51" s="81">
        <v>4</v>
      </c>
      <c r="O51" s="81">
        <v>4</v>
      </c>
      <c r="P51" s="100">
        <v>4</v>
      </c>
      <c r="Q51" s="101"/>
      <c r="R51" s="53">
        <f t="shared" si="5"/>
        <v>4</v>
      </c>
      <c r="S51" s="81">
        <v>1</v>
      </c>
      <c r="T51" s="103">
        <f t="shared" si="0"/>
        <v>4</v>
      </c>
      <c r="U51" s="104" t="str">
        <f t="shared" si="6"/>
        <v>ACEPTAR</v>
      </c>
      <c r="V51" s="82"/>
      <c r="W51" s="105"/>
      <c r="X51" s="81"/>
      <c r="Y51" s="81"/>
      <c r="Z51" s="83"/>
      <c r="AA51" s="111"/>
      <c r="AB51" s="106"/>
      <c r="AC51" s="107">
        <f t="shared" si="7"/>
        <v>4</v>
      </c>
      <c r="AD51" s="81">
        <f t="shared" si="8"/>
        <v>1</v>
      </c>
      <c r="AE51" s="103">
        <f t="shared" si="3"/>
        <v>4</v>
      </c>
      <c r="AF51" s="98" t="str">
        <f t="shared" si="4"/>
        <v/>
      </c>
      <c r="AG51" s="97"/>
      <c r="AH51" s="97"/>
    </row>
    <row r="52" spans="1:34" s="27" customFormat="1" ht="142.19999999999999" hidden="1" customHeight="1">
      <c r="A52" s="30" t="s">
        <v>368</v>
      </c>
      <c r="B52" s="29" t="s">
        <v>385</v>
      </c>
      <c r="C52" s="81" t="s">
        <v>386</v>
      </c>
      <c r="D52" s="81" t="s">
        <v>387</v>
      </c>
      <c r="E52" s="81" t="s">
        <v>388</v>
      </c>
      <c r="F52" s="81" t="s">
        <v>372</v>
      </c>
      <c r="G52" s="81" t="s">
        <v>381</v>
      </c>
      <c r="H52" s="98">
        <v>3</v>
      </c>
      <c r="I52" s="99" t="s">
        <v>382</v>
      </c>
      <c r="J52" s="38" t="s">
        <v>383</v>
      </c>
      <c r="K52" s="39" t="s">
        <v>384</v>
      </c>
      <c r="L52" s="102">
        <v>4</v>
      </c>
      <c r="M52" s="81">
        <v>4</v>
      </c>
      <c r="N52" s="81">
        <v>4</v>
      </c>
      <c r="O52" s="81">
        <v>4</v>
      </c>
      <c r="P52" s="100">
        <v>4</v>
      </c>
      <c r="Q52" s="101"/>
      <c r="R52" s="53">
        <f t="shared" si="5"/>
        <v>4</v>
      </c>
      <c r="S52" s="81">
        <v>1</v>
      </c>
      <c r="T52" s="103">
        <f t="shared" si="0"/>
        <v>4</v>
      </c>
      <c r="U52" s="104" t="str">
        <f t="shared" si="6"/>
        <v>ACEPTAR</v>
      </c>
      <c r="V52" s="82"/>
      <c r="W52" s="105"/>
      <c r="X52" s="81"/>
      <c r="Y52" s="81"/>
      <c r="Z52" s="83"/>
      <c r="AA52" s="111"/>
      <c r="AB52" s="106"/>
      <c r="AC52" s="107">
        <f t="shared" si="7"/>
        <v>4</v>
      </c>
      <c r="AD52" s="81">
        <f t="shared" si="8"/>
        <v>1</v>
      </c>
      <c r="AE52" s="103">
        <f t="shared" si="3"/>
        <v>4</v>
      </c>
      <c r="AF52" s="98" t="str">
        <f t="shared" si="4"/>
        <v/>
      </c>
      <c r="AG52" s="97"/>
      <c r="AH52" s="97"/>
    </row>
    <row r="53" spans="1:34" s="27" customFormat="1" ht="57.6" hidden="1">
      <c r="A53" s="30" t="s">
        <v>389</v>
      </c>
      <c r="B53" s="29" t="s">
        <v>390</v>
      </c>
      <c r="C53" s="81" t="s">
        <v>391</v>
      </c>
      <c r="D53" s="81" t="s">
        <v>392</v>
      </c>
      <c r="E53" s="81" t="s">
        <v>393</v>
      </c>
      <c r="F53" s="81" t="s">
        <v>394</v>
      </c>
      <c r="G53" s="81" t="s">
        <v>395</v>
      </c>
      <c r="H53" s="98">
        <v>2</v>
      </c>
      <c r="I53" s="99" t="s">
        <v>396</v>
      </c>
      <c r="J53" s="40" t="s">
        <v>397</v>
      </c>
      <c r="K53" s="39" t="s">
        <v>398</v>
      </c>
      <c r="L53" s="102">
        <v>0</v>
      </c>
      <c r="M53" s="81">
        <v>0</v>
      </c>
      <c r="N53" s="81">
        <v>0</v>
      </c>
      <c r="O53" s="81"/>
      <c r="P53" s="100"/>
      <c r="Q53" s="101"/>
      <c r="R53" s="53">
        <f t="shared" si="5"/>
        <v>0</v>
      </c>
      <c r="S53" s="81">
        <v>0</v>
      </c>
      <c r="T53" s="103">
        <f t="shared" si="0"/>
        <v>0</v>
      </c>
      <c r="U53" s="104" t="str">
        <f t="shared" si="6"/>
        <v>ACEPTAR</v>
      </c>
      <c r="V53" s="82"/>
      <c r="W53" s="105"/>
      <c r="X53" s="81"/>
      <c r="Y53" s="81"/>
      <c r="Z53" s="83"/>
      <c r="AA53" s="81"/>
      <c r="AB53" s="106"/>
      <c r="AC53" s="107">
        <f t="shared" si="7"/>
        <v>0</v>
      </c>
      <c r="AD53" s="81">
        <f t="shared" si="8"/>
        <v>0</v>
      </c>
      <c r="AE53" s="103">
        <f t="shared" si="3"/>
        <v>0</v>
      </c>
      <c r="AF53" s="98" t="str">
        <f t="shared" si="4"/>
        <v/>
      </c>
      <c r="AG53" s="97"/>
      <c r="AH53" s="97"/>
    </row>
    <row r="54" spans="1:34" s="27" customFormat="1" ht="61.95" hidden="1" customHeight="1">
      <c r="A54" s="30" t="s">
        <v>389</v>
      </c>
      <c r="B54" s="29" t="s">
        <v>399</v>
      </c>
      <c r="C54" s="81" t="s">
        <v>391</v>
      </c>
      <c r="D54" s="81" t="s">
        <v>400</v>
      </c>
      <c r="E54" s="81" t="s">
        <v>393</v>
      </c>
      <c r="F54" s="81" t="s">
        <v>401</v>
      </c>
      <c r="G54" s="81" t="s">
        <v>395</v>
      </c>
      <c r="H54" s="98">
        <v>2</v>
      </c>
      <c r="I54" s="99" t="s">
        <v>402</v>
      </c>
      <c r="J54" s="38" t="s">
        <v>403</v>
      </c>
      <c r="K54" s="39" t="s">
        <v>398</v>
      </c>
      <c r="L54" s="102">
        <v>0</v>
      </c>
      <c r="M54" s="81">
        <v>0</v>
      </c>
      <c r="N54" s="81">
        <v>0</v>
      </c>
      <c r="O54" s="81"/>
      <c r="P54" s="100"/>
      <c r="Q54" s="101"/>
      <c r="R54" s="53">
        <f t="shared" si="5"/>
        <v>0</v>
      </c>
      <c r="S54" s="81">
        <v>0</v>
      </c>
      <c r="T54" s="103">
        <f t="shared" si="0"/>
        <v>0</v>
      </c>
      <c r="U54" s="104" t="str">
        <f t="shared" si="6"/>
        <v>ACEPTAR</v>
      </c>
      <c r="V54" s="82"/>
      <c r="W54" s="105"/>
      <c r="X54" s="81"/>
      <c r="Y54" s="81"/>
      <c r="Z54" s="83"/>
      <c r="AA54" s="81"/>
      <c r="AB54" s="106"/>
      <c r="AC54" s="107">
        <f t="shared" si="7"/>
        <v>0</v>
      </c>
      <c r="AD54" s="81">
        <f t="shared" si="8"/>
        <v>0</v>
      </c>
      <c r="AE54" s="103">
        <f t="shared" si="3"/>
        <v>0</v>
      </c>
      <c r="AF54" s="98" t="str">
        <f t="shared" si="4"/>
        <v/>
      </c>
      <c r="AG54" s="97"/>
      <c r="AH54" s="97"/>
    </row>
    <row r="55" spans="1:34" s="27" customFormat="1" ht="57.6" hidden="1">
      <c r="A55" s="30" t="s">
        <v>389</v>
      </c>
      <c r="B55" s="29" t="s">
        <v>404</v>
      </c>
      <c r="C55" s="81" t="s">
        <v>391</v>
      </c>
      <c r="D55" s="81" t="s">
        <v>405</v>
      </c>
      <c r="E55" s="81" t="s">
        <v>393</v>
      </c>
      <c r="F55" s="81" t="s">
        <v>401</v>
      </c>
      <c r="G55" s="81" t="s">
        <v>395</v>
      </c>
      <c r="H55" s="98">
        <v>2</v>
      </c>
      <c r="I55" s="99" t="s">
        <v>406</v>
      </c>
      <c r="J55" s="40" t="s">
        <v>407</v>
      </c>
      <c r="K55" s="39" t="s">
        <v>398</v>
      </c>
      <c r="L55" s="102">
        <v>0</v>
      </c>
      <c r="M55" s="81">
        <v>0</v>
      </c>
      <c r="N55" s="81">
        <v>0</v>
      </c>
      <c r="O55" s="81"/>
      <c r="P55" s="100"/>
      <c r="Q55" s="101"/>
      <c r="R55" s="53">
        <f t="shared" si="5"/>
        <v>0</v>
      </c>
      <c r="S55" s="81">
        <v>0</v>
      </c>
      <c r="T55" s="103">
        <f t="shared" si="0"/>
        <v>0</v>
      </c>
      <c r="U55" s="104" t="str">
        <f t="shared" si="6"/>
        <v>ACEPTAR</v>
      </c>
      <c r="V55" s="82"/>
      <c r="W55" s="105"/>
      <c r="X55" s="81"/>
      <c r="Y55" s="81"/>
      <c r="Z55" s="83"/>
      <c r="AA55" s="81"/>
      <c r="AB55" s="106"/>
      <c r="AC55" s="107">
        <f t="shared" si="7"/>
        <v>0</v>
      </c>
      <c r="AD55" s="81">
        <f t="shared" si="8"/>
        <v>0</v>
      </c>
      <c r="AE55" s="103">
        <f t="shared" si="3"/>
        <v>0</v>
      </c>
      <c r="AF55" s="98" t="str">
        <f t="shared" si="4"/>
        <v/>
      </c>
      <c r="AG55" s="97"/>
      <c r="AH55" s="97"/>
    </row>
    <row r="56" spans="1:34" s="27" customFormat="1" ht="91.65" hidden="1" customHeight="1">
      <c r="A56" s="30" t="s">
        <v>389</v>
      </c>
      <c r="B56" s="29" t="s">
        <v>408</v>
      </c>
      <c r="C56" s="81" t="s">
        <v>285</v>
      </c>
      <c r="D56" s="81" t="s">
        <v>409</v>
      </c>
      <c r="E56" s="81" t="s">
        <v>410</v>
      </c>
      <c r="F56" s="81" t="s">
        <v>411</v>
      </c>
      <c r="G56" s="81" t="s">
        <v>412</v>
      </c>
      <c r="H56" s="98">
        <v>3</v>
      </c>
      <c r="I56" s="99" t="s">
        <v>413</v>
      </c>
      <c r="J56" s="40" t="s">
        <v>414</v>
      </c>
      <c r="K56" s="39" t="s">
        <v>415</v>
      </c>
      <c r="L56" s="102">
        <v>4</v>
      </c>
      <c r="M56" s="81">
        <v>4</v>
      </c>
      <c r="N56" s="81">
        <v>4</v>
      </c>
      <c r="O56" s="81"/>
      <c r="P56" s="100"/>
      <c r="Q56" s="101"/>
      <c r="R56" s="53">
        <f t="shared" si="5"/>
        <v>4</v>
      </c>
      <c r="S56" s="81">
        <v>1</v>
      </c>
      <c r="T56" s="103">
        <f t="shared" ref="T56" si="18">R56*S56</f>
        <v>4</v>
      </c>
      <c r="U56" s="104" t="str">
        <f t="shared" ref="U56" si="19">IF(T56&lt;8,"ACEPTAR","MITIGAR")</f>
        <v>ACEPTAR</v>
      </c>
      <c r="V56" s="82"/>
      <c r="W56" s="105"/>
      <c r="X56" s="81"/>
      <c r="Y56" s="81"/>
      <c r="Z56" s="83"/>
      <c r="AA56" s="81"/>
      <c r="AB56" s="106"/>
      <c r="AC56" s="107">
        <f t="shared" si="7"/>
        <v>4</v>
      </c>
      <c r="AD56" s="81">
        <f t="shared" si="8"/>
        <v>1</v>
      </c>
      <c r="AE56" s="103">
        <f t="shared" ref="AE56" si="20">AC56*AD56</f>
        <v>4</v>
      </c>
      <c r="AF56" s="98" t="str">
        <f t="shared" si="4"/>
        <v/>
      </c>
      <c r="AG56" s="97"/>
      <c r="AH56" s="97"/>
    </row>
    <row r="57" spans="1:34" s="27" customFormat="1" ht="57.6" hidden="1">
      <c r="A57" s="30" t="s">
        <v>389</v>
      </c>
      <c r="B57" s="29" t="s">
        <v>416</v>
      </c>
      <c r="C57" s="81" t="s">
        <v>391</v>
      </c>
      <c r="D57" s="81" t="s">
        <v>417</v>
      </c>
      <c r="E57" s="81" t="s">
        <v>418</v>
      </c>
      <c r="F57" s="81" t="s">
        <v>411</v>
      </c>
      <c r="G57" s="81" t="s">
        <v>395</v>
      </c>
      <c r="H57" s="98">
        <v>2</v>
      </c>
      <c r="I57" s="99" t="s">
        <v>419</v>
      </c>
      <c r="J57" s="38" t="s">
        <v>420</v>
      </c>
      <c r="K57" s="39" t="s">
        <v>421</v>
      </c>
      <c r="L57" s="102">
        <v>0</v>
      </c>
      <c r="M57" s="81">
        <v>0</v>
      </c>
      <c r="N57" s="81">
        <v>0</v>
      </c>
      <c r="O57" s="81"/>
      <c r="P57" s="100"/>
      <c r="Q57" s="101"/>
      <c r="R57" s="53">
        <f t="shared" si="5"/>
        <v>0</v>
      </c>
      <c r="S57" s="81">
        <v>0</v>
      </c>
      <c r="T57" s="103">
        <f t="shared" si="0"/>
        <v>0</v>
      </c>
      <c r="U57" s="104" t="str">
        <f t="shared" si="6"/>
        <v>ACEPTAR</v>
      </c>
      <c r="V57" s="82"/>
      <c r="W57" s="105"/>
      <c r="X57" s="81"/>
      <c r="Y57" s="81"/>
      <c r="Z57" s="83"/>
      <c r="AA57" s="81"/>
      <c r="AB57" s="106"/>
      <c r="AC57" s="107">
        <f t="shared" si="7"/>
        <v>0</v>
      </c>
      <c r="AD57" s="81">
        <f t="shared" si="8"/>
        <v>0</v>
      </c>
      <c r="AE57" s="103">
        <f t="shared" si="3"/>
        <v>0</v>
      </c>
      <c r="AF57" s="98" t="str">
        <f t="shared" si="4"/>
        <v/>
      </c>
      <c r="AG57" s="97"/>
      <c r="AH57" s="97"/>
    </row>
    <row r="58" spans="1:34" s="27" customFormat="1" ht="43.2" hidden="1">
      <c r="A58" s="30" t="s">
        <v>389</v>
      </c>
      <c r="B58" s="29" t="s">
        <v>422</v>
      </c>
      <c r="C58" s="81" t="s">
        <v>391</v>
      </c>
      <c r="D58" s="81" t="s">
        <v>423</v>
      </c>
      <c r="E58" s="81" t="s">
        <v>424</v>
      </c>
      <c r="F58" s="81" t="s">
        <v>425</v>
      </c>
      <c r="G58" s="81" t="s">
        <v>395</v>
      </c>
      <c r="H58" s="98">
        <v>2</v>
      </c>
      <c r="I58" s="99" t="s">
        <v>426</v>
      </c>
      <c r="J58" s="38" t="s">
        <v>427</v>
      </c>
      <c r="K58" s="39" t="s">
        <v>428</v>
      </c>
      <c r="L58" s="102">
        <v>0</v>
      </c>
      <c r="M58" s="81">
        <v>0</v>
      </c>
      <c r="N58" s="81"/>
      <c r="O58" s="81"/>
      <c r="P58" s="100"/>
      <c r="Q58" s="101"/>
      <c r="R58" s="53">
        <f t="shared" si="5"/>
        <v>0</v>
      </c>
      <c r="S58" s="81">
        <v>0</v>
      </c>
      <c r="T58" s="103">
        <f t="shared" ref="T58" si="21">R58*S58</f>
        <v>0</v>
      </c>
      <c r="U58" s="104" t="str">
        <f t="shared" ref="U58" si="22">IF(T58&lt;8,"ACEPTAR","MITIGAR")</f>
        <v>ACEPTAR</v>
      </c>
      <c r="V58" s="82"/>
      <c r="W58" s="105"/>
      <c r="X58" s="81"/>
      <c r="Y58" s="81"/>
      <c r="Z58" s="83"/>
      <c r="AA58" s="81"/>
      <c r="AB58" s="106"/>
      <c r="AC58" s="107">
        <f t="shared" si="7"/>
        <v>0</v>
      </c>
      <c r="AD58" s="81">
        <f t="shared" si="8"/>
        <v>0</v>
      </c>
      <c r="AE58" s="103">
        <f t="shared" ref="AE58" si="23">AC58*AD58</f>
        <v>0</v>
      </c>
      <c r="AF58" s="98" t="str">
        <f t="shared" si="4"/>
        <v/>
      </c>
      <c r="AG58" s="97"/>
      <c r="AH58" s="97"/>
    </row>
    <row r="59" spans="1:34" s="27" customFormat="1" ht="72" hidden="1">
      <c r="A59" s="30" t="s">
        <v>389</v>
      </c>
      <c r="B59" s="29" t="s">
        <v>429</v>
      </c>
      <c r="C59" s="81" t="s">
        <v>285</v>
      </c>
      <c r="D59" s="81" t="s">
        <v>430</v>
      </c>
      <c r="E59" s="81" t="s">
        <v>424</v>
      </c>
      <c r="F59" s="81" t="s">
        <v>425</v>
      </c>
      <c r="G59" s="81" t="s">
        <v>412</v>
      </c>
      <c r="H59" s="98">
        <v>3</v>
      </c>
      <c r="I59" s="99" t="s">
        <v>426</v>
      </c>
      <c r="J59" s="38" t="s">
        <v>427</v>
      </c>
      <c r="K59" s="39" t="s">
        <v>431</v>
      </c>
      <c r="L59" s="102">
        <v>4</v>
      </c>
      <c r="M59" s="81">
        <v>4</v>
      </c>
      <c r="N59" s="81"/>
      <c r="O59" s="81"/>
      <c r="P59" s="100"/>
      <c r="Q59" s="101"/>
      <c r="R59" s="53">
        <f t="shared" si="5"/>
        <v>4</v>
      </c>
      <c r="S59" s="81">
        <v>1</v>
      </c>
      <c r="T59" s="103">
        <f t="shared" ref="T59" si="24">R59*S59</f>
        <v>4</v>
      </c>
      <c r="U59" s="104" t="str">
        <f t="shared" ref="U59" si="25">IF(T59&lt;8,"ACEPTAR","MITIGAR")</f>
        <v>ACEPTAR</v>
      </c>
      <c r="V59" s="82"/>
      <c r="W59" s="105"/>
      <c r="X59" s="81"/>
      <c r="Y59" s="81"/>
      <c r="Z59" s="83"/>
      <c r="AA59" s="81"/>
      <c r="AB59" s="106"/>
      <c r="AC59" s="107">
        <f t="shared" si="7"/>
        <v>4</v>
      </c>
      <c r="AD59" s="81">
        <f t="shared" si="8"/>
        <v>1</v>
      </c>
      <c r="AE59" s="103">
        <f t="shared" ref="AE59" si="26">AC59*AD59</f>
        <v>4</v>
      </c>
      <c r="AF59" s="98" t="str">
        <f t="shared" si="4"/>
        <v/>
      </c>
      <c r="AG59" s="97"/>
      <c r="AH59" s="97"/>
    </row>
    <row r="60" spans="1:34" s="27" customFormat="1" ht="72" hidden="1">
      <c r="A60" s="30" t="s">
        <v>389</v>
      </c>
      <c r="B60" s="29" t="s">
        <v>432</v>
      </c>
      <c r="C60" s="81" t="s">
        <v>285</v>
      </c>
      <c r="D60" s="81" t="s">
        <v>433</v>
      </c>
      <c r="E60" s="81" t="s">
        <v>434</v>
      </c>
      <c r="F60" s="81" t="s">
        <v>425</v>
      </c>
      <c r="G60" s="81" t="s">
        <v>412</v>
      </c>
      <c r="H60" s="98">
        <v>3</v>
      </c>
      <c r="I60" s="99" t="s">
        <v>435</v>
      </c>
      <c r="J60" s="40" t="s">
        <v>436</v>
      </c>
      <c r="K60" s="39" t="s">
        <v>437</v>
      </c>
      <c r="L60" s="102">
        <v>4</v>
      </c>
      <c r="M60" s="81">
        <v>4</v>
      </c>
      <c r="N60" s="81"/>
      <c r="O60" s="81"/>
      <c r="P60" s="100"/>
      <c r="Q60" s="101"/>
      <c r="R60" s="53">
        <f t="shared" si="5"/>
        <v>4</v>
      </c>
      <c r="S60" s="81">
        <v>1</v>
      </c>
      <c r="T60" s="103">
        <f t="shared" ref="T60" si="27">R60*S60</f>
        <v>4</v>
      </c>
      <c r="U60" s="104" t="str">
        <f t="shared" ref="U60" si="28">IF(T60&lt;8,"ACEPTAR","MITIGAR")</f>
        <v>ACEPTAR</v>
      </c>
      <c r="V60" s="82"/>
      <c r="W60" s="105"/>
      <c r="X60" s="81"/>
      <c r="Y60" s="81"/>
      <c r="Z60" s="83"/>
      <c r="AA60" s="81"/>
      <c r="AB60" s="106"/>
      <c r="AC60" s="107">
        <f t="shared" si="7"/>
        <v>4</v>
      </c>
      <c r="AD60" s="81">
        <f t="shared" si="8"/>
        <v>1</v>
      </c>
      <c r="AE60" s="103">
        <f t="shared" ref="AE60" si="29">AC60*AD60</f>
        <v>4</v>
      </c>
      <c r="AF60" s="98" t="str">
        <f t="shared" si="4"/>
        <v/>
      </c>
      <c r="AG60" s="97"/>
      <c r="AH60" s="97"/>
    </row>
    <row r="61" spans="1:34" s="27" customFormat="1" ht="52.95" hidden="1" customHeight="1">
      <c r="A61" s="30" t="s">
        <v>389</v>
      </c>
      <c r="B61" s="29" t="s">
        <v>438</v>
      </c>
      <c r="C61" s="81" t="s">
        <v>391</v>
      </c>
      <c r="D61" s="81" t="s">
        <v>439</v>
      </c>
      <c r="E61" s="81" t="s">
        <v>434</v>
      </c>
      <c r="F61" s="81" t="s">
        <v>425</v>
      </c>
      <c r="G61" s="81" t="s">
        <v>395</v>
      </c>
      <c r="H61" s="98">
        <v>3</v>
      </c>
      <c r="I61" s="99" t="s">
        <v>426</v>
      </c>
      <c r="J61" s="38" t="s">
        <v>427</v>
      </c>
      <c r="K61" s="39" t="s">
        <v>440</v>
      </c>
      <c r="L61" s="102">
        <v>0</v>
      </c>
      <c r="M61" s="81">
        <v>0</v>
      </c>
      <c r="N61" s="81"/>
      <c r="O61" s="81"/>
      <c r="P61" s="100"/>
      <c r="Q61" s="101"/>
      <c r="R61" s="53">
        <f t="shared" si="5"/>
        <v>0</v>
      </c>
      <c r="S61" s="81">
        <v>0</v>
      </c>
      <c r="T61" s="103">
        <f t="shared" si="0"/>
        <v>0</v>
      </c>
      <c r="U61" s="104" t="str">
        <f t="shared" si="6"/>
        <v>ACEPTAR</v>
      </c>
      <c r="V61" s="82"/>
      <c r="W61" s="105"/>
      <c r="X61" s="81"/>
      <c r="Y61" s="81"/>
      <c r="Z61" s="83"/>
      <c r="AA61" s="81"/>
      <c r="AB61" s="106"/>
      <c r="AC61" s="107">
        <f t="shared" si="7"/>
        <v>0</v>
      </c>
      <c r="AD61" s="81">
        <f t="shared" si="8"/>
        <v>0</v>
      </c>
      <c r="AE61" s="103">
        <f t="shared" si="3"/>
        <v>0</v>
      </c>
      <c r="AF61" s="98" t="str">
        <f t="shared" si="4"/>
        <v/>
      </c>
      <c r="AG61" s="97"/>
      <c r="AH61" s="97"/>
    </row>
    <row r="62" spans="1:34" s="27" customFormat="1" ht="72" hidden="1">
      <c r="A62" s="30" t="s">
        <v>389</v>
      </c>
      <c r="B62" s="29" t="s">
        <v>441</v>
      </c>
      <c r="C62" s="81" t="s">
        <v>285</v>
      </c>
      <c r="D62" s="81" t="s">
        <v>442</v>
      </c>
      <c r="E62" s="81" t="s">
        <v>443</v>
      </c>
      <c r="F62" s="81" t="s">
        <v>425</v>
      </c>
      <c r="G62" s="81" t="s">
        <v>412</v>
      </c>
      <c r="H62" s="98">
        <v>3</v>
      </c>
      <c r="I62" s="99" t="s">
        <v>435</v>
      </c>
      <c r="J62" s="40" t="s">
        <v>436</v>
      </c>
      <c r="K62" s="39" t="s">
        <v>437</v>
      </c>
      <c r="L62" s="102">
        <v>3</v>
      </c>
      <c r="M62" s="81"/>
      <c r="N62" s="81"/>
      <c r="O62" s="81"/>
      <c r="P62" s="100"/>
      <c r="Q62" s="101"/>
      <c r="R62" s="53">
        <f t="shared" si="5"/>
        <v>3</v>
      </c>
      <c r="S62" s="81">
        <v>2</v>
      </c>
      <c r="T62" s="103">
        <f t="shared" ref="T62" si="30">R62*S62</f>
        <v>6</v>
      </c>
      <c r="U62" s="104" t="str">
        <f t="shared" ref="U62" si="31">IF(T62&lt;8,"ACEPTAR","MITIGAR")</f>
        <v>ACEPTAR</v>
      </c>
      <c r="V62" s="82"/>
      <c r="W62" s="105"/>
      <c r="X62" s="81"/>
      <c r="Y62" s="81"/>
      <c r="Z62" s="83"/>
      <c r="AA62" s="81"/>
      <c r="AB62" s="106"/>
      <c r="AC62" s="107">
        <f t="shared" si="7"/>
        <v>3</v>
      </c>
      <c r="AD62" s="81">
        <f t="shared" si="8"/>
        <v>2</v>
      </c>
      <c r="AE62" s="103">
        <f t="shared" ref="AE62" si="32">AC62*AD62</f>
        <v>6</v>
      </c>
      <c r="AF62" s="98" t="str">
        <f t="shared" si="4"/>
        <v/>
      </c>
      <c r="AG62" s="97"/>
      <c r="AH62" s="97"/>
    </row>
    <row r="63" spans="1:34" s="27" customFormat="1" ht="43.2" hidden="1">
      <c r="A63" s="30" t="s">
        <v>389</v>
      </c>
      <c r="B63" s="29" t="s">
        <v>444</v>
      </c>
      <c r="C63" s="81" t="s">
        <v>391</v>
      </c>
      <c r="D63" s="81" t="s">
        <v>445</v>
      </c>
      <c r="E63" s="81" t="s">
        <v>443</v>
      </c>
      <c r="F63" s="81" t="s">
        <v>425</v>
      </c>
      <c r="G63" s="81" t="s">
        <v>395</v>
      </c>
      <c r="H63" s="98">
        <v>2</v>
      </c>
      <c r="I63" s="99" t="s">
        <v>446</v>
      </c>
      <c r="J63" s="40" t="s">
        <v>447</v>
      </c>
      <c r="K63" s="39" t="s">
        <v>448</v>
      </c>
      <c r="L63" s="102">
        <v>0</v>
      </c>
      <c r="M63" s="81"/>
      <c r="N63" s="81"/>
      <c r="O63" s="81"/>
      <c r="P63" s="100"/>
      <c r="Q63" s="101"/>
      <c r="R63" s="53">
        <f t="shared" si="5"/>
        <v>0</v>
      </c>
      <c r="S63" s="81">
        <v>0</v>
      </c>
      <c r="T63" s="103">
        <f t="shared" ref="T63" si="33">R63*S63</f>
        <v>0</v>
      </c>
      <c r="U63" s="104" t="str">
        <f t="shared" ref="U63" si="34">IF(T63&lt;8,"ACEPTAR","MITIGAR")</f>
        <v>ACEPTAR</v>
      </c>
      <c r="V63" s="82"/>
      <c r="W63" s="105"/>
      <c r="X63" s="81"/>
      <c r="Y63" s="81"/>
      <c r="Z63" s="83"/>
      <c r="AA63" s="81"/>
      <c r="AB63" s="106"/>
      <c r="AC63" s="107">
        <f t="shared" si="7"/>
        <v>0</v>
      </c>
      <c r="AD63" s="81">
        <f t="shared" si="8"/>
        <v>0</v>
      </c>
      <c r="AE63" s="103">
        <f t="shared" ref="AE63" si="35">AC63*AD63</f>
        <v>0</v>
      </c>
      <c r="AF63" s="98" t="str">
        <f t="shared" si="4"/>
        <v/>
      </c>
      <c r="AG63" s="97"/>
      <c r="AH63" s="97"/>
    </row>
    <row r="64" spans="1:34" s="27" customFormat="1" ht="72" hidden="1">
      <c r="A64" s="30" t="s">
        <v>389</v>
      </c>
      <c r="B64" s="29" t="s">
        <v>449</v>
      </c>
      <c r="C64" s="81" t="s">
        <v>285</v>
      </c>
      <c r="D64" s="81" t="s">
        <v>450</v>
      </c>
      <c r="E64" s="81" t="s">
        <v>443</v>
      </c>
      <c r="F64" s="81" t="s">
        <v>425</v>
      </c>
      <c r="G64" s="81" t="s">
        <v>412</v>
      </c>
      <c r="H64" s="98">
        <v>3</v>
      </c>
      <c r="I64" s="99" t="s">
        <v>451</v>
      </c>
      <c r="J64" s="40" t="s">
        <v>452</v>
      </c>
      <c r="K64" s="39" t="s">
        <v>453</v>
      </c>
      <c r="L64" s="102">
        <v>4</v>
      </c>
      <c r="M64" s="81">
        <v>4</v>
      </c>
      <c r="N64" s="81"/>
      <c r="O64" s="81"/>
      <c r="P64" s="100"/>
      <c r="Q64" s="101"/>
      <c r="R64" s="53">
        <f t="shared" si="5"/>
        <v>4</v>
      </c>
      <c r="S64" s="81">
        <v>1</v>
      </c>
      <c r="T64" s="103">
        <f t="shared" ref="T64" si="36">R64*S64</f>
        <v>4</v>
      </c>
      <c r="U64" s="104" t="str">
        <f t="shared" ref="U64" si="37">IF(T64&lt;8,"ACEPTAR","MITIGAR")</f>
        <v>ACEPTAR</v>
      </c>
      <c r="V64" s="82"/>
      <c r="W64" s="105"/>
      <c r="X64" s="81"/>
      <c r="Y64" s="81"/>
      <c r="Z64" s="83"/>
      <c r="AA64" s="81"/>
      <c r="AB64" s="106"/>
      <c r="AC64" s="107">
        <f t="shared" si="7"/>
        <v>4</v>
      </c>
      <c r="AD64" s="81">
        <f t="shared" si="8"/>
        <v>1</v>
      </c>
      <c r="AE64" s="103">
        <f t="shared" ref="AE64" si="38">AC64*AD64</f>
        <v>4</v>
      </c>
      <c r="AF64" s="98" t="str">
        <f t="shared" si="4"/>
        <v/>
      </c>
      <c r="AG64" s="97"/>
      <c r="AH64" s="97"/>
    </row>
    <row r="65" spans="1:34" s="27" customFormat="1" ht="78.150000000000006" hidden="1" customHeight="1">
      <c r="A65" s="30" t="s">
        <v>389</v>
      </c>
      <c r="B65" s="29" t="s">
        <v>454</v>
      </c>
      <c r="C65" s="81" t="s">
        <v>285</v>
      </c>
      <c r="D65" s="81" t="s">
        <v>455</v>
      </c>
      <c r="E65" s="81" t="s">
        <v>456</v>
      </c>
      <c r="F65" s="81" t="s">
        <v>411</v>
      </c>
      <c r="G65" s="81" t="s">
        <v>412</v>
      </c>
      <c r="H65" s="98">
        <v>3</v>
      </c>
      <c r="I65" s="99" t="s">
        <v>457</v>
      </c>
      <c r="J65" s="40" t="s">
        <v>458</v>
      </c>
      <c r="K65" s="39" t="s">
        <v>415</v>
      </c>
      <c r="L65" s="102">
        <v>4</v>
      </c>
      <c r="M65" s="81">
        <v>4</v>
      </c>
      <c r="N65" s="81">
        <v>4</v>
      </c>
      <c r="O65" s="81"/>
      <c r="P65" s="100"/>
      <c r="Q65" s="101"/>
      <c r="R65" s="53">
        <f t="shared" si="5"/>
        <v>4</v>
      </c>
      <c r="S65" s="81">
        <v>1</v>
      </c>
      <c r="T65" s="103">
        <f t="shared" ref="T65" si="39">R65*S65</f>
        <v>4</v>
      </c>
      <c r="U65" s="104" t="str">
        <f t="shared" ref="U65" si="40">IF(T65&lt;8,"ACEPTAR","MITIGAR")</f>
        <v>ACEPTAR</v>
      </c>
      <c r="V65" s="82"/>
      <c r="W65" s="105"/>
      <c r="X65" s="81"/>
      <c r="Y65" s="81"/>
      <c r="Z65" s="83"/>
      <c r="AA65" s="111"/>
      <c r="AB65" s="106"/>
      <c r="AC65" s="107">
        <f t="shared" si="7"/>
        <v>4</v>
      </c>
      <c r="AD65" s="81">
        <f t="shared" si="8"/>
        <v>1</v>
      </c>
      <c r="AE65" s="103">
        <f t="shared" ref="AE65" si="41">AC65*AD65</f>
        <v>4</v>
      </c>
      <c r="AF65" s="98" t="str">
        <f t="shared" si="4"/>
        <v/>
      </c>
      <c r="AG65" s="97"/>
      <c r="AH65" s="97"/>
    </row>
    <row r="66" spans="1:34" s="27" customFormat="1" ht="72" hidden="1">
      <c r="A66" s="30" t="s">
        <v>389</v>
      </c>
      <c r="B66" s="29" t="s">
        <v>459</v>
      </c>
      <c r="C66" s="81" t="s">
        <v>285</v>
      </c>
      <c r="D66" s="81" t="s">
        <v>460</v>
      </c>
      <c r="E66" s="81" t="s">
        <v>461</v>
      </c>
      <c r="F66" s="81" t="s">
        <v>411</v>
      </c>
      <c r="G66" s="81" t="s">
        <v>412</v>
      </c>
      <c r="H66" s="98">
        <v>3</v>
      </c>
      <c r="I66" s="99" t="s">
        <v>462</v>
      </c>
      <c r="J66" s="40" t="s">
        <v>463</v>
      </c>
      <c r="K66" s="39" t="s">
        <v>464</v>
      </c>
      <c r="L66" s="102">
        <v>3</v>
      </c>
      <c r="M66" s="81">
        <v>3</v>
      </c>
      <c r="N66" s="81">
        <v>3</v>
      </c>
      <c r="O66" s="81"/>
      <c r="P66" s="100"/>
      <c r="Q66" s="101"/>
      <c r="R66" s="53">
        <f t="shared" si="5"/>
        <v>3</v>
      </c>
      <c r="S66" s="81">
        <v>1</v>
      </c>
      <c r="T66" s="103">
        <f t="shared" ref="T66" si="42">R66*S66</f>
        <v>3</v>
      </c>
      <c r="U66" s="104" t="str">
        <f t="shared" ref="U66" si="43">IF(T66&lt;8,"ACEPTAR","MITIGAR")</f>
        <v>ACEPTAR</v>
      </c>
      <c r="V66" s="82"/>
      <c r="W66" s="105"/>
      <c r="X66" s="81"/>
      <c r="Y66" s="81"/>
      <c r="Z66" s="83"/>
      <c r="AA66" s="81"/>
      <c r="AB66" s="106"/>
      <c r="AC66" s="107">
        <f t="shared" si="7"/>
        <v>3</v>
      </c>
      <c r="AD66" s="81">
        <f t="shared" si="8"/>
        <v>1</v>
      </c>
      <c r="AE66" s="103">
        <f t="shared" ref="AE66" si="44">AC66*AD66</f>
        <v>3</v>
      </c>
      <c r="AF66" s="98" t="str">
        <f t="shared" si="4"/>
        <v/>
      </c>
      <c r="AG66" s="97"/>
      <c r="AH66" s="97"/>
    </row>
    <row r="67" spans="1:34" s="27" customFormat="1" ht="57.6" hidden="1">
      <c r="A67" s="30" t="s">
        <v>389</v>
      </c>
      <c r="B67" s="29" t="s">
        <v>465</v>
      </c>
      <c r="C67" s="81" t="s">
        <v>391</v>
      </c>
      <c r="D67" s="81" t="s">
        <v>466</v>
      </c>
      <c r="E67" s="81" t="s">
        <v>461</v>
      </c>
      <c r="F67" s="81" t="s">
        <v>411</v>
      </c>
      <c r="G67" s="81" t="s">
        <v>395</v>
      </c>
      <c r="H67" s="98">
        <v>2</v>
      </c>
      <c r="I67" s="99" t="s">
        <v>462</v>
      </c>
      <c r="J67" s="38" t="s">
        <v>403</v>
      </c>
      <c r="K67" s="39" t="s">
        <v>421</v>
      </c>
      <c r="L67" s="102">
        <v>0</v>
      </c>
      <c r="M67" s="81">
        <v>0</v>
      </c>
      <c r="N67" s="81">
        <v>0</v>
      </c>
      <c r="O67" s="81"/>
      <c r="P67" s="100"/>
      <c r="Q67" s="101"/>
      <c r="R67" s="53">
        <f t="shared" si="5"/>
        <v>0</v>
      </c>
      <c r="S67" s="81">
        <v>0</v>
      </c>
      <c r="T67" s="103">
        <f t="shared" si="0"/>
        <v>0</v>
      </c>
      <c r="U67" s="104" t="str">
        <f t="shared" si="6"/>
        <v>ACEPTAR</v>
      </c>
      <c r="V67" s="82"/>
      <c r="W67" s="105"/>
      <c r="X67" s="81"/>
      <c r="Y67" s="81"/>
      <c r="Z67" s="83"/>
      <c r="AA67" s="81"/>
      <c r="AB67" s="106"/>
      <c r="AC67" s="107">
        <f t="shared" si="7"/>
        <v>0</v>
      </c>
      <c r="AD67" s="81">
        <f t="shared" si="8"/>
        <v>0</v>
      </c>
      <c r="AE67" s="103">
        <f t="shared" si="3"/>
        <v>0</v>
      </c>
      <c r="AF67" s="98" t="str">
        <f t="shared" si="4"/>
        <v/>
      </c>
      <c r="AG67" s="97"/>
      <c r="AH67" s="97"/>
    </row>
    <row r="68" spans="1:34" s="27" customFormat="1" ht="57.6" hidden="1">
      <c r="A68" s="30" t="s">
        <v>389</v>
      </c>
      <c r="B68" s="29" t="s">
        <v>467</v>
      </c>
      <c r="C68" s="81" t="s">
        <v>391</v>
      </c>
      <c r="D68" s="81" t="s">
        <v>468</v>
      </c>
      <c r="E68" s="81" t="s">
        <v>469</v>
      </c>
      <c r="F68" s="81" t="s">
        <v>411</v>
      </c>
      <c r="G68" s="81" t="s">
        <v>395</v>
      </c>
      <c r="H68" s="98">
        <v>2</v>
      </c>
      <c r="I68" s="99" t="s">
        <v>462</v>
      </c>
      <c r="J68" s="38" t="s">
        <v>403</v>
      </c>
      <c r="K68" s="39" t="s">
        <v>421</v>
      </c>
      <c r="L68" s="102">
        <v>0</v>
      </c>
      <c r="M68" s="81">
        <v>0</v>
      </c>
      <c r="N68" s="81">
        <v>0</v>
      </c>
      <c r="O68" s="81"/>
      <c r="P68" s="100"/>
      <c r="Q68" s="101"/>
      <c r="R68" s="53">
        <f t="shared" si="5"/>
        <v>0</v>
      </c>
      <c r="S68" s="81">
        <v>0</v>
      </c>
      <c r="T68" s="103">
        <f t="shared" si="0"/>
        <v>0</v>
      </c>
      <c r="U68" s="104" t="str">
        <f t="shared" si="6"/>
        <v>ACEPTAR</v>
      </c>
      <c r="V68" s="82"/>
      <c r="W68" s="105"/>
      <c r="X68" s="81"/>
      <c r="Y68" s="81"/>
      <c r="Z68" s="83"/>
      <c r="AA68" s="81"/>
      <c r="AB68" s="106"/>
      <c r="AC68" s="107">
        <f t="shared" si="7"/>
        <v>0</v>
      </c>
      <c r="AD68" s="81">
        <f t="shared" si="8"/>
        <v>0</v>
      </c>
      <c r="AE68" s="103">
        <f t="shared" si="3"/>
        <v>0</v>
      </c>
      <c r="AF68" s="98" t="str">
        <f t="shared" ref="AF68:AF129" si="45">IF(U68="MITIGAR",IF(AE68&lt;8,"SI",IF(AE68&lt;=T68,"INSUFICIENTE","NO")),"")</f>
        <v/>
      </c>
      <c r="AG68" s="97"/>
      <c r="AH68" s="97"/>
    </row>
    <row r="69" spans="1:34" s="27" customFormat="1" ht="98.7" hidden="1" customHeight="1">
      <c r="A69" s="30" t="s">
        <v>389</v>
      </c>
      <c r="B69" s="29" t="s">
        <v>470</v>
      </c>
      <c r="C69" s="81" t="s">
        <v>285</v>
      </c>
      <c r="D69" s="81" t="s">
        <v>471</v>
      </c>
      <c r="E69" s="81" t="s">
        <v>472</v>
      </c>
      <c r="F69" s="81" t="s">
        <v>425</v>
      </c>
      <c r="G69" s="81" t="s">
        <v>412</v>
      </c>
      <c r="H69" s="98">
        <v>3</v>
      </c>
      <c r="I69" s="99" t="s">
        <v>473</v>
      </c>
      <c r="J69" s="40" t="s">
        <v>474</v>
      </c>
      <c r="K69" s="39" t="s">
        <v>475</v>
      </c>
      <c r="L69" s="102">
        <v>4</v>
      </c>
      <c r="M69" s="81">
        <v>4</v>
      </c>
      <c r="N69" s="81"/>
      <c r="O69" s="81"/>
      <c r="P69" s="100"/>
      <c r="Q69" s="101"/>
      <c r="R69" s="53">
        <f t="shared" ref="R69:R130" si="46">MAX(L69:Q69)</f>
        <v>4</v>
      </c>
      <c r="S69" s="31">
        <v>1</v>
      </c>
      <c r="T69" s="103">
        <f t="shared" si="0"/>
        <v>4</v>
      </c>
      <c r="U69" s="104" t="str">
        <f t="shared" si="6"/>
        <v>ACEPTAR</v>
      </c>
      <c r="V69" s="82"/>
      <c r="W69" s="105"/>
      <c r="X69" s="81"/>
      <c r="Y69" s="81"/>
      <c r="Z69" s="83"/>
      <c r="AA69" s="81"/>
      <c r="AB69" s="106"/>
      <c r="AC69" s="107">
        <f t="shared" si="7"/>
        <v>4</v>
      </c>
      <c r="AD69" s="81">
        <f t="shared" si="8"/>
        <v>1</v>
      </c>
      <c r="AE69" s="103">
        <f t="shared" si="3"/>
        <v>4</v>
      </c>
      <c r="AF69" s="98" t="str">
        <f t="shared" si="45"/>
        <v/>
      </c>
      <c r="AG69" s="97"/>
      <c r="AH69" s="97"/>
    </row>
    <row r="70" spans="1:34" s="27" customFormat="1" ht="43.2" hidden="1">
      <c r="A70" s="30" t="s">
        <v>389</v>
      </c>
      <c r="B70" s="29" t="s">
        <v>476</v>
      </c>
      <c r="C70" s="81" t="s">
        <v>391</v>
      </c>
      <c r="D70" s="81" t="s">
        <v>477</v>
      </c>
      <c r="E70" s="81" t="s">
        <v>472</v>
      </c>
      <c r="F70" s="81" t="s">
        <v>425</v>
      </c>
      <c r="G70" s="81" t="s">
        <v>395</v>
      </c>
      <c r="H70" s="98">
        <v>2</v>
      </c>
      <c r="I70" s="99" t="s">
        <v>478</v>
      </c>
      <c r="J70" s="38" t="s">
        <v>479</v>
      </c>
      <c r="K70" s="39" t="s">
        <v>480</v>
      </c>
      <c r="L70" s="102">
        <v>0</v>
      </c>
      <c r="M70" s="81">
        <v>0</v>
      </c>
      <c r="N70" s="81"/>
      <c r="O70" s="81"/>
      <c r="P70" s="100"/>
      <c r="Q70" s="101"/>
      <c r="R70" s="53">
        <f t="shared" si="46"/>
        <v>0</v>
      </c>
      <c r="S70" s="31">
        <v>0</v>
      </c>
      <c r="T70" s="103">
        <f t="shared" ref="T70" si="47">R70*S70</f>
        <v>0</v>
      </c>
      <c r="U70" s="104" t="str">
        <f t="shared" ref="U70" si="48">IF(T70&lt;8,"ACEPTAR","MITIGAR")</f>
        <v>ACEPTAR</v>
      </c>
      <c r="V70" s="82"/>
      <c r="W70" s="105"/>
      <c r="X70" s="81"/>
      <c r="Y70" s="81"/>
      <c r="Z70" s="83"/>
      <c r="AA70" s="81"/>
      <c r="AB70" s="106"/>
      <c r="AC70" s="107">
        <f t="shared" si="7"/>
        <v>0</v>
      </c>
      <c r="AD70" s="81">
        <f t="shared" si="8"/>
        <v>0</v>
      </c>
      <c r="AE70" s="103">
        <f t="shared" ref="AE70" si="49">AC70*AD70</f>
        <v>0</v>
      </c>
      <c r="AF70" s="98" t="str">
        <f t="shared" si="45"/>
        <v/>
      </c>
      <c r="AG70" s="97"/>
      <c r="AH70" s="97"/>
    </row>
    <row r="71" spans="1:34" s="27" customFormat="1" ht="72" hidden="1">
      <c r="A71" s="30" t="s">
        <v>389</v>
      </c>
      <c r="B71" s="29" t="s">
        <v>481</v>
      </c>
      <c r="C71" s="81" t="s">
        <v>285</v>
      </c>
      <c r="D71" s="81" t="s">
        <v>482</v>
      </c>
      <c r="E71" s="81" t="s">
        <v>483</v>
      </c>
      <c r="F71" s="81" t="s">
        <v>484</v>
      </c>
      <c r="G71" s="81" t="s">
        <v>412</v>
      </c>
      <c r="H71" s="98">
        <v>3</v>
      </c>
      <c r="I71" s="99" t="s">
        <v>478</v>
      </c>
      <c r="J71" s="40" t="s">
        <v>474</v>
      </c>
      <c r="K71" s="39" t="s">
        <v>475</v>
      </c>
      <c r="L71" s="102">
        <v>4</v>
      </c>
      <c r="M71" s="81">
        <v>4</v>
      </c>
      <c r="N71" s="81"/>
      <c r="O71" s="81"/>
      <c r="P71" s="100"/>
      <c r="Q71" s="101"/>
      <c r="R71" s="53">
        <f t="shared" si="46"/>
        <v>4</v>
      </c>
      <c r="S71" s="81">
        <v>1</v>
      </c>
      <c r="T71" s="103">
        <f t="shared" si="0"/>
        <v>4</v>
      </c>
      <c r="U71" s="104" t="str">
        <f t="shared" ref="U71" si="50">IF(T71&lt;8,"ACEPTAR","MITIGAR")</f>
        <v>ACEPTAR</v>
      </c>
      <c r="V71" s="82"/>
      <c r="W71" s="105"/>
      <c r="X71" s="81"/>
      <c r="Y71" s="81"/>
      <c r="Z71" s="83"/>
      <c r="AA71" s="81"/>
      <c r="AB71" s="106"/>
      <c r="AC71" s="107">
        <f t="shared" ref="AC71:AC132" si="51">R71</f>
        <v>4</v>
      </c>
      <c r="AD71" s="81">
        <f t="shared" ref="AD71:AD132" si="52">S71</f>
        <v>1</v>
      </c>
      <c r="AE71" s="103">
        <f t="shared" si="3"/>
        <v>4</v>
      </c>
      <c r="AF71" s="98" t="str">
        <f t="shared" si="45"/>
        <v/>
      </c>
      <c r="AG71" s="97"/>
      <c r="AH71" s="97"/>
    </row>
    <row r="72" spans="1:34" s="27" customFormat="1" ht="43.2" hidden="1">
      <c r="A72" s="30" t="s">
        <v>389</v>
      </c>
      <c r="B72" s="29" t="s">
        <v>485</v>
      </c>
      <c r="C72" s="81" t="s">
        <v>391</v>
      </c>
      <c r="D72" s="81" t="s">
        <v>486</v>
      </c>
      <c r="E72" s="81" t="s">
        <v>483</v>
      </c>
      <c r="F72" s="81" t="s">
        <v>484</v>
      </c>
      <c r="G72" s="81" t="s">
        <v>395</v>
      </c>
      <c r="H72" s="98">
        <v>2</v>
      </c>
      <c r="I72" s="99" t="s">
        <v>478</v>
      </c>
      <c r="J72" s="38" t="s">
        <v>479</v>
      </c>
      <c r="K72" s="39" t="s">
        <v>480</v>
      </c>
      <c r="L72" s="102">
        <v>0</v>
      </c>
      <c r="M72" s="81">
        <v>0</v>
      </c>
      <c r="N72" s="81"/>
      <c r="O72" s="81"/>
      <c r="P72" s="100"/>
      <c r="Q72" s="101"/>
      <c r="R72" s="53">
        <f t="shared" si="46"/>
        <v>0</v>
      </c>
      <c r="S72" s="81">
        <v>0</v>
      </c>
      <c r="T72" s="103">
        <f t="shared" ref="T72" si="53">R72*S72</f>
        <v>0</v>
      </c>
      <c r="U72" s="104" t="str">
        <f t="shared" ref="U72" si="54">IF(T72&lt;8,"ACEPTAR","MITIGAR")</f>
        <v>ACEPTAR</v>
      </c>
      <c r="V72" s="82"/>
      <c r="W72" s="105"/>
      <c r="X72" s="81"/>
      <c r="Y72" s="81"/>
      <c r="Z72" s="83"/>
      <c r="AA72" s="81"/>
      <c r="AB72" s="106"/>
      <c r="AC72" s="107">
        <f t="shared" si="51"/>
        <v>0</v>
      </c>
      <c r="AD72" s="81">
        <f t="shared" si="52"/>
        <v>0</v>
      </c>
      <c r="AE72" s="103">
        <f t="shared" ref="AE72" si="55">AC72*AD72</f>
        <v>0</v>
      </c>
      <c r="AF72" s="98" t="str">
        <f t="shared" si="45"/>
        <v/>
      </c>
      <c r="AG72" s="97"/>
      <c r="AH72" s="97"/>
    </row>
    <row r="73" spans="1:34" s="27" customFormat="1" ht="72" hidden="1">
      <c r="A73" s="30" t="s">
        <v>389</v>
      </c>
      <c r="B73" s="29" t="s">
        <v>487</v>
      </c>
      <c r="C73" s="81" t="s">
        <v>285</v>
      </c>
      <c r="D73" s="81" t="s">
        <v>488</v>
      </c>
      <c r="E73" s="81" t="s">
        <v>489</v>
      </c>
      <c r="F73" s="81" t="s">
        <v>411</v>
      </c>
      <c r="G73" s="81" t="s">
        <v>412</v>
      </c>
      <c r="H73" s="98">
        <v>3</v>
      </c>
      <c r="I73" s="99" t="s">
        <v>490</v>
      </c>
      <c r="J73" s="40" t="s">
        <v>491</v>
      </c>
      <c r="K73" s="39" t="s">
        <v>415</v>
      </c>
      <c r="L73" s="102"/>
      <c r="M73" s="81">
        <v>4</v>
      </c>
      <c r="N73" s="81">
        <v>4</v>
      </c>
      <c r="O73" s="81"/>
      <c r="P73" s="100"/>
      <c r="Q73" s="101"/>
      <c r="R73" s="53">
        <f t="shared" si="46"/>
        <v>4</v>
      </c>
      <c r="S73" s="81">
        <v>1</v>
      </c>
      <c r="T73" s="103">
        <f t="shared" si="0"/>
        <v>4</v>
      </c>
      <c r="U73" s="104" t="str">
        <f t="shared" ref="U73:U132" si="56">IF(T73&lt;8,"ACEPTAR","MITIGAR")</f>
        <v>ACEPTAR</v>
      </c>
      <c r="V73" s="82"/>
      <c r="W73" s="105"/>
      <c r="X73" s="81"/>
      <c r="Y73" s="81"/>
      <c r="Z73" s="83"/>
      <c r="AA73" s="81"/>
      <c r="AB73" s="106"/>
      <c r="AC73" s="107">
        <f t="shared" si="51"/>
        <v>4</v>
      </c>
      <c r="AD73" s="81">
        <f t="shared" si="52"/>
        <v>1</v>
      </c>
      <c r="AE73" s="103">
        <f t="shared" si="3"/>
        <v>4</v>
      </c>
      <c r="AF73" s="98" t="str">
        <f t="shared" si="45"/>
        <v/>
      </c>
      <c r="AG73" s="97"/>
      <c r="AH73" s="97"/>
    </row>
    <row r="74" spans="1:34" s="27" customFormat="1" ht="57.6" hidden="1">
      <c r="A74" s="30" t="s">
        <v>389</v>
      </c>
      <c r="B74" s="29" t="s">
        <v>492</v>
      </c>
      <c r="C74" s="81" t="s">
        <v>391</v>
      </c>
      <c r="D74" s="81" t="s">
        <v>493</v>
      </c>
      <c r="E74" s="81" t="s">
        <v>489</v>
      </c>
      <c r="F74" s="81" t="s">
        <v>411</v>
      </c>
      <c r="G74" s="81" t="s">
        <v>395</v>
      </c>
      <c r="H74" s="98">
        <v>2</v>
      </c>
      <c r="I74" s="99" t="s">
        <v>494</v>
      </c>
      <c r="J74" s="40" t="s">
        <v>495</v>
      </c>
      <c r="K74" s="39" t="s">
        <v>398</v>
      </c>
      <c r="L74" s="102"/>
      <c r="M74" s="81">
        <v>0</v>
      </c>
      <c r="N74" s="81">
        <v>0</v>
      </c>
      <c r="O74" s="81"/>
      <c r="P74" s="100"/>
      <c r="Q74" s="101"/>
      <c r="R74" s="53">
        <f t="shared" si="46"/>
        <v>0</v>
      </c>
      <c r="S74" s="81">
        <v>0</v>
      </c>
      <c r="T74" s="103">
        <f t="shared" ref="T74" si="57">R74*S74</f>
        <v>0</v>
      </c>
      <c r="U74" s="104" t="str">
        <f t="shared" ref="U74" si="58">IF(T74&lt;8,"ACEPTAR","MITIGAR")</f>
        <v>ACEPTAR</v>
      </c>
      <c r="V74" s="82"/>
      <c r="W74" s="105"/>
      <c r="X74" s="81"/>
      <c r="Y74" s="81"/>
      <c r="Z74" s="83"/>
      <c r="AA74" s="81"/>
      <c r="AB74" s="106"/>
      <c r="AC74" s="107">
        <f t="shared" si="51"/>
        <v>0</v>
      </c>
      <c r="AD74" s="81">
        <f t="shared" si="52"/>
        <v>0</v>
      </c>
      <c r="AE74" s="103">
        <f t="shared" ref="AE74" si="59">AC74*AD74</f>
        <v>0</v>
      </c>
      <c r="AF74" s="98" t="str">
        <f t="shared" si="45"/>
        <v/>
      </c>
      <c r="AG74" s="97"/>
      <c r="AH74" s="97"/>
    </row>
    <row r="75" spans="1:34" s="27" customFormat="1" ht="72" hidden="1">
      <c r="A75" s="30" t="s">
        <v>389</v>
      </c>
      <c r="B75" s="29" t="s">
        <v>496</v>
      </c>
      <c r="C75" s="81" t="s">
        <v>285</v>
      </c>
      <c r="D75" s="81" t="s">
        <v>497</v>
      </c>
      <c r="E75" s="81" t="s">
        <v>498</v>
      </c>
      <c r="F75" s="81" t="s">
        <v>499</v>
      </c>
      <c r="G75" s="81" t="s">
        <v>412</v>
      </c>
      <c r="H75" s="98">
        <v>3</v>
      </c>
      <c r="I75" s="99" t="s">
        <v>500</v>
      </c>
      <c r="J75" s="40" t="s">
        <v>501</v>
      </c>
      <c r="K75" s="39" t="s">
        <v>502</v>
      </c>
      <c r="L75" s="102">
        <v>4</v>
      </c>
      <c r="M75" s="81"/>
      <c r="N75" s="81"/>
      <c r="O75" s="81"/>
      <c r="P75" s="100"/>
      <c r="Q75" s="101"/>
      <c r="R75" s="53">
        <f t="shared" si="46"/>
        <v>4</v>
      </c>
      <c r="S75" s="81">
        <v>1</v>
      </c>
      <c r="T75" s="103">
        <f t="shared" si="0"/>
        <v>4</v>
      </c>
      <c r="U75" s="104" t="str">
        <f t="shared" si="56"/>
        <v>ACEPTAR</v>
      </c>
      <c r="V75" s="82"/>
      <c r="W75" s="105"/>
      <c r="X75" s="81"/>
      <c r="Y75" s="81"/>
      <c r="Z75" s="83"/>
      <c r="AA75" s="81"/>
      <c r="AB75" s="106"/>
      <c r="AC75" s="107">
        <f t="shared" si="51"/>
        <v>4</v>
      </c>
      <c r="AD75" s="81">
        <f t="shared" si="52"/>
        <v>1</v>
      </c>
      <c r="AE75" s="103">
        <f t="shared" si="3"/>
        <v>4</v>
      </c>
      <c r="AF75" s="98" t="str">
        <f t="shared" si="45"/>
        <v/>
      </c>
      <c r="AG75" s="97"/>
      <c r="AH75" s="97"/>
    </row>
    <row r="76" spans="1:34" s="27" customFormat="1" ht="43.2" hidden="1">
      <c r="A76" s="30" t="s">
        <v>389</v>
      </c>
      <c r="B76" s="29" t="s">
        <v>503</v>
      </c>
      <c r="C76" s="81" t="s">
        <v>391</v>
      </c>
      <c r="D76" s="81" t="s">
        <v>504</v>
      </c>
      <c r="E76" s="81" t="s">
        <v>498</v>
      </c>
      <c r="F76" s="81" t="s">
        <v>499</v>
      </c>
      <c r="G76" s="81" t="s">
        <v>395</v>
      </c>
      <c r="H76" s="98">
        <v>2</v>
      </c>
      <c r="I76" s="99" t="s">
        <v>500</v>
      </c>
      <c r="J76" s="38" t="s">
        <v>505</v>
      </c>
      <c r="K76" s="39" t="s">
        <v>448</v>
      </c>
      <c r="L76" s="102">
        <v>0</v>
      </c>
      <c r="M76" s="81"/>
      <c r="N76" s="81"/>
      <c r="O76" s="81"/>
      <c r="P76" s="100"/>
      <c r="Q76" s="101"/>
      <c r="R76" s="53">
        <f t="shared" si="46"/>
        <v>0</v>
      </c>
      <c r="S76" s="81">
        <v>0</v>
      </c>
      <c r="T76" s="103">
        <f t="shared" ref="T76" si="60">R76*S76</f>
        <v>0</v>
      </c>
      <c r="U76" s="104" t="str">
        <f t="shared" ref="U76" si="61">IF(T76&lt;8,"ACEPTAR","MITIGAR")</f>
        <v>ACEPTAR</v>
      </c>
      <c r="V76" s="82"/>
      <c r="W76" s="105"/>
      <c r="X76" s="81"/>
      <c r="Y76" s="81"/>
      <c r="Z76" s="83"/>
      <c r="AA76" s="81"/>
      <c r="AB76" s="106"/>
      <c r="AC76" s="107">
        <f t="shared" si="51"/>
        <v>0</v>
      </c>
      <c r="AD76" s="81">
        <f t="shared" si="52"/>
        <v>0</v>
      </c>
      <c r="AE76" s="103">
        <f t="shared" ref="AE76" si="62">AC76*AD76</f>
        <v>0</v>
      </c>
      <c r="AF76" s="98" t="str">
        <f t="shared" si="45"/>
        <v/>
      </c>
      <c r="AG76" s="97"/>
      <c r="AH76" s="97"/>
    </row>
    <row r="77" spans="1:34" s="27" customFormat="1" ht="72" hidden="1">
      <c r="A77" s="30" t="s">
        <v>389</v>
      </c>
      <c r="B77" s="29" t="s">
        <v>506</v>
      </c>
      <c r="C77" s="81" t="s">
        <v>285</v>
      </c>
      <c r="D77" s="81" t="s">
        <v>507</v>
      </c>
      <c r="E77" s="81" t="s">
        <v>508</v>
      </c>
      <c r="F77" s="81" t="s">
        <v>499</v>
      </c>
      <c r="G77" s="81" t="s">
        <v>412</v>
      </c>
      <c r="H77" s="98">
        <v>3</v>
      </c>
      <c r="I77" s="99" t="s">
        <v>500</v>
      </c>
      <c r="J77" s="40" t="s">
        <v>501</v>
      </c>
      <c r="K77" s="39" t="s">
        <v>475</v>
      </c>
      <c r="L77" s="102">
        <v>4</v>
      </c>
      <c r="M77" s="81"/>
      <c r="N77" s="81"/>
      <c r="O77" s="81"/>
      <c r="P77" s="100"/>
      <c r="Q77" s="101"/>
      <c r="R77" s="53">
        <f t="shared" si="46"/>
        <v>4</v>
      </c>
      <c r="S77" s="81">
        <v>1</v>
      </c>
      <c r="T77" s="103">
        <f t="shared" si="0"/>
        <v>4</v>
      </c>
      <c r="U77" s="104" t="str">
        <f t="shared" si="56"/>
        <v>ACEPTAR</v>
      </c>
      <c r="V77" s="82"/>
      <c r="W77" s="105"/>
      <c r="X77" s="81"/>
      <c r="Y77" s="81"/>
      <c r="Z77" s="83"/>
      <c r="AA77" s="81"/>
      <c r="AB77" s="106"/>
      <c r="AC77" s="107">
        <f t="shared" si="51"/>
        <v>4</v>
      </c>
      <c r="AD77" s="81">
        <f t="shared" si="52"/>
        <v>1</v>
      </c>
      <c r="AE77" s="112">
        <f t="shared" si="3"/>
        <v>4</v>
      </c>
      <c r="AF77" s="98" t="str">
        <f t="shared" si="45"/>
        <v/>
      </c>
      <c r="AG77" s="97"/>
      <c r="AH77" s="97"/>
    </row>
    <row r="78" spans="1:34" s="27" customFormat="1" ht="63.15" hidden="1" customHeight="1">
      <c r="A78" s="30" t="s">
        <v>389</v>
      </c>
      <c r="B78" s="29" t="s">
        <v>509</v>
      </c>
      <c r="C78" s="81" t="s">
        <v>391</v>
      </c>
      <c r="D78" s="81" t="s">
        <v>510</v>
      </c>
      <c r="E78" s="81" t="s">
        <v>508</v>
      </c>
      <c r="F78" s="81" t="s">
        <v>499</v>
      </c>
      <c r="G78" s="81" t="s">
        <v>511</v>
      </c>
      <c r="H78" s="98">
        <v>3</v>
      </c>
      <c r="I78" s="99" t="s">
        <v>500</v>
      </c>
      <c r="J78" s="38" t="s">
        <v>505</v>
      </c>
      <c r="K78" s="39" t="s">
        <v>480</v>
      </c>
      <c r="L78" s="102">
        <v>0</v>
      </c>
      <c r="M78" s="81"/>
      <c r="N78" s="81"/>
      <c r="O78" s="81"/>
      <c r="P78" s="100"/>
      <c r="Q78" s="101"/>
      <c r="R78" s="53">
        <f t="shared" si="46"/>
        <v>0</v>
      </c>
      <c r="S78" s="81">
        <v>0</v>
      </c>
      <c r="T78" s="103">
        <f t="shared" ref="T78" si="63">R78*S78</f>
        <v>0</v>
      </c>
      <c r="U78" s="104" t="str">
        <f t="shared" ref="U78" si="64">IF(T78&lt;8,"ACEPTAR","MITIGAR")</f>
        <v>ACEPTAR</v>
      </c>
      <c r="V78" s="82"/>
      <c r="W78" s="105"/>
      <c r="X78" s="81"/>
      <c r="Y78" s="81"/>
      <c r="Z78" s="83"/>
      <c r="AA78" s="81"/>
      <c r="AB78" s="106"/>
      <c r="AC78" s="107">
        <f t="shared" si="51"/>
        <v>0</v>
      </c>
      <c r="AD78" s="81">
        <f t="shared" si="52"/>
        <v>0</v>
      </c>
      <c r="AE78" s="112">
        <f t="shared" ref="AE78" si="65">AC78*AD78</f>
        <v>0</v>
      </c>
      <c r="AF78" s="98" t="str">
        <f t="shared" si="45"/>
        <v/>
      </c>
      <c r="AG78" s="97"/>
      <c r="AH78" s="97"/>
    </row>
    <row r="79" spans="1:34" s="27" customFormat="1" ht="71.400000000000006" hidden="1" customHeight="1">
      <c r="A79" s="30" t="s">
        <v>389</v>
      </c>
      <c r="B79" s="29" t="s">
        <v>512</v>
      </c>
      <c r="C79" s="81" t="s">
        <v>391</v>
      </c>
      <c r="D79" s="81" t="s">
        <v>513</v>
      </c>
      <c r="E79" s="81" t="s">
        <v>514</v>
      </c>
      <c r="F79" s="81" t="s">
        <v>499</v>
      </c>
      <c r="G79" s="81" t="s">
        <v>511</v>
      </c>
      <c r="H79" s="98">
        <v>2</v>
      </c>
      <c r="I79" s="99" t="s">
        <v>515</v>
      </c>
      <c r="J79" s="38" t="s">
        <v>516</v>
      </c>
      <c r="K79" s="39" t="s">
        <v>480</v>
      </c>
      <c r="L79" s="102">
        <v>0</v>
      </c>
      <c r="M79" s="81">
        <v>0</v>
      </c>
      <c r="N79" s="81"/>
      <c r="O79" s="81"/>
      <c r="P79" s="100"/>
      <c r="Q79" s="101"/>
      <c r="R79" s="53">
        <f t="shared" si="46"/>
        <v>0</v>
      </c>
      <c r="S79" s="81">
        <v>0</v>
      </c>
      <c r="T79" s="103">
        <f t="shared" si="0"/>
        <v>0</v>
      </c>
      <c r="U79" s="104" t="str">
        <f t="shared" si="56"/>
        <v>ACEPTAR</v>
      </c>
      <c r="V79" s="82"/>
      <c r="W79" s="105"/>
      <c r="X79" s="81"/>
      <c r="Y79" s="81"/>
      <c r="Z79" s="83"/>
      <c r="AA79" s="81"/>
      <c r="AB79" s="106"/>
      <c r="AC79" s="107">
        <f t="shared" si="51"/>
        <v>0</v>
      </c>
      <c r="AD79" s="81">
        <f t="shared" si="52"/>
        <v>0</v>
      </c>
      <c r="AE79" s="103">
        <f t="shared" si="3"/>
        <v>0</v>
      </c>
      <c r="AF79" s="98" t="str">
        <f t="shared" si="45"/>
        <v/>
      </c>
      <c r="AG79" s="97"/>
      <c r="AH79" s="97"/>
    </row>
    <row r="80" spans="1:34" s="27" customFormat="1" ht="55.65" hidden="1" customHeight="1">
      <c r="A80" s="30" t="s">
        <v>389</v>
      </c>
      <c r="B80" s="29" t="s">
        <v>517</v>
      </c>
      <c r="C80" s="81" t="s">
        <v>391</v>
      </c>
      <c r="D80" s="81" t="s">
        <v>518</v>
      </c>
      <c r="E80" s="81" t="s">
        <v>519</v>
      </c>
      <c r="F80" s="81" t="s">
        <v>499</v>
      </c>
      <c r="G80" s="81" t="s">
        <v>511</v>
      </c>
      <c r="H80" s="98">
        <v>2</v>
      </c>
      <c r="I80" s="99" t="s">
        <v>515</v>
      </c>
      <c r="J80" s="38" t="s">
        <v>516</v>
      </c>
      <c r="K80" s="39" t="s">
        <v>480</v>
      </c>
      <c r="L80" s="102">
        <v>0</v>
      </c>
      <c r="M80" s="81">
        <v>0</v>
      </c>
      <c r="N80" s="81"/>
      <c r="O80" s="81"/>
      <c r="P80" s="100"/>
      <c r="Q80" s="101"/>
      <c r="R80" s="53">
        <f t="shared" si="46"/>
        <v>0</v>
      </c>
      <c r="S80" s="81">
        <v>0</v>
      </c>
      <c r="T80" s="103">
        <f t="shared" si="0"/>
        <v>0</v>
      </c>
      <c r="U80" s="104" t="str">
        <f t="shared" si="56"/>
        <v>ACEPTAR</v>
      </c>
      <c r="V80" s="82"/>
      <c r="W80" s="105"/>
      <c r="X80" s="81"/>
      <c r="Y80" s="81"/>
      <c r="Z80" s="83"/>
      <c r="AA80" s="81"/>
      <c r="AB80" s="106"/>
      <c r="AC80" s="107">
        <f t="shared" si="51"/>
        <v>0</v>
      </c>
      <c r="AD80" s="81">
        <f t="shared" si="52"/>
        <v>0</v>
      </c>
      <c r="AE80" s="103">
        <f t="shared" si="3"/>
        <v>0</v>
      </c>
      <c r="AF80" s="98" t="str">
        <f t="shared" si="45"/>
        <v/>
      </c>
      <c r="AG80" s="97"/>
      <c r="AH80" s="97"/>
    </row>
    <row r="81" spans="1:34" s="27" customFormat="1" ht="57.6" hidden="1">
      <c r="A81" s="30" t="s">
        <v>389</v>
      </c>
      <c r="B81" s="29" t="s">
        <v>520</v>
      </c>
      <c r="C81" s="81" t="s">
        <v>391</v>
      </c>
      <c r="D81" s="81" t="s">
        <v>521</v>
      </c>
      <c r="E81" s="81" t="s">
        <v>522</v>
      </c>
      <c r="F81" s="81" t="s">
        <v>248</v>
      </c>
      <c r="G81" s="81" t="s">
        <v>523</v>
      </c>
      <c r="H81" s="98">
        <v>2</v>
      </c>
      <c r="I81" s="99" t="s">
        <v>515</v>
      </c>
      <c r="J81" s="40" t="s">
        <v>524</v>
      </c>
      <c r="K81" s="39" t="s">
        <v>525</v>
      </c>
      <c r="L81" s="102"/>
      <c r="M81" s="81">
        <v>0</v>
      </c>
      <c r="N81" s="81">
        <v>0</v>
      </c>
      <c r="O81" s="81"/>
      <c r="P81" s="100"/>
      <c r="Q81" s="101"/>
      <c r="R81" s="53">
        <f t="shared" si="46"/>
        <v>0</v>
      </c>
      <c r="S81" s="81">
        <v>0</v>
      </c>
      <c r="T81" s="103">
        <f t="shared" si="0"/>
        <v>0</v>
      </c>
      <c r="U81" s="104" t="str">
        <f t="shared" si="56"/>
        <v>ACEPTAR</v>
      </c>
      <c r="V81" s="82"/>
      <c r="W81" s="105"/>
      <c r="X81" s="81"/>
      <c r="Y81" s="81"/>
      <c r="Z81" s="83"/>
      <c r="AA81" s="81"/>
      <c r="AB81" s="106"/>
      <c r="AC81" s="107">
        <f t="shared" si="51"/>
        <v>0</v>
      </c>
      <c r="AD81" s="81">
        <f t="shared" si="52"/>
        <v>0</v>
      </c>
      <c r="AE81" s="103">
        <f t="shared" si="3"/>
        <v>0</v>
      </c>
      <c r="AF81" s="98" t="str">
        <f t="shared" si="45"/>
        <v/>
      </c>
      <c r="AG81" s="97"/>
      <c r="AH81" s="97"/>
    </row>
    <row r="82" spans="1:34" s="27" customFormat="1" ht="72" hidden="1">
      <c r="A82" s="30" t="s">
        <v>389</v>
      </c>
      <c r="B82" s="29" t="s">
        <v>526</v>
      </c>
      <c r="C82" s="81" t="s">
        <v>285</v>
      </c>
      <c r="D82" s="81" t="s">
        <v>527</v>
      </c>
      <c r="E82" s="81" t="s">
        <v>528</v>
      </c>
      <c r="F82" s="81" t="s">
        <v>499</v>
      </c>
      <c r="G82" s="81" t="s">
        <v>529</v>
      </c>
      <c r="H82" s="98">
        <v>2</v>
      </c>
      <c r="I82" s="99" t="s">
        <v>530</v>
      </c>
      <c r="J82" s="38" t="s">
        <v>531</v>
      </c>
      <c r="K82" s="39" t="s">
        <v>532</v>
      </c>
      <c r="L82" s="102">
        <v>0</v>
      </c>
      <c r="M82" s="81">
        <v>0</v>
      </c>
      <c r="N82" s="81">
        <v>0</v>
      </c>
      <c r="O82" s="81"/>
      <c r="P82" s="100"/>
      <c r="Q82" s="101"/>
      <c r="R82" s="53">
        <f t="shared" si="46"/>
        <v>0</v>
      </c>
      <c r="S82" s="81">
        <v>0</v>
      </c>
      <c r="T82" s="103">
        <f t="shared" si="0"/>
        <v>0</v>
      </c>
      <c r="U82" s="104" t="str">
        <f t="shared" si="56"/>
        <v>ACEPTAR</v>
      </c>
      <c r="V82" s="82"/>
      <c r="W82" s="105"/>
      <c r="X82" s="81"/>
      <c r="Y82" s="81"/>
      <c r="Z82" s="83"/>
      <c r="AA82" s="81"/>
      <c r="AB82" s="106"/>
      <c r="AC82" s="107">
        <f t="shared" si="51"/>
        <v>0</v>
      </c>
      <c r="AD82" s="81">
        <f t="shared" si="52"/>
        <v>0</v>
      </c>
      <c r="AE82" s="103">
        <f t="shared" si="3"/>
        <v>0</v>
      </c>
      <c r="AF82" s="98" t="str">
        <f t="shared" si="45"/>
        <v/>
      </c>
      <c r="AG82" s="97"/>
      <c r="AH82" s="97"/>
    </row>
    <row r="83" spans="1:34" s="27" customFormat="1" ht="91.2" hidden="1" customHeight="1">
      <c r="A83" s="30" t="s">
        <v>389</v>
      </c>
      <c r="B83" s="29" t="s">
        <v>533</v>
      </c>
      <c r="C83" s="81" t="s">
        <v>285</v>
      </c>
      <c r="D83" s="29" t="s">
        <v>534</v>
      </c>
      <c r="E83" s="29" t="s">
        <v>535</v>
      </c>
      <c r="F83" s="81" t="s">
        <v>536</v>
      </c>
      <c r="G83" s="81" t="s">
        <v>529</v>
      </c>
      <c r="H83" s="85">
        <v>2</v>
      </c>
      <c r="I83" s="37" t="s">
        <v>537</v>
      </c>
      <c r="J83" s="40" t="s">
        <v>538</v>
      </c>
      <c r="K83" s="41" t="s">
        <v>532</v>
      </c>
      <c r="L83" s="102">
        <v>2</v>
      </c>
      <c r="M83" s="81">
        <v>1</v>
      </c>
      <c r="N83" s="81">
        <v>3</v>
      </c>
      <c r="O83" s="29"/>
      <c r="P83" s="32"/>
      <c r="Q83" s="33"/>
      <c r="R83" s="53">
        <f t="shared" si="46"/>
        <v>3</v>
      </c>
      <c r="S83" s="29">
        <v>2</v>
      </c>
      <c r="T83" s="103">
        <f t="shared" ref="T83" si="66">R83*S83</f>
        <v>6</v>
      </c>
      <c r="U83" s="104" t="str">
        <f t="shared" ref="U83" si="67">IF(T83&lt;8,"ACEPTAR","MITIGAR")</f>
        <v>ACEPTAR</v>
      </c>
      <c r="V83" s="82"/>
      <c r="W83" s="55"/>
      <c r="X83" s="81"/>
      <c r="Y83" s="81"/>
      <c r="Z83" s="83"/>
      <c r="AA83" s="81"/>
      <c r="AB83" s="106"/>
      <c r="AC83" s="107">
        <f t="shared" si="51"/>
        <v>3</v>
      </c>
      <c r="AD83" s="81">
        <v>3</v>
      </c>
      <c r="AE83" s="103">
        <f t="shared" ref="AE83" si="68">AC83*AD83</f>
        <v>9</v>
      </c>
      <c r="AF83" s="98" t="str">
        <f t="shared" si="45"/>
        <v/>
      </c>
      <c r="AG83" s="97"/>
      <c r="AH83" s="97"/>
    </row>
    <row r="84" spans="1:34" s="27" customFormat="1" ht="74.7" customHeight="1">
      <c r="A84" s="30" t="s">
        <v>389</v>
      </c>
      <c r="B84" s="29" t="s">
        <v>539</v>
      </c>
      <c r="C84" s="81" t="s">
        <v>285</v>
      </c>
      <c r="D84" s="31" t="s">
        <v>540</v>
      </c>
      <c r="E84" s="29" t="s">
        <v>541</v>
      </c>
      <c r="F84" s="81" t="s">
        <v>536</v>
      </c>
      <c r="G84" s="81" t="s">
        <v>529</v>
      </c>
      <c r="H84" s="85">
        <v>2</v>
      </c>
      <c r="I84" s="37" t="s">
        <v>542</v>
      </c>
      <c r="J84" s="42" t="s">
        <v>543</v>
      </c>
      <c r="K84" s="33" t="s">
        <v>544</v>
      </c>
      <c r="L84" s="102">
        <v>3</v>
      </c>
      <c r="M84" s="81">
        <v>3</v>
      </c>
      <c r="N84" s="81">
        <v>3</v>
      </c>
      <c r="O84" s="29"/>
      <c r="P84" s="32"/>
      <c r="Q84" s="33"/>
      <c r="R84" s="53">
        <f t="shared" si="46"/>
        <v>3</v>
      </c>
      <c r="S84" s="29">
        <v>3</v>
      </c>
      <c r="T84" s="103">
        <f t="shared" si="0"/>
        <v>9</v>
      </c>
      <c r="U84" s="104" t="str">
        <f t="shared" si="56"/>
        <v>MITIGAR</v>
      </c>
      <c r="V84" s="82" t="s">
        <v>545</v>
      </c>
      <c r="W84" s="55"/>
      <c r="X84" s="81" t="s">
        <v>546</v>
      </c>
      <c r="Y84" s="81" t="s">
        <v>547</v>
      </c>
      <c r="Z84" s="83" t="s">
        <v>548</v>
      </c>
      <c r="AA84" s="81"/>
      <c r="AB84" s="106"/>
      <c r="AC84" s="107">
        <f t="shared" si="51"/>
        <v>3</v>
      </c>
      <c r="AD84" s="81">
        <f t="shared" si="52"/>
        <v>3</v>
      </c>
      <c r="AE84" s="103">
        <f t="shared" si="3"/>
        <v>9</v>
      </c>
      <c r="AF84" s="98" t="str">
        <f t="shared" si="45"/>
        <v>INSUFICIENTE</v>
      </c>
      <c r="AG84" s="97"/>
      <c r="AH84" s="97"/>
    </row>
    <row r="85" spans="1:34" s="27" customFormat="1" ht="57.6" hidden="1">
      <c r="A85" s="30" t="s">
        <v>389</v>
      </c>
      <c r="B85" s="29" t="s">
        <v>549</v>
      </c>
      <c r="C85" s="81" t="s">
        <v>285</v>
      </c>
      <c r="D85" s="81" t="s">
        <v>550</v>
      </c>
      <c r="E85" s="81" t="s">
        <v>551</v>
      </c>
      <c r="F85" s="81" t="s">
        <v>552</v>
      </c>
      <c r="G85" s="81" t="s">
        <v>553</v>
      </c>
      <c r="H85" s="98">
        <v>2</v>
      </c>
      <c r="I85" s="99" t="s">
        <v>554</v>
      </c>
      <c r="J85" s="42" t="s">
        <v>555</v>
      </c>
      <c r="K85" s="41" t="s">
        <v>556</v>
      </c>
      <c r="L85" s="102"/>
      <c r="M85" s="81">
        <v>1</v>
      </c>
      <c r="N85" s="81">
        <v>1</v>
      </c>
      <c r="O85" s="29"/>
      <c r="P85" s="32"/>
      <c r="Q85" s="33"/>
      <c r="R85" s="53">
        <f t="shared" si="46"/>
        <v>1</v>
      </c>
      <c r="S85" s="81">
        <v>1</v>
      </c>
      <c r="T85" s="103">
        <f t="shared" si="0"/>
        <v>1</v>
      </c>
      <c r="U85" s="104" t="str">
        <f t="shared" si="56"/>
        <v>ACEPTAR</v>
      </c>
      <c r="V85" s="82"/>
      <c r="W85" s="105"/>
      <c r="X85" s="81"/>
      <c r="Y85" s="81"/>
      <c r="Z85" s="83"/>
      <c r="AA85" s="81"/>
      <c r="AB85" s="106"/>
      <c r="AC85" s="107">
        <f t="shared" si="51"/>
        <v>1</v>
      </c>
      <c r="AD85" s="81">
        <f t="shared" si="52"/>
        <v>1</v>
      </c>
      <c r="AE85" s="103">
        <f t="shared" si="3"/>
        <v>1</v>
      </c>
      <c r="AF85" s="98" t="str">
        <f t="shared" si="45"/>
        <v/>
      </c>
      <c r="AG85" s="97"/>
      <c r="AH85" s="97"/>
    </row>
    <row r="86" spans="1:34" s="27" customFormat="1" ht="58.65" hidden="1" customHeight="1">
      <c r="A86" s="30" t="s">
        <v>389</v>
      </c>
      <c r="B86" s="29" t="s">
        <v>557</v>
      </c>
      <c r="C86" s="81" t="s">
        <v>386</v>
      </c>
      <c r="D86" s="81" t="s">
        <v>558</v>
      </c>
      <c r="E86" s="81" t="s">
        <v>559</v>
      </c>
      <c r="F86" s="81" t="s">
        <v>552</v>
      </c>
      <c r="G86" s="81" t="s">
        <v>529</v>
      </c>
      <c r="H86" s="98">
        <v>2</v>
      </c>
      <c r="I86" s="99" t="s">
        <v>560</v>
      </c>
      <c r="J86" s="42" t="s">
        <v>561</v>
      </c>
      <c r="K86" s="39" t="s">
        <v>562</v>
      </c>
      <c r="L86" s="102"/>
      <c r="M86" s="81">
        <v>2</v>
      </c>
      <c r="N86" s="81">
        <v>2</v>
      </c>
      <c r="O86" s="29"/>
      <c r="P86" s="32"/>
      <c r="Q86" s="33"/>
      <c r="R86" s="53">
        <f t="shared" si="46"/>
        <v>2</v>
      </c>
      <c r="S86" s="81">
        <v>1</v>
      </c>
      <c r="T86" s="103">
        <f t="shared" ref="T86" si="69">R86*S86</f>
        <v>2</v>
      </c>
      <c r="U86" s="104" t="str">
        <f t="shared" ref="U86" si="70">IF(T86&lt;8,"ACEPTAR","MITIGAR")</f>
        <v>ACEPTAR</v>
      </c>
      <c r="V86" s="82"/>
      <c r="W86" s="105"/>
      <c r="X86" s="81"/>
      <c r="Y86" s="81"/>
      <c r="Z86" s="83"/>
      <c r="AA86" s="81"/>
      <c r="AB86" s="106"/>
      <c r="AC86" s="107">
        <f t="shared" si="51"/>
        <v>2</v>
      </c>
      <c r="AD86" s="81">
        <f t="shared" si="52"/>
        <v>1</v>
      </c>
      <c r="AE86" s="103">
        <f t="shared" ref="AE86" si="71">AC86*AD86</f>
        <v>2</v>
      </c>
      <c r="AF86" s="98" t="str">
        <f t="shared" si="45"/>
        <v/>
      </c>
      <c r="AG86" s="97"/>
      <c r="AH86" s="97"/>
    </row>
    <row r="87" spans="1:34" s="27" customFormat="1" ht="97.95" customHeight="1">
      <c r="A87" s="30" t="s">
        <v>389</v>
      </c>
      <c r="B87" s="29" t="s">
        <v>563</v>
      </c>
      <c r="C87" s="81" t="s">
        <v>285</v>
      </c>
      <c r="D87" s="81" t="s">
        <v>564</v>
      </c>
      <c r="E87" s="81" t="s">
        <v>559</v>
      </c>
      <c r="F87" s="81" t="s">
        <v>565</v>
      </c>
      <c r="G87" s="81" t="s">
        <v>529</v>
      </c>
      <c r="H87" s="98">
        <v>2</v>
      </c>
      <c r="I87" s="99" t="s">
        <v>560</v>
      </c>
      <c r="J87" s="42" t="s">
        <v>561</v>
      </c>
      <c r="K87" s="39" t="s">
        <v>566</v>
      </c>
      <c r="L87" s="102"/>
      <c r="M87" s="81"/>
      <c r="N87" s="81">
        <v>3</v>
      </c>
      <c r="O87" s="81"/>
      <c r="P87" s="100"/>
      <c r="Q87" s="101"/>
      <c r="R87" s="53">
        <f t="shared" si="46"/>
        <v>3</v>
      </c>
      <c r="S87" s="81">
        <v>3</v>
      </c>
      <c r="T87" s="103">
        <f t="shared" si="0"/>
        <v>9</v>
      </c>
      <c r="U87" s="104" t="s">
        <v>567</v>
      </c>
      <c r="V87" s="82" t="s">
        <v>568</v>
      </c>
      <c r="W87" s="55"/>
      <c r="X87" s="81" t="s">
        <v>546</v>
      </c>
      <c r="Y87" s="81" t="s">
        <v>547</v>
      </c>
      <c r="Z87" s="83" t="s">
        <v>548</v>
      </c>
      <c r="AA87" s="81"/>
      <c r="AB87" s="106"/>
      <c r="AC87" s="107">
        <f t="shared" si="51"/>
        <v>3</v>
      </c>
      <c r="AD87" s="81">
        <f t="shared" si="52"/>
        <v>3</v>
      </c>
      <c r="AE87" s="103">
        <f t="shared" si="3"/>
        <v>9</v>
      </c>
      <c r="AF87" s="98" t="str">
        <f t="shared" si="45"/>
        <v>INSUFICIENTE</v>
      </c>
      <c r="AG87" s="97"/>
      <c r="AH87" s="97"/>
    </row>
    <row r="88" spans="1:34" s="27" customFormat="1" ht="87.6" hidden="1" customHeight="1">
      <c r="A88" s="30" t="s">
        <v>389</v>
      </c>
      <c r="B88" s="29" t="s">
        <v>569</v>
      </c>
      <c r="C88" s="81" t="s">
        <v>285</v>
      </c>
      <c r="D88" s="81" t="s">
        <v>570</v>
      </c>
      <c r="E88" s="81" t="s">
        <v>489</v>
      </c>
      <c r="F88" s="81" t="s">
        <v>565</v>
      </c>
      <c r="G88" s="81" t="s">
        <v>571</v>
      </c>
      <c r="H88" s="98">
        <v>2</v>
      </c>
      <c r="I88" s="99" t="s">
        <v>560</v>
      </c>
      <c r="J88" s="42" t="s">
        <v>572</v>
      </c>
      <c r="K88" s="39" t="s">
        <v>566</v>
      </c>
      <c r="L88" s="102"/>
      <c r="M88" s="81"/>
      <c r="N88" s="81"/>
      <c r="O88" s="81"/>
      <c r="P88" s="100"/>
      <c r="Q88" s="101">
        <v>3</v>
      </c>
      <c r="R88" s="53">
        <f t="shared" si="46"/>
        <v>3</v>
      </c>
      <c r="S88" s="81">
        <v>1</v>
      </c>
      <c r="T88" s="103">
        <f t="shared" si="0"/>
        <v>3</v>
      </c>
      <c r="U88" s="104" t="str">
        <f t="shared" si="56"/>
        <v>ACEPTAR</v>
      </c>
      <c r="V88" s="82"/>
      <c r="W88" s="55"/>
      <c r="X88" s="81"/>
      <c r="Y88" s="81"/>
      <c r="Z88" s="83"/>
      <c r="AA88" s="81"/>
      <c r="AB88" s="106"/>
      <c r="AC88" s="107">
        <f t="shared" si="51"/>
        <v>3</v>
      </c>
      <c r="AD88" s="81">
        <f t="shared" si="52"/>
        <v>1</v>
      </c>
      <c r="AE88" s="103">
        <f t="shared" si="3"/>
        <v>3</v>
      </c>
      <c r="AF88" s="98" t="str">
        <f t="shared" si="45"/>
        <v/>
      </c>
      <c r="AG88" s="97"/>
      <c r="AH88" s="97"/>
    </row>
    <row r="89" spans="1:34" s="27" customFormat="1" ht="28.8" hidden="1">
      <c r="A89" s="30" t="s">
        <v>389</v>
      </c>
      <c r="B89" s="29" t="s">
        <v>573</v>
      </c>
      <c r="C89" s="81" t="s">
        <v>111</v>
      </c>
      <c r="D89" s="81" t="s">
        <v>574</v>
      </c>
      <c r="E89" s="81" t="s">
        <v>489</v>
      </c>
      <c r="F89" s="81" t="s">
        <v>565</v>
      </c>
      <c r="G89" s="81" t="s">
        <v>575</v>
      </c>
      <c r="H89" s="98">
        <v>2</v>
      </c>
      <c r="I89" s="99" t="s">
        <v>576</v>
      </c>
      <c r="J89" s="100" t="s">
        <v>577</v>
      </c>
      <c r="K89" s="101" t="s">
        <v>263</v>
      </c>
      <c r="L89" s="102"/>
      <c r="M89" s="81"/>
      <c r="N89" s="81">
        <v>1</v>
      </c>
      <c r="O89" s="81"/>
      <c r="P89" s="100"/>
      <c r="Q89" s="101"/>
      <c r="R89" s="53">
        <f t="shared" si="46"/>
        <v>1</v>
      </c>
      <c r="S89" s="81">
        <v>1</v>
      </c>
      <c r="T89" s="103">
        <f t="shared" si="0"/>
        <v>1</v>
      </c>
      <c r="U89" s="104" t="str">
        <f t="shared" si="56"/>
        <v>ACEPTAR</v>
      </c>
      <c r="V89" s="82"/>
      <c r="W89" s="105"/>
      <c r="X89" s="81"/>
      <c r="Y89" s="81"/>
      <c r="Z89" s="83"/>
      <c r="AA89" s="81"/>
      <c r="AB89" s="106"/>
      <c r="AC89" s="107">
        <f t="shared" si="51"/>
        <v>1</v>
      </c>
      <c r="AD89" s="81">
        <f t="shared" si="52"/>
        <v>1</v>
      </c>
      <c r="AE89" s="103">
        <f t="shared" si="3"/>
        <v>1</v>
      </c>
      <c r="AF89" s="98" t="str">
        <f t="shared" si="45"/>
        <v/>
      </c>
      <c r="AG89" s="97"/>
      <c r="AH89" s="97"/>
    </row>
    <row r="90" spans="1:34" s="27" customFormat="1" ht="43.2" hidden="1">
      <c r="A90" s="30" t="s">
        <v>389</v>
      </c>
      <c r="B90" s="29" t="s">
        <v>578</v>
      </c>
      <c r="C90" s="81" t="s">
        <v>111</v>
      </c>
      <c r="D90" s="81" t="s">
        <v>579</v>
      </c>
      <c r="E90" s="81" t="s">
        <v>489</v>
      </c>
      <c r="F90" s="81" t="s">
        <v>565</v>
      </c>
      <c r="G90" s="81" t="s">
        <v>575</v>
      </c>
      <c r="H90" s="98">
        <v>2</v>
      </c>
      <c r="I90" s="99" t="s">
        <v>249</v>
      </c>
      <c r="J90" s="38" t="s">
        <v>580</v>
      </c>
      <c r="K90" s="41" t="s">
        <v>581</v>
      </c>
      <c r="L90" s="102"/>
      <c r="M90" s="81"/>
      <c r="N90" s="81">
        <v>2</v>
      </c>
      <c r="O90" s="81"/>
      <c r="P90" s="100"/>
      <c r="Q90" s="101"/>
      <c r="R90" s="53">
        <f t="shared" si="46"/>
        <v>2</v>
      </c>
      <c r="S90" s="81">
        <v>1</v>
      </c>
      <c r="T90" s="103">
        <f t="shared" ref="T90" si="72">R90*S90</f>
        <v>2</v>
      </c>
      <c r="U90" s="104" t="str">
        <f t="shared" ref="U90" si="73">IF(T90&lt;8,"ACEPTAR","MITIGAR")</f>
        <v>ACEPTAR</v>
      </c>
      <c r="V90" s="82"/>
      <c r="W90" s="105"/>
      <c r="X90" s="81"/>
      <c r="Y90" s="81"/>
      <c r="Z90" s="83"/>
      <c r="AA90" s="81"/>
      <c r="AB90" s="106"/>
      <c r="AC90" s="107">
        <f t="shared" si="51"/>
        <v>2</v>
      </c>
      <c r="AD90" s="81">
        <f t="shared" si="52"/>
        <v>1</v>
      </c>
      <c r="AE90" s="103">
        <f t="shared" ref="AE90" si="74">AC90*AD90</f>
        <v>2</v>
      </c>
      <c r="AF90" s="98" t="str">
        <f t="shared" si="45"/>
        <v/>
      </c>
      <c r="AG90" s="97"/>
      <c r="AH90" s="97"/>
    </row>
    <row r="91" spans="1:34" s="27" customFormat="1" ht="57.6" hidden="1">
      <c r="A91" s="30" t="s">
        <v>389</v>
      </c>
      <c r="B91" s="29" t="s">
        <v>582</v>
      </c>
      <c r="C91" s="81" t="s">
        <v>111</v>
      </c>
      <c r="D91" s="81" t="s">
        <v>583</v>
      </c>
      <c r="E91" s="81" t="s">
        <v>324</v>
      </c>
      <c r="F91" s="81" t="s">
        <v>318</v>
      </c>
      <c r="G91" s="81" t="s">
        <v>529</v>
      </c>
      <c r="H91" s="98">
        <v>2</v>
      </c>
      <c r="I91" s="99" t="s">
        <v>584</v>
      </c>
      <c r="J91" s="40" t="s">
        <v>585</v>
      </c>
      <c r="K91" s="39" t="s">
        <v>586</v>
      </c>
      <c r="L91" s="102"/>
      <c r="M91" s="81">
        <v>3</v>
      </c>
      <c r="N91" s="81">
        <v>3</v>
      </c>
      <c r="O91" s="81"/>
      <c r="P91" s="100"/>
      <c r="Q91" s="101"/>
      <c r="R91" s="53">
        <f t="shared" si="46"/>
        <v>3</v>
      </c>
      <c r="S91" s="81">
        <v>1</v>
      </c>
      <c r="T91" s="103">
        <f t="shared" si="0"/>
        <v>3</v>
      </c>
      <c r="U91" s="104" t="str">
        <f t="shared" si="56"/>
        <v>ACEPTAR</v>
      </c>
      <c r="V91" s="82"/>
      <c r="W91" s="105"/>
      <c r="X91" s="81"/>
      <c r="Y91" s="81"/>
      <c r="Z91" s="83"/>
      <c r="AA91" s="81"/>
      <c r="AB91" s="106"/>
      <c r="AC91" s="107">
        <f t="shared" si="51"/>
        <v>3</v>
      </c>
      <c r="AD91" s="81">
        <f t="shared" si="52"/>
        <v>1</v>
      </c>
      <c r="AE91" s="103">
        <f t="shared" si="3"/>
        <v>3</v>
      </c>
      <c r="AF91" s="98" t="str">
        <f t="shared" si="45"/>
        <v/>
      </c>
      <c r="AG91" s="97"/>
      <c r="AH91" s="97"/>
    </row>
    <row r="92" spans="1:34" s="27" customFormat="1" ht="78.150000000000006" customHeight="1">
      <c r="A92" s="30" t="s">
        <v>389</v>
      </c>
      <c r="B92" s="29" t="s">
        <v>587</v>
      </c>
      <c r="C92" s="81" t="s">
        <v>391</v>
      </c>
      <c r="D92" s="81" t="s">
        <v>588</v>
      </c>
      <c r="E92" s="81" t="s">
        <v>324</v>
      </c>
      <c r="F92" s="81" t="s">
        <v>318</v>
      </c>
      <c r="G92" s="81" t="s">
        <v>529</v>
      </c>
      <c r="H92" s="98">
        <v>2</v>
      </c>
      <c r="I92" s="99" t="s">
        <v>348</v>
      </c>
      <c r="J92" s="38" t="s">
        <v>142</v>
      </c>
      <c r="K92" s="41" t="s">
        <v>349</v>
      </c>
      <c r="L92" s="102"/>
      <c r="M92" s="81">
        <v>3</v>
      </c>
      <c r="N92" s="81">
        <v>3</v>
      </c>
      <c r="O92" s="81"/>
      <c r="P92" s="100"/>
      <c r="Q92" s="101"/>
      <c r="R92" s="53">
        <f t="shared" si="46"/>
        <v>3</v>
      </c>
      <c r="S92" s="81">
        <v>3</v>
      </c>
      <c r="T92" s="103">
        <f t="shared" si="0"/>
        <v>9</v>
      </c>
      <c r="U92" s="104" t="str">
        <f t="shared" si="56"/>
        <v>MITIGAR</v>
      </c>
      <c r="V92" s="82" t="s">
        <v>589</v>
      </c>
      <c r="W92" s="105"/>
      <c r="X92" s="81" t="s">
        <v>546</v>
      </c>
      <c r="Y92" s="81" t="s">
        <v>547</v>
      </c>
      <c r="Z92" s="83" t="s">
        <v>548</v>
      </c>
      <c r="AA92" s="81"/>
      <c r="AB92" s="106"/>
      <c r="AC92" s="107">
        <f t="shared" si="51"/>
        <v>3</v>
      </c>
      <c r="AD92" s="81">
        <f t="shared" si="52"/>
        <v>3</v>
      </c>
      <c r="AE92" s="103">
        <f t="shared" si="3"/>
        <v>9</v>
      </c>
      <c r="AF92" s="98" t="str">
        <f t="shared" si="45"/>
        <v>INSUFICIENTE</v>
      </c>
      <c r="AG92" s="97"/>
      <c r="AH92" s="97"/>
    </row>
    <row r="93" spans="1:34" s="27" customFormat="1" ht="72" hidden="1">
      <c r="A93" s="30" t="s">
        <v>389</v>
      </c>
      <c r="B93" s="29" t="s">
        <v>590</v>
      </c>
      <c r="C93" s="81" t="s">
        <v>111</v>
      </c>
      <c r="D93" s="81" t="s">
        <v>591</v>
      </c>
      <c r="E93" s="81" t="s">
        <v>592</v>
      </c>
      <c r="F93" s="81" t="s">
        <v>593</v>
      </c>
      <c r="G93" s="81" t="s">
        <v>594</v>
      </c>
      <c r="H93" s="98">
        <v>2</v>
      </c>
      <c r="I93" s="99" t="s">
        <v>595</v>
      </c>
      <c r="J93" s="40" t="s">
        <v>596</v>
      </c>
      <c r="K93" s="39" t="s">
        <v>597</v>
      </c>
      <c r="L93" s="102"/>
      <c r="M93" s="81">
        <v>2</v>
      </c>
      <c r="N93" s="81">
        <v>2</v>
      </c>
      <c r="O93" s="81"/>
      <c r="P93" s="100"/>
      <c r="Q93" s="101"/>
      <c r="R93" s="53">
        <f t="shared" si="46"/>
        <v>2</v>
      </c>
      <c r="S93" s="81">
        <v>1</v>
      </c>
      <c r="T93" s="103">
        <f t="shared" si="0"/>
        <v>2</v>
      </c>
      <c r="U93" s="104" t="str">
        <f t="shared" si="56"/>
        <v>ACEPTAR</v>
      </c>
      <c r="V93" s="82"/>
      <c r="W93" s="105"/>
      <c r="X93" s="81"/>
      <c r="Y93" s="81"/>
      <c r="Z93" s="83"/>
      <c r="AA93" s="81"/>
      <c r="AB93" s="106"/>
      <c r="AC93" s="107">
        <f t="shared" si="51"/>
        <v>2</v>
      </c>
      <c r="AD93" s="81">
        <f t="shared" si="52"/>
        <v>1</v>
      </c>
      <c r="AE93" s="103">
        <f t="shared" si="3"/>
        <v>2</v>
      </c>
      <c r="AF93" s="98" t="str">
        <f t="shared" si="45"/>
        <v/>
      </c>
      <c r="AG93" s="97"/>
      <c r="AH93" s="97"/>
    </row>
    <row r="94" spans="1:34" s="27" customFormat="1" ht="72" hidden="1">
      <c r="A94" s="30" t="s">
        <v>389</v>
      </c>
      <c r="B94" s="29" t="s">
        <v>598</v>
      </c>
      <c r="C94" s="81" t="s">
        <v>111</v>
      </c>
      <c r="D94" s="81" t="s">
        <v>599</v>
      </c>
      <c r="E94" s="81" t="s">
        <v>600</v>
      </c>
      <c r="F94" s="81" t="s">
        <v>593</v>
      </c>
      <c r="G94" s="81" t="s">
        <v>594</v>
      </c>
      <c r="H94" s="98">
        <v>2</v>
      </c>
      <c r="I94" s="99" t="s">
        <v>595</v>
      </c>
      <c r="J94" s="40" t="s">
        <v>596</v>
      </c>
      <c r="K94" s="39" t="s">
        <v>601</v>
      </c>
      <c r="L94" s="102"/>
      <c r="M94" s="81"/>
      <c r="N94" s="81">
        <v>1</v>
      </c>
      <c r="O94" s="81"/>
      <c r="P94" s="100"/>
      <c r="Q94" s="101"/>
      <c r="R94" s="53">
        <f t="shared" si="46"/>
        <v>1</v>
      </c>
      <c r="S94" s="81">
        <v>1</v>
      </c>
      <c r="T94" s="103">
        <f t="shared" si="0"/>
        <v>1</v>
      </c>
      <c r="U94" s="104" t="str">
        <f t="shared" si="56"/>
        <v>ACEPTAR</v>
      </c>
      <c r="V94" s="82"/>
      <c r="W94" s="105"/>
      <c r="X94" s="81"/>
      <c r="Y94" s="81"/>
      <c r="Z94" s="83"/>
      <c r="AA94" s="81"/>
      <c r="AB94" s="106"/>
      <c r="AC94" s="107">
        <f t="shared" si="51"/>
        <v>1</v>
      </c>
      <c r="AD94" s="81">
        <f t="shared" si="52"/>
        <v>1</v>
      </c>
      <c r="AE94" s="103">
        <f t="shared" si="3"/>
        <v>1</v>
      </c>
      <c r="AF94" s="98" t="str">
        <f t="shared" si="45"/>
        <v/>
      </c>
      <c r="AG94" s="97"/>
      <c r="AH94" s="97"/>
    </row>
    <row r="95" spans="1:34" s="27" customFormat="1" ht="72" hidden="1">
      <c r="A95" s="30" t="s">
        <v>389</v>
      </c>
      <c r="B95" s="29" t="s">
        <v>602</v>
      </c>
      <c r="C95" s="81" t="s">
        <v>111</v>
      </c>
      <c r="D95" s="81" t="s">
        <v>603</v>
      </c>
      <c r="E95" s="81" t="s">
        <v>489</v>
      </c>
      <c r="F95" s="81" t="s">
        <v>593</v>
      </c>
      <c r="G95" s="81" t="s">
        <v>594</v>
      </c>
      <c r="H95" s="98">
        <v>2</v>
      </c>
      <c r="I95" s="99" t="s">
        <v>595</v>
      </c>
      <c r="J95" s="40" t="s">
        <v>596</v>
      </c>
      <c r="K95" s="39" t="s">
        <v>601</v>
      </c>
      <c r="L95" s="102"/>
      <c r="M95" s="81"/>
      <c r="N95" s="81">
        <v>1</v>
      </c>
      <c r="O95" s="100"/>
      <c r="P95" s="100"/>
      <c r="Q95" s="33"/>
      <c r="R95" s="53">
        <f t="shared" si="46"/>
        <v>1</v>
      </c>
      <c r="S95" s="81">
        <v>1</v>
      </c>
      <c r="T95" s="103">
        <f t="shared" si="0"/>
        <v>1</v>
      </c>
      <c r="U95" s="104" t="str">
        <f t="shared" si="56"/>
        <v>ACEPTAR</v>
      </c>
      <c r="V95" s="82"/>
      <c r="W95" s="105"/>
      <c r="X95" s="81"/>
      <c r="Y95" s="81"/>
      <c r="Z95" s="83"/>
      <c r="AA95" s="81"/>
      <c r="AB95" s="106"/>
      <c r="AC95" s="107">
        <f t="shared" si="51"/>
        <v>1</v>
      </c>
      <c r="AD95" s="81">
        <f t="shared" si="52"/>
        <v>1</v>
      </c>
      <c r="AE95" s="103">
        <f t="shared" si="3"/>
        <v>1</v>
      </c>
      <c r="AF95" s="98" t="str">
        <f t="shared" si="45"/>
        <v/>
      </c>
      <c r="AG95" s="97"/>
      <c r="AH95" s="97"/>
    </row>
    <row r="96" spans="1:34" s="27" customFormat="1" ht="86.4" hidden="1">
      <c r="A96" s="28" t="s">
        <v>604</v>
      </c>
      <c r="B96" s="29" t="s">
        <v>605</v>
      </c>
      <c r="C96" s="81" t="s">
        <v>285</v>
      </c>
      <c r="D96" s="81" t="s">
        <v>606</v>
      </c>
      <c r="E96" s="81" t="s">
        <v>607</v>
      </c>
      <c r="F96" s="81" t="s">
        <v>608</v>
      </c>
      <c r="G96" s="81" t="s">
        <v>609</v>
      </c>
      <c r="H96" s="98">
        <v>2</v>
      </c>
      <c r="I96" s="99" t="s">
        <v>610</v>
      </c>
      <c r="J96" s="40" t="s">
        <v>611</v>
      </c>
      <c r="K96" s="39" t="s">
        <v>612</v>
      </c>
      <c r="L96" s="102">
        <v>4</v>
      </c>
      <c r="M96" s="81">
        <v>4</v>
      </c>
      <c r="N96" s="81">
        <v>4</v>
      </c>
      <c r="O96" s="81"/>
      <c r="P96" s="100"/>
      <c r="Q96" s="101"/>
      <c r="R96" s="53">
        <f t="shared" si="46"/>
        <v>4</v>
      </c>
      <c r="S96" s="81">
        <v>1</v>
      </c>
      <c r="T96" s="103">
        <f t="shared" si="0"/>
        <v>4</v>
      </c>
      <c r="U96" s="104" t="str">
        <f t="shared" si="56"/>
        <v>ACEPTAR</v>
      </c>
      <c r="V96" s="82"/>
      <c r="W96" s="105"/>
      <c r="X96" s="81"/>
      <c r="Y96" s="81"/>
      <c r="Z96" s="83"/>
      <c r="AA96" s="81"/>
      <c r="AB96" s="106"/>
      <c r="AC96" s="107">
        <f t="shared" si="51"/>
        <v>4</v>
      </c>
      <c r="AD96" s="81">
        <f t="shared" si="52"/>
        <v>1</v>
      </c>
      <c r="AE96" s="103">
        <f t="shared" si="3"/>
        <v>4</v>
      </c>
      <c r="AF96" s="98" t="str">
        <f t="shared" si="45"/>
        <v/>
      </c>
      <c r="AG96" s="97"/>
      <c r="AH96" s="97"/>
    </row>
    <row r="97" spans="1:34" s="27" customFormat="1" ht="43.2" hidden="1">
      <c r="A97" s="28" t="s">
        <v>604</v>
      </c>
      <c r="B97" s="29" t="s">
        <v>613</v>
      </c>
      <c r="C97" s="81" t="s">
        <v>285</v>
      </c>
      <c r="D97" s="81" t="s">
        <v>614</v>
      </c>
      <c r="E97" s="81" t="s">
        <v>615</v>
      </c>
      <c r="F97" s="81" t="s">
        <v>608</v>
      </c>
      <c r="G97" s="31" t="s">
        <v>616</v>
      </c>
      <c r="H97" s="98">
        <v>2</v>
      </c>
      <c r="I97" s="99" t="s">
        <v>617</v>
      </c>
      <c r="J97" s="40" t="s">
        <v>618</v>
      </c>
      <c r="K97" s="39" t="s">
        <v>619</v>
      </c>
      <c r="L97" s="102">
        <v>3</v>
      </c>
      <c r="M97" s="81">
        <v>3</v>
      </c>
      <c r="N97" s="81"/>
      <c r="O97" s="81"/>
      <c r="P97" s="100"/>
      <c r="Q97" s="101"/>
      <c r="R97" s="53">
        <f t="shared" si="46"/>
        <v>3</v>
      </c>
      <c r="S97" s="81">
        <v>2</v>
      </c>
      <c r="T97" s="103">
        <f t="shared" si="0"/>
        <v>6</v>
      </c>
      <c r="U97" s="104" t="str">
        <f t="shared" si="56"/>
        <v>ACEPTAR</v>
      </c>
      <c r="V97" s="82"/>
      <c r="W97" s="105"/>
      <c r="X97" s="81"/>
      <c r="Y97" s="81"/>
      <c r="Z97" s="83"/>
      <c r="AA97" s="81"/>
      <c r="AB97" s="106"/>
      <c r="AC97" s="107">
        <f t="shared" si="51"/>
        <v>3</v>
      </c>
      <c r="AD97" s="81">
        <f t="shared" si="52"/>
        <v>2</v>
      </c>
      <c r="AE97" s="103">
        <f t="shared" si="3"/>
        <v>6</v>
      </c>
      <c r="AF97" s="98" t="str">
        <f t="shared" si="45"/>
        <v/>
      </c>
      <c r="AG97" s="97"/>
      <c r="AH97" s="97"/>
    </row>
    <row r="98" spans="1:34" s="27" customFormat="1" ht="57.6" hidden="1">
      <c r="A98" s="28" t="s">
        <v>604</v>
      </c>
      <c r="B98" s="29" t="s">
        <v>620</v>
      </c>
      <c r="C98" s="81" t="s">
        <v>285</v>
      </c>
      <c r="D98" s="81" t="s">
        <v>621</v>
      </c>
      <c r="E98" s="81" t="s">
        <v>622</v>
      </c>
      <c r="F98" s="81" t="s">
        <v>608</v>
      </c>
      <c r="G98" s="31" t="s">
        <v>616</v>
      </c>
      <c r="H98" s="98">
        <v>3</v>
      </c>
      <c r="I98" s="99" t="s">
        <v>623</v>
      </c>
      <c r="J98" s="40" t="s">
        <v>624</v>
      </c>
      <c r="K98" s="39" t="s">
        <v>625</v>
      </c>
      <c r="L98" s="102">
        <v>4</v>
      </c>
      <c r="M98" s="81"/>
      <c r="N98" s="81"/>
      <c r="O98" s="81"/>
      <c r="P98" s="100"/>
      <c r="Q98" s="101"/>
      <c r="R98" s="53">
        <f t="shared" si="46"/>
        <v>4</v>
      </c>
      <c r="S98" s="81">
        <v>1</v>
      </c>
      <c r="T98" s="103">
        <f t="shared" si="0"/>
        <v>4</v>
      </c>
      <c r="U98" s="104" t="str">
        <f t="shared" si="56"/>
        <v>ACEPTAR</v>
      </c>
      <c r="V98" s="82"/>
      <c r="W98" s="105"/>
      <c r="X98" s="81"/>
      <c r="Y98" s="81"/>
      <c r="Z98" s="83"/>
      <c r="AA98" s="81"/>
      <c r="AB98" s="106"/>
      <c r="AC98" s="107">
        <f t="shared" si="51"/>
        <v>4</v>
      </c>
      <c r="AD98" s="81">
        <f t="shared" si="52"/>
        <v>1</v>
      </c>
      <c r="AE98" s="103">
        <f t="shared" si="3"/>
        <v>4</v>
      </c>
      <c r="AF98" s="98" t="str">
        <f t="shared" si="45"/>
        <v/>
      </c>
      <c r="AG98" s="97"/>
      <c r="AH98" s="97"/>
    </row>
    <row r="99" spans="1:34" s="27" customFormat="1" ht="43.2" hidden="1">
      <c r="A99" s="28" t="s">
        <v>604</v>
      </c>
      <c r="B99" s="29" t="s">
        <v>626</v>
      </c>
      <c r="C99" s="81" t="s">
        <v>86</v>
      </c>
      <c r="D99" s="81" t="s">
        <v>627</v>
      </c>
      <c r="E99" s="81" t="s">
        <v>628</v>
      </c>
      <c r="F99" s="81" t="s">
        <v>629</v>
      </c>
      <c r="G99" s="81" t="s">
        <v>630</v>
      </c>
      <c r="H99" s="98">
        <v>3</v>
      </c>
      <c r="I99" s="99" t="s">
        <v>631</v>
      </c>
      <c r="J99" s="40" t="s">
        <v>632</v>
      </c>
      <c r="K99" s="41" t="s">
        <v>633</v>
      </c>
      <c r="L99" s="102">
        <v>1</v>
      </c>
      <c r="M99" s="81">
        <v>1</v>
      </c>
      <c r="N99" s="81"/>
      <c r="O99" s="81"/>
      <c r="P99" s="100"/>
      <c r="Q99" s="101"/>
      <c r="R99" s="53">
        <f t="shared" si="46"/>
        <v>1</v>
      </c>
      <c r="S99" s="81">
        <v>1</v>
      </c>
      <c r="T99" s="103">
        <f t="shared" si="0"/>
        <v>1</v>
      </c>
      <c r="U99" s="104" t="str">
        <f t="shared" si="56"/>
        <v>ACEPTAR</v>
      </c>
      <c r="V99" s="82"/>
      <c r="W99" s="105"/>
      <c r="X99" s="81"/>
      <c r="Y99" s="81"/>
      <c r="Z99" s="83"/>
      <c r="AA99" s="81"/>
      <c r="AB99" s="106"/>
      <c r="AC99" s="107">
        <f t="shared" si="51"/>
        <v>1</v>
      </c>
      <c r="AD99" s="81">
        <f t="shared" si="52"/>
        <v>1</v>
      </c>
      <c r="AE99" s="103">
        <f t="shared" si="3"/>
        <v>1</v>
      </c>
      <c r="AF99" s="98" t="str">
        <f t="shared" si="45"/>
        <v/>
      </c>
      <c r="AG99" s="97"/>
      <c r="AH99" s="97"/>
    </row>
    <row r="100" spans="1:34" s="27" customFormat="1" ht="86.4" hidden="1">
      <c r="A100" s="28" t="s">
        <v>604</v>
      </c>
      <c r="B100" s="29" t="s">
        <v>634</v>
      </c>
      <c r="C100" s="81" t="s">
        <v>285</v>
      </c>
      <c r="D100" s="81" t="s">
        <v>635</v>
      </c>
      <c r="E100" s="81" t="s">
        <v>636</v>
      </c>
      <c r="F100" s="81" t="s">
        <v>536</v>
      </c>
      <c r="G100" s="81" t="s">
        <v>616</v>
      </c>
      <c r="H100" s="98">
        <v>3</v>
      </c>
      <c r="I100" s="99" t="s">
        <v>637</v>
      </c>
      <c r="J100" s="40" t="s">
        <v>638</v>
      </c>
      <c r="K100" s="39" t="s">
        <v>639</v>
      </c>
      <c r="L100" s="102">
        <v>4</v>
      </c>
      <c r="M100" s="81">
        <v>4</v>
      </c>
      <c r="N100" s="81">
        <v>4</v>
      </c>
      <c r="O100" s="81">
        <v>4</v>
      </c>
      <c r="P100" s="100">
        <v>4</v>
      </c>
      <c r="Q100" s="101"/>
      <c r="R100" s="53">
        <f t="shared" si="46"/>
        <v>4</v>
      </c>
      <c r="S100" s="81">
        <v>1</v>
      </c>
      <c r="T100" s="103">
        <f t="shared" si="0"/>
        <v>4</v>
      </c>
      <c r="U100" s="104" t="str">
        <f t="shared" si="56"/>
        <v>ACEPTAR</v>
      </c>
      <c r="V100" s="82"/>
      <c r="W100" s="105"/>
      <c r="X100" s="81"/>
      <c r="Y100" s="81"/>
      <c r="Z100" s="83"/>
      <c r="AA100" s="81"/>
      <c r="AB100" s="106"/>
      <c r="AC100" s="107">
        <f t="shared" si="51"/>
        <v>4</v>
      </c>
      <c r="AD100" s="81">
        <f t="shared" si="52"/>
        <v>1</v>
      </c>
      <c r="AE100" s="103">
        <f t="shared" si="3"/>
        <v>4</v>
      </c>
      <c r="AF100" s="98" t="str">
        <f t="shared" si="45"/>
        <v/>
      </c>
      <c r="AG100" s="97"/>
      <c r="AH100" s="97"/>
    </row>
    <row r="101" spans="1:34" s="27" customFormat="1" ht="57.6" hidden="1">
      <c r="A101" s="28" t="s">
        <v>604</v>
      </c>
      <c r="B101" s="29" t="s">
        <v>640</v>
      </c>
      <c r="C101" s="81" t="s">
        <v>285</v>
      </c>
      <c r="D101" s="81" t="s">
        <v>641</v>
      </c>
      <c r="E101" s="81" t="s">
        <v>642</v>
      </c>
      <c r="F101" s="81" t="s">
        <v>536</v>
      </c>
      <c r="G101" s="81" t="s">
        <v>616</v>
      </c>
      <c r="H101" s="98">
        <v>3</v>
      </c>
      <c r="I101" s="99" t="s">
        <v>637</v>
      </c>
      <c r="J101" s="38" t="s">
        <v>643</v>
      </c>
      <c r="K101" s="39" t="s">
        <v>644</v>
      </c>
      <c r="L101" s="102">
        <v>3</v>
      </c>
      <c r="M101" s="81">
        <v>3</v>
      </c>
      <c r="N101" s="81">
        <v>3</v>
      </c>
      <c r="O101" s="81">
        <v>3</v>
      </c>
      <c r="P101" s="100">
        <v>3</v>
      </c>
      <c r="Q101" s="101"/>
      <c r="R101" s="53">
        <f t="shared" si="46"/>
        <v>3</v>
      </c>
      <c r="S101" s="81">
        <v>2</v>
      </c>
      <c r="T101" s="103">
        <f t="shared" si="0"/>
        <v>6</v>
      </c>
      <c r="U101" s="104" t="str">
        <f t="shared" si="56"/>
        <v>ACEPTAR</v>
      </c>
      <c r="V101" s="82"/>
      <c r="W101" s="105"/>
      <c r="X101" s="81"/>
      <c r="Y101" s="81"/>
      <c r="Z101" s="83"/>
      <c r="AA101" s="81"/>
      <c r="AB101" s="106"/>
      <c r="AC101" s="107">
        <f t="shared" si="51"/>
        <v>3</v>
      </c>
      <c r="AD101" s="81">
        <f t="shared" si="52"/>
        <v>2</v>
      </c>
      <c r="AE101" s="103">
        <f t="shared" si="3"/>
        <v>6</v>
      </c>
      <c r="AF101" s="98" t="str">
        <f t="shared" si="45"/>
        <v/>
      </c>
      <c r="AG101" s="97"/>
      <c r="AH101" s="97"/>
    </row>
    <row r="102" spans="1:34" s="27" customFormat="1" ht="43.2" hidden="1">
      <c r="A102" s="28" t="s">
        <v>604</v>
      </c>
      <c r="B102" s="29" t="s">
        <v>645</v>
      </c>
      <c r="C102" s="81" t="s">
        <v>285</v>
      </c>
      <c r="D102" s="81" t="s">
        <v>646</v>
      </c>
      <c r="E102" s="81" t="s">
        <v>647</v>
      </c>
      <c r="F102" s="81" t="s">
        <v>648</v>
      </c>
      <c r="G102" s="81" t="s">
        <v>616</v>
      </c>
      <c r="H102" s="98">
        <v>3</v>
      </c>
      <c r="I102" s="99" t="s">
        <v>649</v>
      </c>
      <c r="J102" s="38" t="s">
        <v>650</v>
      </c>
      <c r="K102" s="39" t="s">
        <v>651</v>
      </c>
      <c r="L102" s="102">
        <v>3</v>
      </c>
      <c r="M102" s="81"/>
      <c r="N102" s="81"/>
      <c r="O102" s="81"/>
      <c r="P102" s="100"/>
      <c r="Q102" s="101"/>
      <c r="R102" s="53">
        <f t="shared" si="46"/>
        <v>3</v>
      </c>
      <c r="S102" s="81">
        <v>1</v>
      </c>
      <c r="T102" s="103">
        <f t="shared" si="0"/>
        <v>3</v>
      </c>
      <c r="U102" s="104" t="str">
        <f t="shared" si="56"/>
        <v>ACEPTAR</v>
      </c>
      <c r="V102" s="82"/>
      <c r="W102" s="105"/>
      <c r="X102" s="81"/>
      <c r="Y102" s="81"/>
      <c r="Z102" s="83"/>
      <c r="AA102" s="81"/>
      <c r="AB102" s="106"/>
      <c r="AC102" s="107">
        <f t="shared" si="51"/>
        <v>3</v>
      </c>
      <c r="AD102" s="81">
        <f t="shared" si="52"/>
        <v>1</v>
      </c>
      <c r="AE102" s="103">
        <f t="shared" si="3"/>
        <v>3</v>
      </c>
      <c r="AF102" s="98" t="str">
        <f t="shared" si="45"/>
        <v/>
      </c>
      <c r="AG102" s="97"/>
      <c r="AH102" s="97"/>
    </row>
    <row r="103" spans="1:34" s="27" customFormat="1" ht="81.75" hidden="1" customHeight="1">
      <c r="A103" s="28" t="s">
        <v>604</v>
      </c>
      <c r="B103" s="29" t="s">
        <v>652</v>
      </c>
      <c r="C103" s="81" t="s">
        <v>653</v>
      </c>
      <c r="D103" s="81" t="s">
        <v>654</v>
      </c>
      <c r="E103" s="81" t="s">
        <v>655</v>
      </c>
      <c r="F103" s="81" t="s">
        <v>648</v>
      </c>
      <c r="G103" s="81" t="s">
        <v>656</v>
      </c>
      <c r="H103" s="98">
        <v>3</v>
      </c>
      <c r="I103" s="99" t="s">
        <v>657</v>
      </c>
      <c r="J103" s="40" t="s">
        <v>658</v>
      </c>
      <c r="K103" s="39" t="s">
        <v>659</v>
      </c>
      <c r="L103" s="102">
        <v>3</v>
      </c>
      <c r="M103" s="81"/>
      <c r="N103" s="81"/>
      <c r="O103" s="81"/>
      <c r="P103" s="100"/>
      <c r="Q103" s="101"/>
      <c r="R103" s="53">
        <f t="shared" si="46"/>
        <v>3</v>
      </c>
      <c r="S103" s="81">
        <v>1</v>
      </c>
      <c r="T103" s="103">
        <f t="shared" ref="T103" si="75">R103*S103</f>
        <v>3</v>
      </c>
      <c r="U103" s="104" t="str">
        <f t="shared" ref="U103" si="76">IF(T103&lt;8,"ACEPTAR","MITIGAR")</f>
        <v>ACEPTAR</v>
      </c>
      <c r="V103" s="82"/>
      <c r="W103" s="105"/>
      <c r="X103" s="81"/>
      <c r="Y103" s="81"/>
      <c r="Z103" s="83"/>
      <c r="AA103" s="81"/>
      <c r="AB103" s="106"/>
      <c r="AC103" s="107">
        <f t="shared" si="51"/>
        <v>3</v>
      </c>
      <c r="AD103" s="81">
        <f t="shared" si="52"/>
        <v>1</v>
      </c>
      <c r="AE103" s="103">
        <f t="shared" ref="AE103" si="77">AC103*AD103</f>
        <v>3</v>
      </c>
      <c r="AF103" s="98" t="str">
        <f t="shared" si="45"/>
        <v/>
      </c>
      <c r="AG103" s="97"/>
      <c r="AH103" s="97"/>
    </row>
    <row r="104" spans="1:34" s="27" customFormat="1" ht="102.6" hidden="1" customHeight="1">
      <c r="A104" s="28" t="s">
        <v>604</v>
      </c>
      <c r="B104" s="29" t="s">
        <v>660</v>
      </c>
      <c r="C104" s="81" t="s">
        <v>285</v>
      </c>
      <c r="D104" s="81" t="s">
        <v>661</v>
      </c>
      <c r="E104" s="81" t="s">
        <v>662</v>
      </c>
      <c r="F104" s="81" t="s">
        <v>663</v>
      </c>
      <c r="G104" s="81" t="s">
        <v>664</v>
      </c>
      <c r="H104" s="98">
        <v>3</v>
      </c>
      <c r="I104" s="99" t="s">
        <v>665</v>
      </c>
      <c r="J104" s="40" t="s">
        <v>666</v>
      </c>
      <c r="K104" s="39" t="s">
        <v>667</v>
      </c>
      <c r="L104" s="102">
        <v>4</v>
      </c>
      <c r="M104" s="81">
        <v>4</v>
      </c>
      <c r="N104" s="81">
        <v>4</v>
      </c>
      <c r="O104" s="81"/>
      <c r="P104" s="100"/>
      <c r="Q104" s="101"/>
      <c r="R104" s="53">
        <f t="shared" si="46"/>
        <v>4</v>
      </c>
      <c r="S104" s="81">
        <v>1</v>
      </c>
      <c r="T104" s="103">
        <f t="shared" si="0"/>
        <v>4</v>
      </c>
      <c r="U104" s="104" t="str">
        <f t="shared" si="56"/>
        <v>ACEPTAR</v>
      </c>
      <c r="V104" s="82"/>
      <c r="W104" s="105"/>
      <c r="X104" s="81"/>
      <c r="Y104" s="81"/>
      <c r="Z104" s="83"/>
      <c r="AA104" s="81"/>
      <c r="AB104" s="106"/>
      <c r="AC104" s="107">
        <f t="shared" si="51"/>
        <v>4</v>
      </c>
      <c r="AD104" s="81">
        <f t="shared" si="52"/>
        <v>1</v>
      </c>
      <c r="AE104" s="103">
        <f t="shared" si="3"/>
        <v>4</v>
      </c>
      <c r="AF104" s="98" t="str">
        <f t="shared" si="45"/>
        <v/>
      </c>
      <c r="AG104" s="97"/>
      <c r="AH104" s="97"/>
    </row>
    <row r="105" spans="1:34" s="27" customFormat="1" ht="90.45" hidden="1" customHeight="1">
      <c r="A105" s="28" t="s">
        <v>604</v>
      </c>
      <c r="B105" s="29" t="s">
        <v>668</v>
      </c>
      <c r="C105" s="81" t="s">
        <v>285</v>
      </c>
      <c r="D105" s="81" t="s">
        <v>669</v>
      </c>
      <c r="E105" s="81" t="s">
        <v>670</v>
      </c>
      <c r="F105" s="81" t="s">
        <v>536</v>
      </c>
      <c r="G105" s="81" t="s">
        <v>671</v>
      </c>
      <c r="H105" s="98">
        <v>3</v>
      </c>
      <c r="I105" s="99" t="s">
        <v>672</v>
      </c>
      <c r="J105" s="40" t="s">
        <v>673</v>
      </c>
      <c r="K105" s="41" t="s">
        <v>674</v>
      </c>
      <c r="L105" s="102">
        <v>4</v>
      </c>
      <c r="M105" s="81">
        <v>4</v>
      </c>
      <c r="N105" s="81">
        <v>4</v>
      </c>
      <c r="O105" s="81"/>
      <c r="P105" s="100"/>
      <c r="Q105" s="101"/>
      <c r="R105" s="53">
        <f t="shared" si="46"/>
        <v>4</v>
      </c>
      <c r="S105" s="81">
        <v>1</v>
      </c>
      <c r="T105" s="103">
        <f t="shared" si="0"/>
        <v>4</v>
      </c>
      <c r="U105" s="104" t="str">
        <f t="shared" si="56"/>
        <v>ACEPTAR</v>
      </c>
      <c r="V105" s="82"/>
      <c r="W105" s="105"/>
      <c r="X105" s="81"/>
      <c r="Y105" s="81"/>
      <c r="Z105" s="83"/>
      <c r="AA105" s="81"/>
      <c r="AB105" s="106"/>
      <c r="AC105" s="107">
        <f t="shared" si="51"/>
        <v>4</v>
      </c>
      <c r="AD105" s="81">
        <f t="shared" si="52"/>
        <v>1</v>
      </c>
      <c r="AE105" s="103">
        <f t="shared" si="3"/>
        <v>4</v>
      </c>
      <c r="AF105" s="98" t="str">
        <f t="shared" si="45"/>
        <v/>
      </c>
      <c r="AG105" s="97"/>
      <c r="AH105" s="97"/>
    </row>
    <row r="106" spans="1:34" s="27" customFormat="1" ht="118.95" hidden="1" customHeight="1">
      <c r="A106" s="28" t="s">
        <v>604</v>
      </c>
      <c r="B106" s="29" t="s">
        <v>675</v>
      </c>
      <c r="C106" s="81" t="s">
        <v>285</v>
      </c>
      <c r="D106" s="81" t="s">
        <v>676</v>
      </c>
      <c r="E106" s="81" t="s">
        <v>677</v>
      </c>
      <c r="F106" s="81" t="s">
        <v>678</v>
      </c>
      <c r="G106" s="81" t="s">
        <v>679</v>
      </c>
      <c r="H106" s="98">
        <v>3</v>
      </c>
      <c r="I106" s="99" t="s">
        <v>680</v>
      </c>
      <c r="J106" s="38" t="s">
        <v>681</v>
      </c>
      <c r="K106" s="41" t="s">
        <v>682</v>
      </c>
      <c r="L106" s="102">
        <v>0</v>
      </c>
      <c r="M106" s="81">
        <v>0</v>
      </c>
      <c r="N106" s="81">
        <v>0</v>
      </c>
      <c r="O106" s="81"/>
      <c r="P106" s="100"/>
      <c r="Q106" s="101"/>
      <c r="R106" s="53">
        <f t="shared" si="46"/>
        <v>0</v>
      </c>
      <c r="S106" s="81">
        <v>0</v>
      </c>
      <c r="T106" s="103">
        <f t="shared" si="0"/>
        <v>0</v>
      </c>
      <c r="U106" s="104" t="str">
        <f t="shared" si="56"/>
        <v>ACEPTAR</v>
      </c>
      <c r="V106" s="82"/>
      <c r="W106" s="55"/>
      <c r="X106" s="81"/>
      <c r="Y106" s="81"/>
      <c r="Z106" s="83"/>
      <c r="AA106" s="81"/>
      <c r="AB106" s="106"/>
      <c r="AC106" s="107">
        <f t="shared" si="51"/>
        <v>0</v>
      </c>
      <c r="AD106" s="81">
        <f t="shared" si="52"/>
        <v>0</v>
      </c>
      <c r="AE106" s="103">
        <f t="shared" si="3"/>
        <v>0</v>
      </c>
      <c r="AF106" s="98" t="str">
        <f t="shared" si="45"/>
        <v/>
      </c>
      <c r="AG106" s="97"/>
      <c r="AH106" s="97"/>
    </row>
    <row r="107" spans="1:34" s="27" customFormat="1" ht="72">
      <c r="A107" s="28" t="s">
        <v>604</v>
      </c>
      <c r="B107" s="29" t="s">
        <v>683</v>
      </c>
      <c r="C107" s="81" t="s">
        <v>391</v>
      </c>
      <c r="D107" s="81" t="s">
        <v>684</v>
      </c>
      <c r="E107" s="81" t="s">
        <v>677</v>
      </c>
      <c r="F107" s="81" t="s">
        <v>685</v>
      </c>
      <c r="G107" s="81" t="s">
        <v>686</v>
      </c>
      <c r="H107" s="98">
        <v>2</v>
      </c>
      <c r="I107" s="99" t="s">
        <v>680</v>
      </c>
      <c r="J107" s="38" t="s">
        <v>681</v>
      </c>
      <c r="K107" s="41" t="s">
        <v>682</v>
      </c>
      <c r="L107" s="102">
        <v>4</v>
      </c>
      <c r="M107" s="81">
        <v>4</v>
      </c>
      <c r="N107" s="81">
        <v>4</v>
      </c>
      <c r="O107" s="81"/>
      <c r="P107" s="100"/>
      <c r="Q107" s="101"/>
      <c r="R107" s="53">
        <f t="shared" si="46"/>
        <v>4</v>
      </c>
      <c r="S107" s="81">
        <v>3</v>
      </c>
      <c r="T107" s="103">
        <f t="shared" si="0"/>
        <v>12</v>
      </c>
      <c r="U107" s="104" t="str">
        <f t="shared" si="56"/>
        <v>MITIGAR</v>
      </c>
      <c r="V107" s="82" t="s">
        <v>687</v>
      </c>
      <c r="W107" s="55"/>
      <c r="X107" s="81" t="s">
        <v>546</v>
      </c>
      <c r="Y107" s="81" t="s">
        <v>688</v>
      </c>
      <c r="Z107" s="83" t="s">
        <v>548</v>
      </c>
      <c r="AA107" s="81"/>
      <c r="AB107" s="106"/>
      <c r="AC107" s="107">
        <f t="shared" si="51"/>
        <v>4</v>
      </c>
      <c r="AD107" s="81">
        <f t="shared" si="52"/>
        <v>3</v>
      </c>
      <c r="AE107" s="103">
        <f t="shared" si="3"/>
        <v>12</v>
      </c>
      <c r="AF107" s="98" t="str">
        <f t="shared" si="45"/>
        <v>INSUFICIENTE</v>
      </c>
      <c r="AG107" s="97"/>
      <c r="AH107" s="97"/>
    </row>
    <row r="108" spans="1:34" s="27" customFormat="1" ht="86.4" hidden="1">
      <c r="A108" s="28" t="s">
        <v>604</v>
      </c>
      <c r="B108" s="29" t="s">
        <v>689</v>
      </c>
      <c r="C108" s="81" t="s">
        <v>170</v>
      </c>
      <c r="D108" s="81" t="s">
        <v>690</v>
      </c>
      <c r="E108" s="81" t="s">
        <v>691</v>
      </c>
      <c r="F108" s="81" t="s">
        <v>678</v>
      </c>
      <c r="G108" s="81" t="s">
        <v>692</v>
      </c>
      <c r="H108" s="98">
        <v>3</v>
      </c>
      <c r="I108" s="99" t="s">
        <v>693</v>
      </c>
      <c r="J108" s="40" t="s">
        <v>694</v>
      </c>
      <c r="K108" s="39" t="s">
        <v>695</v>
      </c>
      <c r="L108" s="102">
        <v>3</v>
      </c>
      <c r="M108" s="81">
        <v>3</v>
      </c>
      <c r="N108" s="81">
        <v>3</v>
      </c>
      <c r="O108" s="81"/>
      <c r="P108" s="100"/>
      <c r="Q108" s="101"/>
      <c r="R108" s="53">
        <f t="shared" si="46"/>
        <v>3</v>
      </c>
      <c r="S108" s="81">
        <v>2</v>
      </c>
      <c r="T108" s="103">
        <f t="shared" si="0"/>
        <v>6</v>
      </c>
      <c r="U108" s="104" t="str">
        <f t="shared" si="56"/>
        <v>ACEPTAR</v>
      </c>
      <c r="V108" s="82"/>
      <c r="W108" s="55"/>
      <c r="X108" s="81"/>
      <c r="Y108" s="81"/>
      <c r="Z108" s="83"/>
      <c r="AA108" s="81"/>
      <c r="AB108" s="106"/>
      <c r="AC108" s="107">
        <f t="shared" si="51"/>
        <v>3</v>
      </c>
      <c r="AD108" s="81">
        <f t="shared" si="52"/>
        <v>2</v>
      </c>
      <c r="AE108" s="103">
        <f t="shared" si="3"/>
        <v>6</v>
      </c>
      <c r="AF108" s="98" t="str">
        <f t="shared" si="45"/>
        <v/>
      </c>
      <c r="AG108" s="97"/>
      <c r="AH108" s="97"/>
    </row>
    <row r="109" spans="1:34" s="27" customFormat="1" ht="103.95" customHeight="1">
      <c r="A109" s="28" t="s">
        <v>604</v>
      </c>
      <c r="B109" s="29" t="s">
        <v>696</v>
      </c>
      <c r="C109" s="81" t="s">
        <v>391</v>
      </c>
      <c r="D109" s="81" t="s">
        <v>697</v>
      </c>
      <c r="E109" s="81" t="s">
        <v>698</v>
      </c>
      <c r="F109" s="81" t="s">
        <v>678</v>
      </c>
      <c r="G109" s="81" t="s">
        <v>686</v>
      </c>
      <c r="H109" s="98">
        <v>2</v>
      </c>
      <c r="I109" s="99" t="s">
        <v>699</v>
      </c>
      <c r="J109" s="40" t="s">
        <v>700</v>
      </c>
      <c r="K109" s="41" t="s">
        <v>682</v>
      </c>
      <c r="L109" s="102">
        <v>3</v>
      </c>
      <c r="M109" s="81">
        <v>3</v>
      </c>
      <c r="N109" s="81">
        <v>3</v>
      </c>
      <c r="O109" s="81"/>
      <c r="P109" s="100"/>
      <c r="Q109" s="101"/>
      <c r="R109" s="53">
        <f t="shared" si="46"/>
        <v>3</v>
      </c>
      <c r="S109" s="81">
        <v>3</v>
      </c>
      <c r="T109" s="103">
        <f t="shared" si="0"/>
        <v>9</v>
      </c>
      <c r="U109" s="104" t="str">
        <f t="shared" si="56"/>
        <v>MITIGAR</v>
      </c>
      <c r="V109" s="82" t="s">
        <v>687</v>
      </c>
      <c r="W109" s="55"/>
      <c r="X109" s="81" t="s">
        <v>546</v>
      </c>
      <c r="Y109" s="81" t="s">
        <v>688</v>
      </c>
      <c r="Z109" s="83" t="s">
        <v>548</v>
      </c>
      <c r="AA109" s="108"/>
      <c r="AB109" s="106"/>
      <c r="AC109" s="107">
        <f t="shared" si="51"/>
        <v>3</v>
      </c>
      <c r="AD109" s="81">
        <f t="shared" si="52"/>
        <v>3</v>
      </c>
      <c r="AE109" s="103">
        <f>AC109*AD109</f>
        <v>9</v>
      </c>
      <c r="AF109" s="98" t="str">
        <f t="shared" si="45"/>
        <v>INSUFICIENTE</v>
      </c>
      <c r="AG109" s="97"/>
      <c r="AH109" s="97"/>
    </row>
    <row r="110" spans="1:34" s="27" customFormat="1" ht="72" hidden="1">
      <c r="A110" s="28" t="s">
        <v>604</v>
      </c>
      <c r="B110" s="29" t="s">
        <v>701</v>
      </c>
      <c r="C110" s="81" t="s">
        <v>285</v>
      </c>
      <c r="D110" s="81" t="s">
        <v>702</v>
      </c>
      <c r="E110" s="81" t="s">
        <v>698</v>
      </c>
      <c r="F110" s="81" t="s">
        <v>703</v>
      </c>
      <c r="G110" s="81" t="s">
        <v>679</v>
      </c>
      <c r="H110" s="98">
        <v>3</v>
      </c>
      <c r="I110" s="99" t="s">
        <v>699</v>
      </c>
      <c r="J110" s="40" t="s">
        <v>704</v>
      </c>
      <c r="K110" s="41" t="s">
        <v>682</v>
      </c>
      <c r="L110" s="102">
        <v>4</v>
      </c>
      <c r="M110" s="81">
        <v>4</v>
      </c>
      <c r="N110" s="81"/>
      <c r="O110" s="81"/>
      <c r="P110" s="100"/>
      <c r="Q110" s="101"/>
      <c r="R110" s="53">
        <f t="shared" si="46"/>
        <v>4</v>
      </c>
      <c r="S110" s="81">
        <v>1</v>
      </c>
      <c r="T110" s="103">
        <f t="shared" si="0"/>
        <v>4</v>
      </c>
      <c r="U110" s="104" t="str">
        <f t="shared" si="56"/>
        <v>ACEPTAR</v>
      </c>
      <c r="V110" s="82"/>
      <c r="W110" s="105"/>
      <c r="X110" s="81"/>
      <c r="Y110" s="84"/>
      <c r="Z110" s="83"/>
      <c r="AA110" s="81"/>
      <c r="AB110" s="106"/>
      <c r="AC110" s="107">
        <f t="shared" si="51"/>
        <v>4</v>
      </c>
      <c r="AD110" s="81">
        <f t="shared" si="52"/>
        <v>1</v>
      </c>
      <c r="AE110" s="103">
        <f t="shared" si="3"/>
        <v>4</v>
      </c>
      <c r="AF110" s="98" t="str">
        <f t="shared" si="45"/>
        <v/>
      </c>
      <c r="AG110" s="97"/>
      <c r="AH110" s="97"/>
    </row>
    <row r="111" spans="1:34" s="27" customFormat="1" ht="57.6" hidden="1">
      <c r="A111" s="28" t="s">
        <v>604</v>
      </c>
      <c r="B111" s="29" t="s">
        <v>701</v>
      </c>
      <c r="C111" s="81" t="s">
        <v>111</v>
      </c>
      <c r="D111" s="81" t="s">
        <v>702</v>
      </c>
      <c r="E111" s="81" t="s">
        <v>698</v>
      </c>
      <c r="F111" s="81" t="s">
        <v>703</v>
      </c>
      <c r="G111" s="81" t="s">
        <v>686</v>
      </c>
      <c r="H111" s="98">
        <v>3</v>
      </c>
      <c r="I111" s="99" t="s">
        <v>699</v>
      </c>
      <c r="J111" s="38" t="s">
        <v>681</v>
      </c>
      <c r="K111" s="41" t="s">
        <v>682</v>
      </c>
      <c r="L111" s="102">
        <v>3</v>
      </c>
      <c r="M111" s="81">
        <v>3</v>
      </c>
      <c r="N111" s="81"/>
      <c r="O111" s="81"/>
      <c r="P111" s="100"/>
      <c r="Q111" s="101"/>
      <c r="R111" s="53">
        <f t="shared" si="46"/>
        <v>3</v>
      </c>
      <c r="S111" s="81">
        <v>2</v>
      </c>
      <c r="T111" s="103">
        <f t="shared" ref="T111" si="78">R111*S111</f>
        <v>6</v>
      </c>
      <c r="U111" s="104" t="str">
        <f t="shared" ref="U111" si="79">IF(T111&lt;8,"ACEPTAR","MITIGAR")</f>
        <v>ACEPTAR</v>
      </c>
      <c r="V111" s="82"/>
      <c r="W111" s="105"/>
      <c r="X111" s="81"/>
      <c r="Y111" s="84"/>
      <c r="Z111" s="83"/>
      <c r="AA111" s="81"/>
      <c r="AB111" s="106"/>
      <c r="AC111" s="107">
        <f t="shared" si="51"/>
        <v>3</v>
      </c>
      <c r="AD111" s="81">
        <f t="shared" si="52"/>
        <v>2</v>
      </c>
      <c r="AE111" s="103">
        <f t="shared" ref="AE111" si="80">AC111*AD111</f>
        <v>6</v>
      </c>
      <c r="AF111" s="98" t="str">
        <f t="shared" si="45"/>
        <v/>
      </c>
      <c r="AG111" s="97"/>
      <c r="AH111" s="97"/>
    </row>
    <row r="112" spans="1:34" s="27" customFormat="1" ht="57.6">
      <c r="A112" s="28" t="s">
        <v>604</v>
      </c>
      <c r="B112" s="29" t="s">
        <v>705</v>
      </c>
      <c r="C112" s="81" t="s">
        <v>285</v>
      </c>
      <c r="D112" s="81" t="s">
        <v>706</v>
      </c>
      <c r="E112" s="81" t="s">
        <v>707</v>
      </c>
      <c r="F112" s="81" t="s">
        <v>708</v>
      </c>
      <c r="G112" s="81" t="s">
        <v>709</v>
      </c>
      <c r="H112" s="98">
        <v>3</v>
      </c>
      <c r="I112" s="99" t="s">
        <v>710</v>
      </c>
      <c r="J112" s="40" t="s">
        <v>711</v>
      </c>
      <c r="K112" s="41" t="s">
        <v>712</v>
      </c>
      <c r="L112" s="102">
        <v>4</v>
      </c>
      <c r="M112" s="81">
        <v>4</v>
      </c>
      <c r="N112" s="81"/>
      <c r="O112" s="81"/>
      <c r="P112" s="100"/>
      <c r="Q112" s="101"/>
      <c r="R112" s="53">
        <f t="shared" si="46"/>
        <v>4</v>
      </c>
      <c r="S112" s="81">
        <v>2</v>
      </c>
      <c r="T112" s="103">
        <f t="shared" si="0"/>
        <v>8</v>
      </c>
      <c r="U112" s="104" t="str">
        <f t="shared" si="56"/>
        <v>MITIGAR</v>
      </c>
      <c r="V112" s="124" t="s">
        <v>1958</v>
      </c>
      <c r="W112" s="55"/>
      <c r="X112" s="123" t="s">
        <v>546</v>
      </c>
      <c r="Y112" s="123" t="s">
        <v>1959</v>
      </c>
      <c r="Z112" s="125" t="s">
        <v>739</v>
      </c>
      <c r="AA112" s="81"/>
      <c r="AB112" s="106"/>
      <c r="AC112" s="107">
        <f t="shared" si="51"/>
        <v>4</v>
      </c>
      <c r="AD112" s="81">
        <f t="shared" si="52"/>
        <v>2</v>
      </c>
      <c r="AE112" s="103">
        <f t="shared" si="3"/>
        <v>8</v>
      </c>
      <c r="AF112" s="98" t="str">
        <f t="shared" si="45"/>
        <v>INSUFICIENTE</v>
      </c>
      <c r="AG112" s="97"/>
      <c r="AH112" s="97"/>
    </row>
    <row r="113" spans="1:34" s="27" customFormat="1" ht="57.6">
      <c r="A113" s="28" t="s">
        <v>604</v>
      </c>
      <c r="B113" s="29" t="s">
        <v>713</v>
      </c>
      <c r="C113" s="81" t="s">
        <v>285</v>
      </c>
      <c r="D113" s="81" t="s">
        <v>714</v>
      </c>
      <c r="E113" s="81" t="s">
        <v>707</v>
      </c>
      <c r="F113" s="81" t="s">
        <v>708</v>
      </c>
      <c r="G113" s="81" t="s">
        <v>709</v>
      </c>
      <c r="H113" s="98">
        <v>3</v>
      </c>
      <c r="I113" s="99" t="s">
        <v>710</v>
      </c>
      <c r="J113" s="40" t="s">
        <v>711</v>
      </c>
      <c r="K113" s="41" t="s">
        <v>712</v>
      </c>
      <c r="L113" s="102">
        <v>4</v>
      </c>
      <c r="M113" s="81">
        <v>4</v>
      </c>
      <c r="N113" s="81"/>
      <c r="O113" s="81"/>
      <c r="P113" s="100"/>
      <c r="Q113" s="101"/>
      <c r="R113" s="53">
        <f t="shared" si="46"/>
        <v>4</v>
      </c>
      <c r="S113" s="81">
        <v>2</v>
      </c>
      <c r="T113" s="103">
        <f t="shared" si="0"/>
        <v>8</v>
      </c>
      <c r="U113" s="104" t="str">
        <f t="shared" si="56"/>
        <v>MITIGAR</v>
      </c>
      <c r="V113" s="124" t="s">
        <v>1958</v>
      </c>
      <c r="W113" s="55"/>
      <c r="X113" s="123" t="s">
        <v>546</v>
      </c>
      <c r="Y113" s="123" t="s">
        <v>1959</v>
      </c>
      <c r="Z113" s="125" t="s">
        <v>739</v>
      </c>
      <c r="AA113" s="81"/>
      <c r="AB113" s="106"/>
      <c r="AC113" s="107">
        <f t="shared" si="51"/>
        <v>4</v>
      </c>
      <c r="AD113" s="81">
        <f t="shared" si="52"/>
        <v>2</v>
      </c>
      <c r="AE113" s="103">
        <f t="shared" si="3"/>
        <v>8</v>
      </c>
      <c r="AF113" s="98" t="str">
        <f t="shared" si="45"/>
        <v>INSUFICIENTE</v>
      </c>
      <c r="AG113" s="97"/>
      <c r="AH113" s="97"/>
    </row>
    <row r="114" spans="1:34" s="27" customFormat="1" ht="57.6">
      <c r="A114" s="28" t="s">
        <v>604</v>
      </c>
      <c r="B114" s="29" t="s">
        <v>715</v>
      </c>
      <c r="C114" s="81" t="s">
        <v>285</v>
      </c>
      <c r="D114" s="123" t="s">
        <v>716</v>
      </c>
      <c r="E114" s="81" t="s">
        <v>717</v>
      </c>
      <c r="F114" s="81" t="s">
        <v>708</v>
      </c>
      <c r="G114" s="81" t="s">
        <v>709</v>
      </c>
      <c r="H114" s="98">
        <v>3</v>
      </c>
      <c r="I114" s="99" t="s">
        <v>710</v>
      </c>
      <c r="J114" s="40" t="s">
        <v>711</v>
      </c>
      <c r="K114" s="41" t="s">
        <v>712</v>
      </c>
      <c r="L114" s="102">
        <v>4</v>
      </c>
      <c r="M114" s="81">
        <v>4</v>
      </c>
      <c r="N114" s="81"/>
      <c r="O114" s="81"/>
      <c r="P114" s="100"/>
      <c r="Q114" s="101"/>
      <c r="R114" s="53">
        <f t="shared" si="46"/>
        <v>4</v>
      </c>
      <c r="S114" s="81">
        <v>2</v>
      </c>
      <c r="T114" s="103">
        <f t="shared" si="0"/>
        <v>8</v>
      </c>
      <c r="U114" s="104" t="str">
        <f t="shared" si="56"/>
        <v>MITIGAR</v>
      </c>
      <c r="V114" s="124" t="s">
        <v>1958</v>
      </c>
      <c r="W114" s="55"/>
      <c r="X114" s="123" t="s">
        <v>546</v>
      </c>
      <c r="Y114" s="123" t="s">
        <v>1959</v>
      </c>
      <c r="Z114" s="125" t="s">
        <v>739</v>
      </c>
      <c r="AA114" s="81"/>
      <c r="AB114" s="106"/>
      <c r="AC114" s="107">
        <f t="shared" si="51"/>
        <v>4</v>
      </c>
      <c r="AD114" s="81">
        <f t="shared" si="52"/>
        <v>2</v>
      </c>
      <c r="AE114" s="103">
        <f t="shared" si="3"/>
        <v>8</v>
      </c>
      <c r="AF114" s="98" t="str">
        <f t="shared" si="45"/>
        <v>INSUFICIENTE</v>
      </c>
      <c r="AG114" s="97"/>
      <c r="AH114" s="97"/>
    </row>
    <row r="115" spans="1:34" s="27" customFormat="1" ht="57.6">
      <c r="A115" s="28" t="s">
        <v>604</v>
      </c>
      <c r="B115" s="29" t="s">
        <v>718</v>
      </c>
      <c r="C115" s="81" t="s">
        <v>285</v>
      </c>
      <c r="D115" s="81" t="s">
        <v>719</v>
      </c>
      <c r="E115" s="81" t="s">
        <v>720</v>
      </c>
      <c r="F115" s="81" t="s">
        <v>708</v>
      </c>
      <c r="G115" s="81" t="s">
        <v>709</v>
      </c>
      <c r="H115" s="98">
        <v>3</v>
      </c>
      <c r="I115" s="99" t="s">
        <v>710</v>
      </c>
      <c r="J115" s="40" t="s">
        <v>711</v>
      </c>
      <c r="K115" s="41" t="s">
        <v>712</v>
      </c>
      <c r="L115" s="102">
        <v>4</v>
      </c>
      <c r="M115" s="81">
        <v>4</v>
      </c>
      <c r="N115" s="81"/>
      <c r="O115" s="81"/>
      <c r="P115" s="100"/>
      <c r="Q115" s="101"/>
      <c r="R115" s="53">
        <f t="shared" si="46"/>
        <v>4</v>
      </c>
      <c r="S115" s="81">
        <v>2</v>
      </c>
      <c r="T115" s="103">
        <f t="shared" si="0"/>
        <v>8</v>
      </c>
      <c r="U115" s="104" t="str">
        <f t="shared" si="56"/>
        <v>MITIGAR</v>
      </c>
      <c r="V115" s="124" t="s">
        <v>1958</v>
      </c>
      <c r="W115" s="55"/>
      <c r="X115" s="123" t="s">
        <v>546</v>
      </c>
      <c r="Y115" s="123" t="s">
        <v>1959</v>
      </c>
      <c r="Z115" s="125" t="s">
        <v>739</v>
      </c>
      <c r="AA115" s="81"/>
      <c r="AB115" s="106"/>
      <c r="AC115" s="107">
        <f t="shared" si="51"/>
        <v>4</v>
      </c>
      <c r="AD115" s="81">
        <f t="shared" si="52"/>
        <v>2</v>
      </c>
      <c r="AE115" s="103">
        <f t="shared" si="3"/>
        <v>8</v>
      </c>
      <c r="AF115" s="98" t="str">
        <f t="shared" si="45"/>
        <v>INSUFICIENTE</v>
      </c>
      <c r="AG115" s="97"/>
      <c r="AH115" s="97"/>
    </row>
    <row r="116" spans="1:34" s="27" customFormat="1" ht="72" hidden="1">
      <c r="A116" s="28" t="s">
        <v>604</v>
      </c>
      <c r="B116" s="29" t="s">
        <v>721</v>
      </c>
      <c r="C116" s="81" t="s">
        <v>285</v>
      </c>
      <c r="D116" s="81" t="s">
        <v>722</v>
      </c>
      <c r="E116" s="81" t="s">
        <v>723</v>
      </c>
      <c r="F116" s="81" t="s">
        <v>248</v>
      </c>
      <c r="G116" s="81" t="s">
        <v>679</v>
      </c>
      <c r="H116" s="98">
        <v>3</v>
      </c>
      <c r="I116" s="99" t="s">
        <v>724</v>
      </c>
      <c r="J116" s="40" t="s">
        <v>725</v>
      </c>
      <c r="K116" s="39" t="s">
        <v>726</v>
      </c>
      <c r="L116" s="102"/>
      <c r="M116" s="81"/>
      <c r="N116" s="81">
        <v>4</v>
      </c>
      <c r="O116" s="81"/>
      <c r="P116" s="100"/>
      <c r="Q116" s="101"/>
      <c r="R116" s="53">
        <f t="shared" si="46"/>
        <v>4</v>
      </c>
      <c r="S116" s="81">
        <v>1</v>
      </c>
      <c r="T116" s="103">
        <f t="shared" si="0"/>
        <v>4</v>
      </c>
      <c r="U116" s="104" t="str">
        <f t="shared" si="56"/>
        <v>ACEPTAR</v>
      </c>
      <c r="V116" s="82"/>
      <c r="W116" s="105"/>
      <c r="X116" s="81"/>
      <c r="Y116" s="84"/>
      <c r="Z116" s="83"/>
      <c r="AA116" s="81"/>
      <c r="AB116" s="106"/>
      <c r="AC116" s="107">
        <f t="shared" si="51"/>
        <v>4</v>
      </c>
      <c r="AD116" s="81">
        <f t="shared" si="52"/>
        <v>1</v>
      </c>
      <c r="AE116" s="103">
        <f t="shared" si="3"/>
        <v>4</v>
      </c>
      <c r="AF116" s="98" t="str">
        <f t="shared" si="45"/>
        <v/>
      </c>
      <c r="AG116" s="97"/>
      <c r="AH116" s="97"/>
    </row>
    <row r="117" spans="1:34" s="27" customFormat="1" ht="72" hidden="1">
      <c r="A117" s="28" t="s">
        <v>604</v>
      </c>
      <c r="B117" s="29" t="s">
        <v>727</v>
      </c>
      <c r="C117" s="81" t="s">
        <v>285</v>
      </c>
      <c r="D117" s="81" t="s">
        <v>728</v>
      </c>
      <c r="E117" s="81" t="s">
        <v>729</v>
      </c>
      <c r="F117" s="81" t="s">
        <v>730</v>
      </c>
      <c r="G117" s="81" t="s">
        <v>679</v>
      </c>
      <c r="H117" s="98">
        <v>3</v>
      </c>
      <c r="I117" s="99" t="s">
        <v>731</v>
      </c>
      <c r="J117" s="40" t="s">
        <v>732</v>
      </c>
      <c r="K117" s="41" t="s">
        <v>733</v>
      </c>
      <c r="L117" s="102">
        <v>4</v>
      </c>
      <c r="M117" s="81">
        <v>4</v>
      </c>
      <c r="N117" s="81">
        <v>4</v>
      </c>
      <c r="O117" s="81"/>
      <c r="P117" s="100"/>
      <c r="Q117" s="101"/>
      <c r="R117" s="53">
        <f t="shared" si="46"/>
        <v>4</v>
      </c>
      <c r="S117" s="81">
        <v>1</v>
      </c>
      <c r="T117" s="103">
        <f t="shared" si="0"/>
        <v>4</v>
      </c>
      <c r="U117" s="104" t="str">
        <f t="shared" si="56"/>
        <v>ACEPTAR</v>
      </c>
      <c r="V117" s="82"/>
      <c r="W117" s="105"/>
      <c r="X117" s="81"/>
      <c r="Y117" s="84"/>
      <c r="Z117" s="83"/>
      <c r="AA117" s="81"/>
      <c r="AB117" s="106"/>
      <c r="AC117" s="107">
        <f t="shared" si="51"/>
        <v>4</v>
      </c>
      <c r="AD117" s="81">
        <f t="shared" si="52"/>
        <v>1</v>
      </c>
      <c r="AE117" s="103">
        <f t="shared" si="3"/>
        <v>4</v>
      </c>
      <c r="AF117" s="98" t="str">
        <f t="shared" si="45"/>
        <v/>
      </c>
      <c r="AG117" s="97"/>
      <c r="AH117" s="97"/>
    </row>
    <row r="118" spans="1:34" s="27" customFormat="1" ht="72">
      <c r="A118" s="28" t="s">
        <v>604</v>
      </c>
      <c r="B118" s="29" t="s">
        <v>734</v>
      </c>
      <c r="C118" s="81" t="s">
        <v>285</v>
      </c>
      <c r="D118" s="123" t="s">
        <v>735</v>
      </c>
      <c r="E118" s="81" t="s">
        <v>736</v>
      </c>
      <c r="F118" s="81" t="s">
        <v>678</v>
      </c>
      <c r="G118" s="81" t="s">
        <v>679</v>
      </c>
      <c r="H118" s="98">
        <v>3</v>
      </c>
      <c r="I118" s="99" t="s">
        <v>731</v>
      </c>
      <c r="J118" s="40" t="s">
        <v>725</v>
      </c>
      <c r="K118" s="39" t="s">
        <v>737</v>
      </c>
      <c r="L118" s="102">
        <v>4</v>
      </c>
      <c r="M118" s="81">
        <v>4</v>
      </c>
      <c r="N118" s="81">
        <v>4</v>
      </c>
      <c r="O118" s="81"/>
      <c r="P118" s="100"/>
      <c r="Q118" s="101"/>
      <c r="R118" s="53">
        <f t="shared" si="46"/>
        <v>4</v>
      </c>
      <c r="S118" s="81">
        <v>2</v>
      </c>
      <c r="T118" s="103">
        <f t="shared" si="0"/>
        <v>8</v>
      </c>
      <c r="U118" s="104" t="str">
        <f t="shared" si="56"/>
        <v>MITIGAR</v>
      </c>
      <c r="V118" s="124" t="s">
        <v>1955</v>
      </c>
      <c r="W118" s="55"/>
      <c r="X118" s="81" t="s">
        <v>546</v>
      </c>
      <c r="Y118" s="81" t="s">
        <v>738</v>
      </c>
      <c r="Z118" s="83" t="s">
        <v>739</v>
      </c>
      <c r="AA118" s="81"/>
      <c r="AB118" s="106"/>
      <c r="AC118" s="107">
        <f t="shared" si="51"/>
        <v>4</v>
      </c>
      <c r="AD118" s="81">
        <f t="shared" si="52"/>
        <v>2</v>
      </c>
      <c r="AE118" s="103">
        <f t="shared" si="3"/>
        <v>8</v>
      </c>
      <c r="AF118" s="98" t="str">
        <f t="shared" si="45"/>
        <v>INSUFICIENTE</v>
      </c>
      <c r="AG118" s="97"/>
      <c r="AH118" s="97"/>
    </row>
    <row r="119" spans="1:34" s="27" customFormat="1" ht="72" hidden="1">
      <c r="A119" s="28" t="s">
        <v>604</v>
      </c>
      <c r="B119" s="29" t="s">
        <v>740</v>
      </c>
      <c r="C119" s="81" t="s">
        <v>285</v>
      </c>
      <c r="D119" s="81" t="s">
        <v>741</v>
      </c>
      <c r="E119" s="81" t="s">
        <v>742</v>
      </c>
      <c r="F119" s="81" t="s">
        <v>730</v>
      </c>
      <c r="G119" s="81" t="s">
        <v>679</v>
      </c>
      <c r="H119" s="98">
        <v>3</v>
      </c>
      <c r="I119" s="99" t="s">
        <v>731</v>
      </c>
      <c r="J119" s="40" t="s">
        <v>725</v>
      </c>
      <c r="K119" s="41" t="s">
        <v>733</v>
      </c>
      <c r="L119" s="102">
        <v>3</v>
      </c>
      <c r="M119" s="81">
        <v>3</v>
      </c>
      <c r="N119" s="81">
        <v>3</v>
      </c>
      <c r="O119" s="81"/>
      <c r="P119" s="100">
        <v>3</v>
      </c>
      <c r="Q119" s="101"/>
      <c r="R119" s="53">
        <f t="shared" si="46"/>
        <v>3</v>
      </c>
      <c r="S119" s="81">
        <v>1</v>
      </c>
      <c r="T119" s="103">
        <f t="shared" si="0"/>
        <v>3</v>
      </c>
      <c r="U119" s="104" t="str">
        <f t="shared" si="56"/>
        <v>ACEPTAR</v>
      </c>
      <c r="V119" s="82"/>
      <c r="W119" s="105"/>
      <c r="X119" s="81"/>
      <c r="Y119" s="81"/>
      <c r="Z119" s="83"/>
      <c r="AA119" s="81"/>
      <c r="AB119" s="106"/>
      <c r="AC119" s="107">
        <f t="shared" si="51"/>
        <v>3</v>
      </c>
      <c r="AD119" s="81">
        <f t="shared" si="52"/>
        <v>1</v>
      </c>
      <c r="AE119" s="103">
        <f t="shared" si="3"/>
        <v>3</v>
      </c>
      <c r="AF119" s="98" t="str">
        <f t="shared" si="45"/>
        <v/>
      </c>
      <c r="AG119" s="97"/>
      <c r="AH119" s="97"/>
    </row>
    <row r="120" spans="1:34" s="27" customFormat="1" ht="66" hidden="1" customHeight="1">
      <c r="A120" s="28" t="s">
        <v>604</v>
      </c>
      <c r="B120" s="29" t="s">
        <v>743</v>
      </c>
      <c r="C120" s="81" t="s">
        <v>285</v>
      </c>
      <c r="D120" s="81" t="s">
        <v>744</v>
      </c>
      <c r="E120" s="81" t="s">
        <v>745</v>
      </c>
      <c r="F120" s="81" t="s">
        <v>746</v>
      </c>
      <c r="G120" s="81" t="s">
        <v>747</v>
      </c>
      <c r="H120" s="98">
        <v>3</v>
      </c>
      <c r="I120" s="99" t="s">
        <v>748</v>
      </c>
      <c r="J120" s="38" t="s">
        <v>749</v>
      </c>
      <c r="K120" s="41" t="s">
        <v>384</v>
      </c>
      <c r="L120" s="102">
        <v>3</v>
      </c>
      <c r="M120" s="81">
        <v>3</v>
      </c>
      <c r="N120" s="81">
        <v>3</v>
      </c>
      <c r="O120" s="81">
        <v>3</v>
      </c>
      <c r="P120" s="100">
        <v>3</v>
      </c>
      <c r="Q120" s="101"/>
      <c r="R120" s="53">
        <f t="shared" si="46"/>
        <v>3</v>
      </c>
      <c r="S120" s="81">
        <v>2</v>
      </c>
      <c r="T120" s="103">
        <f t="shared" si="0"/>
        <v>6</v>
      </c>
      <c r="U120" s="104" t="str">
        <f t="shared" si="56"/>
        <v>ACEPTAR</v>
      </c>
      <c r="V120" s="82"/>
      <c r="W120" s="105"/>
      <c r="X120" s="81"/>
      <c r="Y120" s="81"/>
      <c r="Z120" s="83"/>
      <c r="AA120" s="81"/>
      <c r="AB120" s="106"/>
      <c r="AC120" s="107">
        <f t="shared" si="51"/>
        <v>3</v>
      </c>
      <c r="AD120" s="81">
        <f t="shared" si="52"/>
        <v>2</v>
      </c>
      <c r="AE120" s="103">
        <f t="shared" si="3"/>
        <v>6</v>
      </c>
      <c r="AF120" s="98" t="str">
        <f t="shared" si="45"/>
        <v/>
      </c>
      <c r="AG120" s="97"/>
      <c r="AH120" s="97"/>
    </row>
    <row r="121" spans="1:34" s="27" customFormat="1" ht="120.9" hidden="1" customHeight="1">
      <c r="A121" s="28" t="s">
        <v>604</v>
      </c>
      <c r="B121" s="29" t="s">
        <v>750</v>
      </c>
      <c r="C121" s="81" t="s">
        <v>285</v>
      </c>
      <c r="D121" s="81" t="s">
        <v>751</v>
      </c>
      <c r="E121" s="81" t="s">
        <v>729</v>
      </c>
      <c r="F121" s="81" t="s">
        <v>730</v>
      </c>
      <c r="G121" s="81" t="s">
        <v>679</v>
      </c>
      <c r="H121" s="98">
        <v>3</v>
      </c>
      <c r="I121" s="99" t="s">
        <v>752</v>
      </c>
      <c r="J121" s="40" t="s">
        <v>725</v>
      </c>
      <c r="K121" s="41" t="s">
        <v>733</v>
      </c>
      <c r="L121" s="102">
        <v>3</v>
      </c>
      <c r="M121" s="81">
        <v>3</v>
      </c>
      <c r="N121" s="81">
        <v>3</v>
      </c>
      <c r="O121" s="81">
        <v>3</v>
      </c>
      <c r="P121" s="100">
        <v>3</v>
      </c>
      <c r="Q121" s="101"/>
      <c r="R121" s="53">
        <f t="shared" si="46"/>
        <v>3</v>
      </c>
      <c r="S121" s="81">
        <v>2</v>
      </c>
      <c r="T121" s="103">
        <f t="shared" si="0"/>
        <v>6</v>
      </c>
      <c r="U121" s="104" t="str">
        <f t="shared" si="56"/>
        <v>ACEPTAR</v>
      </c>
      <c r="V121" s="82"/>
      <c r="W121" s="105"/>
      <c r="X121" s="81"/>
      <c r="Y121" s="84"/>
      <c r="Z121" s="83"/>
      <c r="AA121" s="81"/>
      <c r="AB121" s="106"/>
      <c r="AC121" s="107">
        <f t="shared" si="51"/>
        <v>3</v>
      </c>
      <c r="AD121" s="81">
        <f t="shared" si="52"/>
        <v>2</v>
      </c>
      <c r="AE121" s="103">
        <f t="shared" si="3"/>
        <v>6</v>
      </c>
      <c r="AF121" s="98" t="str">
        <f t="shared" si="45"/>
        <v/>
      </c>
      <c r="AG121" s="97"/>
      <c r="AH121" s="97"/>
    </row>
    <row r="122" spans="1:34" s="27" customFormat="1" ht="82.2" hidden="1" customHeight="1">
      <c r="A122" s="28" t="s">
        <v>604</v>
      </c>
      <c r="B122" s="29" t="s">
        <v>753</v>
      </c>
      <c r="C122" s="81" t="s">
        <v>285</v>
      </c>
      <c r="D122" s="81" t="s">
        <v>754</v>
      </c>
      <c r="E122" s="81" t="s">
        <v>755</v>
      </c>
      <c r="F122" s="81" t="s">
        <v>756</v>
      </c>
      <c r="G122" s="81" t="s">
        <v>757</v>
      </c>
      <c r="H122" s="98">
        <v>2</v>
      </c>
      <c r="I122" s="99" t="s">
        <v>758</v>
      </c>
      <c r="J122" s="38" t="s">
        <v>759</v>
      </c>
      <c r="K122" s="39" t="s">
        <v>760</v>
      </c>
      <c r="L122" s="102">
        <v>3</v>
      </c>
      <c r="M122" s="81">
        <v>3</v>
      </c>
      <c r="N122" s="81">
        <v>3</v>
      </c>
      <c r="O122" s="81"/>
      <c r="P122" s="100">
        <v>3</v>
      </c>
      <c r="Q122" s="101"/>
      <c r="R122" s="53">
        <f t="shared" si="46"/>
        <v>3</v>
      </c>
      <c r="S122" s="81">
        <v>1</v>
      </c>
      <c r="T122" s="103">
        <f t="shared" si="0"/>
        <v>3</v>
      </c>
      <c r="U122" s="104" t="str">
        <f t="shared" si="56"/>
        <v>ACEPTAR</v>
      </c>
      <c r="V122" s="82"/>
      <c r="W122" s="105"/>
      <c r="X122" s="81"/>
      <c r="Y122" s="81"/>
      <c r="Z122" s="83"/>
      <c r="AA122" s="81"/>
      <c r="AB122" s="106"/>
      <c r="AC122" s="107">
        <f t="shared" si="51"/>
        <v>3</v>
      </c>
      <c r="AD122" s="81">
        <f t="shared" si="52"/>
        <v>1</v>
      </c>
      <c r="AE122" s="103">
        <f t="shared" si="3"/>
        <v>3</v>
      </c>
      <c r="AF122" s="98" t="str">
        <f t="shared" si="45"/>
        <v/>
      </c>
      <c r="AG122" s="97"/>
      <c r="AH122" s="97"/>
    </row>
    <row r="123" spans="1:34" s="27" customFormat="1" ht="80.099999999999994" hidden="1" customHeight="1">
      <c r="A123" s="28" t="s">
        <v>604</v>
      </c>
      <c r="B123" s="29" t="s">
        <v>761</v>
      </c>
      <c r="C123" s="81" t="s">
        <v>762</v>
      </c>
      <c r="D123" s="81" t="s">
        <v>763</v>
      </c>
      <c r="E123" s="81" t="s">
        <v>764</v>
      </c>
      <c r="F123" s="81" t="s">
        <v>648</v>
      </c>
      <c r="G123" s="81" t="s">
        <v>616</v>
      </c>
      <c r="H123" s="98">
        <v>2</v>
      </c>
      <c r="I123" s="99" t="s">
        <v>765</v>
      </c>
      <c r="J123" s="40" t="s">
        <v>766</v>
      </c>
      <c r="K123" s="113" t="s">
        <v>767</v>
      </c>
      <c r="L123" s="102">
        <v>4</v>
      </c>
      <c r="M123" s="81">
        <v>4</v>
      </c>
      <c r="N123" s="81">
        <v>4</v>
      </c>
      <c r="O123" s="81">
        <v>4</v>
      </c>
      <c r="P123" s="100">
        <v>4</v>
      </c>
      <c r="Q123" s="101"/>
      <c r="R123" s="53">
        <f t="shared" si="46"/>
        <v>4</v>
      </c>
      <c r="S123" s="81">
        <v>1</v>
      </c>
      <c r="T123" s="103">
        <f t="shared" si="0"/>
        <v>4</v>
      </c>
      <c r="U123" s="104" t="str">
        <f t="shared" si="56"/>
        <v>ACEPTAR</v>
      </c>
      <c r="V123" s="82"/>
      <c r="W123" s="105"/>
      <c r="X123" s="81"/>
      <c r="Y123" s="81"/>
      <c r="Z123" s="83"/>
      <c r="AA123" s="81"/>
      <c r="AB123" s="106"/>
      <c r="AC123" s="107">
        <f t="shared" si="51"/>
        <v>4</v>
      </c>
      <c r="AD123" s="81">
        <f t="shared" si="52"/>
        <v>1</v>
      </c>
      <c r="AE123" s="103">
        <f t="shared" si="3"/>
        <v>4</v>
      </c>
      <c r="AF123" s="98" t="str">
        <f t="shared" si="45"/>
        <v/>
      </c>
      <c r="AG123" s="97"/>
      <c r="AH123" s="97"/>
    </row>
    <row r="124" spans="1:34" s="27" customFormat="1" ht="57.6" hidden="1">
      <c r="A124" s="28" t="s">
        <v>604</v>
      </c>
      <c r="B124" s="29" t="s">
        <v>768</v>
      </c>
      <c r="C124" s="81" t="s">
        <v>285</v>
      </c>
      <c r="D124" s="81" t="s">
        <v>769</v>
      </c>
      <c r="E124" s="81" t="s">
        <v>770</v>
      </c>
      <c r="F124" s="81" t="s">
        <v>536</v>
      </c>
      <c r="G124" s="81" t="s">
        <v>771</v>
      </c>
      <c r="H124" s="98">
        <v>2</v>
      </c>
      <c r="I124" s="99" t="s">
        <v>772</v>
      </c>
      <c r="J124" s="40" t="s">
        <v>773</v>
      </c>
      <c r="K124" s="39" t="s">
        <v>774</v>
      </c>
      <c r="L124" s="102">
        <v>3</v>
      </c>
      <c r="M124" s="81">
        <v>3</v>
      </c>
      <c r="N124" s="81">
        <v>3</v>
      </c>
      <c r="O124" s="81">
        <v>3</v>
      </c>
      <c r="P124" s="100">
        <v>3</v>
      </c>
      <c r="Q124" s="101"/>
      <c r="R124" s="53">
        <f t="shared" si="46"/>
        <v>3</v>
      </c>
      <c r="S124" s="81">
        <v>2</v>
      </c>
      <c r="T124" s="103">
        <f t="shared" si="0"/>
        <v>6</v>
      </c>
      <c r="U124" s="104" t="str">
        <f t="shared" si="56"/>
        <v>ACEPTAR</v>
      </c>
      <c r="V124" s="82"/>
      <c r="W124" s="105"/>
      <c r="X124" s="81"/>
      <c r="Y124" s="81"/>
      <c r="Z124" s="83"/>
      <c r="AA124" s="111"/>
      <c r="AB124" s="106"/>
      <c r="AC124" s="107">
        <f t="shared" si="51"/>
        <v>3</v>
      </c>
      <c r="AD124" s="81">
        <f t="shared" si="52"/>
        <v>2</v>
      </c>
      <c r="AE124" s="103">
        <f t="shared" si="3"/>
        <v>6</v>
      </c>
      <c r="AF124" s="98" t="str">
        <f t="shared" si="45"/>
        <v/>
      </c>
      <c r="AG124" s="97"/>
      <c r="AH124" s="97"/>
    </row>
    <row r="125" spans="1:34" s="27" customFormat="1" ht="97.95" hidden="1" customHeight="1">
      <c r="A125" s="28" t="s">
        <v>604</v>
      </c>
      <c r="B125" s="29" t="s">
        <v>768</v>
      </c>
      <c r="C125" s="81" t="s">
        <v>285</v>
      </c>
      <c r="D125" s="81" t="s">
        <v>769</v>
      </c>
      <c r="E125" s="81" t="s">
        <v>770</v>
      </c>
      <c r="F125" s="81" t="s">
        <v>536</v>
      </c>
      <c r="G125" s="81" t="s">
        <v>616</v>
      </c>
      <c r="H125" s="98">
        <v>3</v>
      </c>
      <c r="I125" s="99" t="s">
        <v>772</v>
      </c>
      <c r="J125" s="40" t="s">
        <v>773</v>
      </c>
      <c r="K125" s="39" t="s">
        <v>774</v>
      </c>
      <c r="L125" s="102">
        <v>1</v>
      </c>
      <c r="M125" s="81">
        <v>1</v>
      </c>
      <c r="N125" s="81">
        <v>1</v>
      </c>
      <c r="O125" s="81">
        <v>1</v>
      </c>
      <c r="P125" s="100">
        <v>1</v>
      </c>
      <c r="Q125" s="101"/>
      <c r="R125" s="53">
        <f t="shared" si="46"/>
        <v>1</v>
      </c>
      <c r="S125" s="81">
        <v>1</v>
      </c>
      <c r="T125" s="103">
        <f t="shared" ref="T125" si="81">R125*S125</f>
        <v>1</v>
      </c>
      <c r="U125" s="104" t="str">
        <f t="shared" ref="U125" si="82">IF(T125&lt;8,"ACEPTAR","MITIGAR")</f>
        <v>ACEPTAR</v>
      </c>
      <c r="V125" s="82"/>
      <c r="W125" s="105"/>
      <c r="X125" s="81"/>
      <c r="Y125" s="81"/>
      <c r="Z125" s="83"/>
      <c r="AA125" s="81"/>
      <c r="AB125" s="106"/>
      <c r="AC125" s="107">
        <f t="shared" si="51"/>
        <v>1</v>
      </c>
      <c r="AD125" s="81">
        <f t="shared" si="52"/>
        <v>1</v>
      </c>
      <c r="AE125" s="103">
        <f t="shared" ref="AE125" si="83">AC125*AD125</f>
        <v>1</v>
      </c>
      <c r="AF125" s="98" t="str">
        <f t="shared" si="45"/>
        <v/>
      </c>
      <c r="AG125" s="97"/>
      <c r="AH125" s="97"/>
    </row>
    <row r="126" spans="1:34" s="27" customFormat="1" ht="115.2">
      <c r="A126" s="28" t="s">
        <v>604</v>
      </c>
      <c r="B126" s="29" t="s">
        <v>775</v>
      </c>
      <c r="C126" s="81" t="s">
        <v>111</v>
      </c>
      <c r="D126" s="123" t="s">
        <v>776</v>
      </c>
      <c r="E126" s="29" t="s">
        <v>777</v>
      </c>
      <c r="F126" s="81" t="s">
        <v>536</v>
      </c>
      <c r="G126" s="81" t="s">
        <v>679</v>
      </c>
      <c r="H126" s="98">
        <v>3</v>
      </c>
      <c r="I126" s="99" t="s">
        <v>778</v>
      </c>
      <c r="J126" s="38" t="s">
        <v>779</v>
      </c>
      <c r="K126" s="39" t="s">
        <v>780</v>
      </c>
      <c r="L126" s="102">
        <v>4</v>
      </c>
      <c r="M126" s="81">
        <v>4</v>
      </c>
      <c r="N126" s="81">
        <v>4</v>
      </c>
      <c r="O126" s="81">
        <v>4</v>
      </c>
      <c r="P126" s="100"/>
      <c r="Q126" s="101"/>
      <c r="R126" s="53">
        <f t="shared" si="46"/>
        <v>4</v>
      </c>
      <c r="S126" s="81">
        <v>2</v>
      </c>
      <c r="T126" s="103">
        <f t="shared" si="0"/>
        <v>8</v>
      </c>
      <c r="U126" s="104" t="str">
        <f t="shared" si="56"/>
        <v>MITIGAR</v>
      </c>
      <c r="V126" s="82" t="s">
        <v>781</v>
      </c>
      <c r="W126" s="55"/>
      <c r="X126" s="81" t="s">
        <v>546</v>
      </c>
      <c r="Y126" s="81" t="s">
        <v>782</v>
      </c>
      <c r="Z126" s="83" t="s">
        <v>783</v>
      </c>
      <c r="AA126" s="81"/>
      <c r="AB126" s="106"/>
      <c r="AC126" s="107">
        <f t="shared" si="51"/>
        <v>4</v>
      </c>
      <c r="AD126" s="81">
        <f t="shared" si="52"/>
        <v>2</v>
      </c>
      <c r="AE126" s="103">
        <f t="shared" si="3"/>
        <v>8</v>
      </c>
      <c r="AF126" s="98" t="str">
        <f t="shared" si="45"/>
        <v>INSUFICIENTE</v>
      </c>
      <c r="AG126" s="97"/>
      <c r="AH126" s="97"/>
    </row>
    <row r="127" spans="1:34" s="27" customFormat="1" ht="100.8" hidden="1">
      <c r="A127" s="28" t="s">
        <v>604</v>
      </c>
      <c r="B127" s="29" t="s">
        <v>784</v>
      </c>
      <c r="C127" s="81" t="s">
        <v>785</v>
      </c>
      <c r="D127" s="81" t="s">
        <v>786</v>
      </c>
      <c r="E127" s="81" t="s">
        <v>787</v>
      </c>
      <c r="F127" s="81" t="s">
        <v>788</v>
      </c>
      <c r="G127" s="81" t="s">
        <v>789</v>
      </c>
      <c r="H127" s="98">
        <v>2</v>
      </c>
      <c r="I127" s="99" t="s">
        <v>790</v>
      </c>
      <c r="J127" s="40" t="s">
        <v>791</v>
      </c>
      <c r="K127" s="39" t="s">
        <v>792</v>
      </c>
      <c r="L127" s="102"/>
      <c r="M127" s="81">
        <v>3</v>
      </c>
      <c r="N127" s="81">
        <v>3</v>
      </c>
      <c r="O127" s="81"/>
      <c r="P127" s="100"/>
      <c r="Q127" s="101"/>
      <c r="R127" s="53">
        <f t="shared" si="46"/>
        <v>3</v>
      </c>
      <c r="S127" s="81">
        <v>2</v>
      </c>
      <c r="T127" s="103">
        <f t="shared" si="0"/>
        <v>6</v>
      </c>
      <c r="U127" s="104" t="str">
        <f t="shared" si="56"/>
        <v>ACEPTAR</v>
      </c>
      <c r="V127" s="82"/>
      <c r="W127" s="55"/>
      <c r="X127" s="81"/>
      <c r="Y127" s="84"/>
      <c r="Z127" s="83"/>
      <c r="AA127" s="81"/>
      <c r="AB127" s="106"/>
      <c r="AC127" s="107">
        <f t="shared" si="51"/>
        <v>3</v>
      </c>
      <c r="AD127" s="81">
        <f t="shared" si="52"/>
        <v>2</v>
      </c>
      <c r="AE127" s="103">
        <f t="shared" si="3"/>
        <v>6</v>
      </c>
      <c r="AF127" s="98" t="str">
        <f t="shared" si="45"/>
        <v/>
      </c>
      <c r="AG127" s="97"/>
      <c r="AH127" s="97"/>
    </row>
    <row r="128" spans="1:34" s="27" customFormat="1" ht="135.9" customHeight="1">
      <c r="A128" s="28" t="s">
        <v>604</v>
      </c>
      <c r="B128" s="29" t="s">
        <v>793</v>
      </c>
      <c r="C128" s="81" t="s">
        <v>386</v>
      </c>
      <c r="D128" s="123" t="s">
        <v>794</v>
      </c>
      <c r="E128" s="81" t="s">
        <v>777</v>
      </c>
      <c r="F128" s="81" t="s">
        <v>536</v>
      </c>
      <c r="G128" s="81" t="s">
        <v>679</v>
      </c>
      <c r="H128" s="98">
        <v>3</v>
      </c>
      <c r="I128" s="99" t="s">
        <v>795</v>
      </c>
      <c r="J128" s="40" t="s">
        <v>796</v>
      </c>
      <c r="K128" s="39" t="s">
        <v>797</v>
      </c>
      <c r="L128" s="102">
        <v>4</v>
      </c>
      <c r="M128" s="81">
        <v>4</v>
      </c>
      <c r="N128" s="81">
        <v>4</v>
      </c>
      <c r="O128" s="81"/>
      <c r="P128" s="100"/>
      <c r="Q128" s="101"/>
      <c r="R128" s="53">
        <f t="shared" si="46"/>
        <v>4</v>
      </c>
      <c r="S128" s="81">
        <v>2</v>
      </c>
      <c r="T128" s="103">
        <f t="shared" si="0"/>
        <v>8</v>
      </c>
      <c r="U128" s="104" t="str">
        <f t="shared" si="56"/>
        <v>MITIGAR</v>
      </c>
      <c r="V128" s="82" t="s">
        <v>781</v>
      </c>
      <c r="W128" s="55"/>
      <c r="X128" s="81" t="s">
        <v>546</v>
      </c>
      <c r="Y128" s="81" t="s">
        <v>782</v>
      </c>
      <c r="Z128" s="83" t="s">
        <v>783</v>
      </c>
      <c r="AA128" s="81"/>
      <c r="AB128" s="106"/>
      <c r="AC128" s="107">
        <f t="shared" si="51"/>
        <v>4</v>
      </c>
      <c r="AD128" s="81">
        <f t="shared" si="52"/>
        <v>2</v>
      </c>
      <c r="AE128" s="103">
        <f t="shared" si="3"/>
        <v>8</v>
      </c>
      <c r="AF128" s="98" t="str">
        <f t="shared" si="45"/>
        <v>INSUFICIENTE</v>
      </c>
      <c r="AG128" s="97"/>
      <c r="AH128" s="97"/>
    </row>
    <row r="129" spans="1:34" s="27" customFormat="1" ht="72" hidden="1">
      <c r="A129" s="28" t="s">
        <v>604</v>
      </c>
      <c r="B129" s="29" t="s">
        <v>798</v>
      </c>
      <c r="C129" s="81" t="s">
        <v>386</v>
      </c>
      <c r="D129" s="81" t="s">
        <v>799</v>
      </c>
      <c r="E129" s="81" t="s">
        <v>800</v>
      </c>
      <c r="F129" s="81" t="s">
        <v>801</v>
      </c>
      <c r="G129" s="81" t="s">
        <v>679</v>
      </c>
      <c r="H129" s="98">
        <v>3</v>
      </c>
      <c r="I129" s="99" t="s">
        <v>802</v>
      </c>
      <c r="J129" s="40" t="s">
        <v>803</v>
      </c>
      <c r="K129" s="39" t="s">
        <v>804</v>
      </c>
      <c r="L129" s="102">
        <v>3</v>
      </c>
      <c r="M129" s="81"/>
      <c r="N129" s="81"/>
      <c r="O129" s="81"/>
      <c r="P129" s="100"/>
      <c r="Q129" s="101"/>
      <c r="R129" s="53">
        <f t="shared" si="46"/>
        <v>3</v>
      </c>
      <c r="S129" s="81">
        <v>1</v>
      </c>
      <c r="T129" s="103">
        <f t="shared" si="0"/>
        <v>3</v>
      </c>
      <c r="U129" s="104" t="str">
        <f t="shared" si="56"/>
        <v>ACEPTAR</v>
      </c>
      <c r="V129" s="82"/>
      <c r="W129" s="105"/>
      <c r="X129" s="81"/>
      <c r="Y129" s="81"/>
      <c r="Z129" s="83"/>
      <c r="AA129" s="81"/>
      <c r="AB129" s="106"/>
      <c r="AC129" s="107">
        <f t="shared" si="51"/>
        <v>3</v>
      </c>
      <c r="AD129" s="81">
        <f t="shared" si="52"/>
        <v>1</v>
      </c>
      <c r="AE129" s="103">
        <f t="shared" si="3"/>
        <v>3</v>
      </c>
      <c r="AF129" s="98" t="str">
        <f t="shared" si="45"/>
        <v/>
      </c>
      <c r="AG129" s="97"/>
      <c r="AH129" s="97"/>
    </row>
    <row r="130" spans="1:34" s="27" customFormat="1" ht="115.2" hidden="1">
      <c r="A130" s="28" t="s">
        <v>805</v>
      </c>
      <c r="B130" s="29" t="s">
        <v>806</v>
      </c>
      <c r="C130" s="81" t="s">
        <v>285</v>
      </c>
      <c r="D130" s="81" t="s">
        <v>807</v>
      </c>
      <c r="E130" s="81" t="s">
        <v>808</v>
      </c>
      <c r="F130" s="81" t="s">
        <v>809</v>
      </c>
      <c r="G130" s="81" t="s">
        <v>616</v>
      </c>
      <c r="H130" s="98">
        <v>3</v>
      </c>
      <c r="I130" s="99" t="s">
        <v>810</v>
      </c>
      <c r="J130" s="40" t="s">
        <v>811</v>
      </c>
      <c r="K130" s="39" t="s">
        <v>812</v>
      </c>
      <c r="L130" s="102">
        <v>0</v>
      </c>
      <c r="M130" s="81">
        <v>0</v>
      </c>
      <c r="N130" s="81">
        <v>0</v>
      </c>
      <c r="O130" s="81">
        <v>0</v>
      </c>
      <c r="P130" s="100"/>
      <c r="Q130" s="101"/>
      <c r="R130" s="53">
        <f t="shared" si="46"/>
        <v>0</v>
      </c>
      <c r="S130" s="81">
        <v>0</v>
      </c>
      <c r="T130" s="103">
        <f t="shared" si="0"/>
        <v>0</v>
      </c>
      <c r="U130" s="104" t="str">
        <f t="shared" si="56"/>
        <v>ACEPTAR</v>
      </c>
      <c r="V130" s="82"/>
      <c r="W130" s="105"/>
      <c r="X130" s="81"/>
      <c r="Y130" s="81"/>
      <c r="Z130" s="83"/>
      <c r="AA130" s="81"/>
      <c r="AB130" s="106"/>
      <c r="AC130" s="107">
        <f t="shared" si="51"/>
        <v>0</v>
      </c>
      <c r="AD130" s="81">
        <f t="shared" si="52"/>
        <v>0</v>
      </c>
      <c r="AE130" s="103">
        <f t="shared" si="3"/>
        <v>0</v>
      </c>
      <c r="AF130" s="98" t="str">
        <f t="shared" ref="AF130:AF193" si="84">IF(U130="MITIGAR",IF(AE130&lt;8,"SI",IF(AE130&lt;=T130,"INSUFICIENTE","NO")),"")</f>
        <v/>
      </c>
      <c r="AG130" s="97"/>
      <c r="AH130" s="97"/>
    </row>
    <row r="131" spans="1:34" s="27" customFormat="1" ht="115.2" hidden="1">
      <c r="A131" s="28" t="s">
        <v>805</v>
      </c>
      <c r="B131" s="29" t="s">
        <v>813</v>
      </c>
      <c r="C131" s="81" t="s">
        <v>285</v>
      </c>
      <c r="D131" s="81" t="s">
        <v>814</v>
      </c>
      <c r="E131" s="81" t="s">
        <v>808</v>
      </c>
      <c r="F131" s="81" t="s">
        <v>809</v>
      </c>
      <c r="G131" s="81" t="s">
        <v>616</v>
      </c>
      <c r="H131" s="98">
        <v>3</v>
      </c>
      <c r="I131" s="99" t="s">
        <v>810</v>
      </c>
      <c r="J131" s="40" t="s">
        <v>811</v>
      </c>
      <c r="K131" s="39" t="s">
        <v>812</v>
      </c>
      <c r="L131" s="102">
        <v>0</v>
      </c>
      <c r="M131" s="81">
        <v>0</v>
      </c>
      <c r="N131" s="81">
        <v>0</v>
      </c>
      <c r="O131" s="81">
        <v>0</v>
      </c>
      <c r="P131" s="100"/>
      <c r="Q131" s="101"/>
      <c r="R131" s="53">
        <f t="shared" ref="R131:R132" si="85">MAX(L131:Q131)</f>
        <v>0</v>
      </c>
      <c r="S131" s="81">
        <v>0</v>
      </c>
      <c r="T131" s="103">
        <f t="shared" si="0"/>
        <v>0</v>
      </c>
      <c r="U131" s="104" t="str">
        <f t="shared" si="56"/>
        <v>ACEPTAR</v>
      </c>
      <c r="V131" s="82"/>
      <c r="W131" s="105"/>
      <c r="X131" s="81"/>
      <c r="Y131" s="81"/>
      <c r="Z131" s="83"/>
      <c r="AA131" s="81"/>
      <c r="AB131" s="106"/>
      <c r="AC131" s="107">
        <f t="shared" si="51"/>
        <v>0</v>
      </c>
      <c r="AD131" s="81">
        <f t="shared" si="52"/>
        <v>0</v>
      </c>
      <c r="AE131" s="103">
        <f t="shared" si="3"/>
        <v>0</v>
      </c>
      <c r="AF131" s="98" t="str">
        <f t="shared" si="84"/>
        <v/>
      </c>
      <c r="AG131" s="97"/>
      <c r="AH131" s="97"/>
    </row>
    <row r="132" spans="1:34" s="27" customFormat="1" ht="86.4" hidden="1">
      <c r="A132" s="28" t="s">
        <v>805</v>
      </c>
      <c r="B132" s="29" t="s">
        <v>815</v>
      </c>
      <c r="C132" s="81" t="s">
        <v>386</v>
      </c>
      <c r="D132" s="81" t="s">
        <v>816</v>
      </c>
      <c r="E132" s="81" t="s">
        <v>817</v>
      </c>
      <c r="F132" s="81" t="s">
        <v>809</v>
      </c>
      <c r="G132" s="81" t="s">
        <v>616</v>
      </c>
      <c r="H132" s="98">
        <v>3</v>
      </c>
      <c r="I132" s="99" t="s">
        <v>818</v>
      </c>
      <c r="J132" s="40" t="s">
        <v>819</v>
      </c>
      <c r="K132" s="39" t="s">
        <v>820</v>
      </c>
      <c r="L132" s="102">
        <v>0</v>
      </c>
      <c r="M132" s="81">
        <v>0</v>
      </c>
      <c r="N132" s="81">
        <v>0</v>
      </c>
      <c r="O132" s="81">
        <v>0</v>
      </c>
      <c r="P132" s="100"/>
      <c r="Q132" s="101"/>
      <c r="R132" s="53">
        <f t="shared" si="85"/>
        <v>0</v>
      </c>
      <c r="S132" s="81">
        <v>0</v>
      </c>
      <c r="T132" s="103">
        <f t="shared" si="0"/>
        <v>0</v>
      </c>
      <c r="U132" s="104" t="str">
        <f t="shared" si="56"/>
        <v>ACEPTAR</v>
      </c>
      <c r="V132" s="82"/>
      <c r="W132" s="105"/>
      <c r="X132" s="81"/>
      <c r="Y132" s="81"/>
      <c r="Z132" s="83"/>
      <c r="AA132" s="81"/>
      <c r="AB132" s="106"/>
      <c r="AC132" s="107">
        <f t="shared" si="51"/>
        <v>0</v>
      </c>
      <c r="AD132" s="81">
        <f t="shared" si="52"/>
        <v>0</v>
      </c>
      <c r="AE132" s="103">
        <f t="shared" si="3"/>
        <v>0</v>
      </c>
      <c r="AF132" s="98" t="str">
        <f t="shared" si="84"/>
        <v/>
      </c>
      <c r="AG132" s="97"/>
      <c r="AH132" s="97"/>
    </row>
    <row r="133" spans="1:34" s="27" customFormat="1" ht="72" hidden="1">
      <c r="A133" s="28" t="s">
        <v>805</v>
      </c>
      <c r="B133" s="29" t="s">
        <v>821</v>
      </c>
      <c r="C133" s="81" t="s">
        <v>285</v>
      </c>
      <c r="D133" s="81" t="s">
        <v>822</v>
      </c>
      <c r="E133" s="81" t="s">
        <v>817</v>
      </c>
      <c r="F133" s="114" t="s">
        <v>809</v>
      </c>
      <c r="G133" s="81" t="s">
        <v>616</v>
      </c>
      <c r="H133" s="98">
        <v>3</v>
      </c>
      <c r="I133" s="115" t="s">
        <v>823</v>
      </c>
      <c r="J133" s="38" t="s">
        <v>824</v>
      </c>
      <c r="K133" s="43" t="s">
        <v>825</v>
      </c>
      <c r="L133" s="102">
        <v>0</v>
      </c>
      <c r="M133" s="81"/>
      <c r="N133" s="81"/>
      <c r="O133" s="81"/>
      <c r="P133" s="100"/>
      <c r="Q133" s="101"/>
      <c r="R133" s="53">
        <f t="shared" ref="R133:R196" si="86">MAX(L133:Q133)</f>
        <v>0</v>
      </c>
      <c r="S133" s="114">
        <v>0</v>
      </c>
      <c r="T133" s="116">
        <f t="shared" si="0"/>
        <v>0</v>
      </c>
      <c r="U133" s="117" t="s">
        <v>108</v>
      </c>
      <c r="V133" s="118"/>
      <c r="W133" s="119"/>
      <c r="X133" s="114"/>
      <c r="Y133" s="114"/>
      <c r="Z133" s="120"/>
      <c r="AA133" s="114"/>
      <c r="AB133" s="121"/>
      <c r="AC133" s="107">
        <f t="shared" ref="AC133:AC196" si="87">R133</f>
        <v>0</v>
      </c>
      <c r="AD133" s="81">
        <f t="shared" ref="AD133:AD196" si="88">S133</f>
        <v>0</v>
      </c>
      <c r="AE133" s="116">
        <f t="shared" si="3"/>
        <v>0</v>
      </c>
      <c r="AF133" s="98" t="str">
        <f t="shared" si="84"/>
        <v/>
      </c>
      <c r="AG133" s="97"/>
      <c r="AH133" s="97"/>
    </row>
    <row r="134" spans="1:34" s="27" customFormat="1" ht="72" hidden="1">
      <c r="A134" s="28" t="s">
        <v>805</v>
      </c>
      <c r="B134" s="29" t="s">
        <v>826</v>
      </c>
      <c r="C134" s="81" t="s">
        <v>111</v>
      </c>
      <c r="D134" s="81" t="s">
        <v>827</v>
      </c>
      <c r="E134" s="81" t="s">
        <v>817</v>
      </c>
      <c r="F134" s="81" t="s">
        <v>809</v>
      </c>
      <c r="G134" s="81" t="s">
        <v>616</v>
      </c>
      <c r="H134" s="98">
        <v>3</v>
      </c>
      <c r="I134" s="99" t="s">
        <v>828</v>
      </c>
      <c r="J134" s="100" t="s">
        <v>829</v>
      </c>
      <c r="K134" s="101" t="s">
        <v>830</v>
      </c>
      <c r="L134" s="102">
        <v>0</v>
      </c>
      <c r="M134" s="81">
        <v>0</v>
      </c>
      <c r="N134" s="81">
        <v>0</v>
      </c>
      <c r="O134" s="81">
        <v>0</v>
      </c>
      <c r="P134" s="100"/>
      <c r="Q134" s="101"/>
      <c r="R134" s="53">
        <f t="shared" si="86"/>
        <v>0</v>
      </c>
      <c r="S134" s="81">
        <v>0</v>
      </c>
      <c r="T134" s="103">
        <f t="shared" si="0"/>
        <v>0</v>
      </c>
      <c r="U134" s="104" t="str">
        <f t="shared" ref="U134:U196" si="89">IF(T134&lt;8,"ACEPTAR","MITIGAR")</f>
        <v>ACEPTAR</v>
      </c>
      <c r="V134" s="82"/>
      <c r="W134" s="105"/>
      <c r="X134" s="81"/>
      <c r="Y134" s="84"/>
      <c r="Z134" s="83"/>
      <c r="AA134" s="81"/>
      <c r="AB134" s="106"/>
      <c r="AC134" s="107">
        <f t="shared" si="87"/>
        <v>0</v>
      </c>
      <c r="AD134" s="81">
        <f t="shared" si="88"/>
        <v>0</v>
      </c>
      <c r="AE134" s="103">
        <f t="shared" si="3"/>
        <v>0</v>
      </c>
      <c r="AF134" s="98" t="str">
        <f t="shared" si="84"/>
        <v/>
      </c>
      <c r="AG134" s="97"/>
      <c r="AH134" s="97"/>
    </row>
    <row r="135" spans="1:34" s="27" customFormat="1" ht="94.65" hidden="1" customHeight="1">
      <c r="A135" s="28" t="s">
        <v>805</v>
      </c>
      <c r="B135" s="29" t="s">
        <v>831</v>
      </c>
      <c r="C135" s="81" t="s">
        <v>285</v>
      </c>
      <c r="D135" s="81" t="s">
        <v>832</v>
      </c>
      <c r="E135" s="81" t="s">
        <v>817</v>
      </c>
      <c r="F135" s="81" t="s">
        <v>833</v>
      </c>
      <c r="G135" s="81" t="s">
        <v>834</v>
      </c>
      <c r="H135" s="98">
        <v>3</v>
      </c>
      <c r="I135" s="99" t="s">
        <v>835</v>
      </c>
      <c r="J135" s="40" t="s">
        <v>836</v>
      </c>
      <c r="K135" s="39" t="s">
        <v>837</v>
      </c>
      <c r="L135" s="102"/>
      <c r="M135" s="81"/>
      <c r="N135" s="81">
        <v>4</v>
      </c>
      <c r="O135" s="81">
        <v>4</v>
      </c>
      <c r="P135" s="100"/>
      <c r="Q135" s="101"/>
      <c r="R135" s="53">
        <f t="shared" si="86"/>
        <v>4</v>
      </c>
      <c r="S135" s="81">
        <v>1</v>
      </c>
      <c r="T135" s="103">
        <f t="shared" si="0"/>
        <v>4</v>
      </c>
      <c r="U135" s="104" t="str">
        <f t="shared" si="89"/>
        <v>ACEPTAR</v>
      </c>
      <c r="V135" s="82"/>
      <c r="W135" s="105"/>
      <c r="X135" s="81"/>
      <c r="Y135" s="81"/>
      <c r="Z135" s="83"/>
      <c r="AA135" s="81"/>
      <c r="AB135" s="106"/>
      <c r="AC135" s="107">
        <f t="shared" si="87"/>
        <v>4</v>
      </c>
      <c r="AD135" s="81">
        <f t="shared" si="88"/>
        <v>1</v>
      </c>
      <c r="AE135" s="103">
        <f t="shared" si="3"/>
        <v>4</v>
      </c>
      <c r="AF135" s="98" t="str">
        <f t="shared" si="84"/>
        <v/>
      </c>
      <c r="AG135" s="97"/>
      <c r="AH135" s="97"/>
    </row>
    <row r="136" spans="1:34" s="27" customFormat="1" ht="100.5" hidden="1" customHeight="1">
      <c r="A136" s="28" t="s">
        <v>805</v>
      </c>
      <c r="B136" s="29" t="s">
        <v>838</v>
      </c>
      <c r="C136" s="81" t="s">
        <v>285</v>
      </c>
      <c r="D136" s="81" t="s">
        <v>839</v>
      </c>
      <c r="E136" s="81" t="s">
        <v>840</v>
      </c>
      <c r="F136" s="81" t="s">
        <v>809</v>
      </c>
      <c r="G136" s="81" t="s">
        <v>616</v>
      </c>
      <c r="H136" s="98">
        <v>3</v>
      </c>
      <c r="I136" s="99" t="s">
        <v>841</v>
      </c>
      <c r="J136" s="40" t="s">
        <v>842</v>
      </c>
      <c r="K136" s="39" t="s">
        <v>843</v>
      </c>
      <c r="L136" s="102">
        <v>0</v>
      </c>
      <c r="M136" s="81">
        <v>0</v>
      </c>
      <c r="N136" s="81">
        <v>0</v>
      </c>
      <c r="O136" s="81"/>
      <c r="P136" s="100"/>
      <c r="Q136" s="101"/>
      <c r="R136" s="53">
        <f t="shared" si="86"/>
        <v>0</v>
      </c>
      <c r="S136" s="81">
        <v>0</v>
      </c>
      <c r="T136" s="103">
        <f t="shared" si="0"/>
        <v>0</v>
      </c>
      <c r="U136" s="104" t="str">
        <f t="shared" si="89"/>
        <v>ACEPTAR</v>
      </c>
      <c r="V136" s="82"/>
      <c r="W136" s="105"/>
      <c r="X136" s="81"/>
      <c r="Y136" s="81"/>
      <c r="Z136" s="83"/>
      <c r="AA136" s="81"/>
      <c r="AB136" s="106"/>
      <c r="AC136" s="107">
        <f t="shared" si="87"/>
        <v>0</v>
      </c>
      <c r="AD136" s="81">
        <f t="shared" si="88"/>
        <v>0</v>
      </c>
      <c r="AE136" s="103">
        <f t="shared" si="3"/>
        <v>0</v>
      </c>
      <c r="AF136" s="98" t="str">
        <f t="shared" si="84"/>
        <v/>
      </c>
      <c r="AG136" s="97"/>
      <c r="AH136" s="97"/>
    </row>
    <row r="137" spans="1:34" s="27" customFormat="1" ht="84.9" hidden="1" customHeight="1">
      <c r="A137" s="28" t="s">
        <v>805</v>
      </c>
      <c r="B137" s="29" t="s">
        <v>844</v>
      </c>
      <c r="C137" s="81" t="s">
        <v>285</v>
      </c>
      <c r="D137" s="81" t="s">
        <v>845</v>
      </c>
      <c r="E137" s="81" t="s">
        <v>846</v>
      </c>
      <c r="F137" s="81" t="s">
        <v>809</v>
      </c>
      <c r="G137" s="81" t="s">
        <v>847</v>
      </c>
      <c r="H137" s="98">
        <v>2</v>
      </c>
      <c r="I137" s="99" t="s">
        <v>841</v>
      </c>
      <c r="J137" s="40" t="s">
        <v>842</v>
      </c>
      <c r="K137" s="39" t="s">
        <v>843</v>
      </c>
      <c r="L137" s="102">
        <v>0</v>
      </c>
      <c r="M137" s="81">
        <v>0</v>
      </c>
      <c r="N137" s="81">
        <v>0</v>
      </c>
      <c r="O137" s="81"/>
      <c r="P137" s="100"/>
      <c r="Q137" s="101"/>
      <c r="R137" s="53">
        <f t="shared" si="86"/>
        <v>0</v>
      </c>
      <c r="S137" s="81">
        <v>0</v>
      </c>
      <c r="T137" s="103">
        <f t="shared" si="0"/>
        <v>0</v>
      </c>
      <c r="U137" s="104" t="str">
        <f t="shared" si="89"/>
        <v>ACEPTAR</v>
      </c>
      <c r="V137" s="82"/>
      <c r="W137" s="105"/>
      <c r="X137" s="81"/>
      <c r="Y137" s="81"/>
      <c r="Z137" s="83"/>
      <c r="AA137" s="81"/>
      <c r="AB137" s="106"/>
      <c r="AC137" s="107">
        <f t="shared" si="87"/>
        <v>0</v>
      </c>
      <c r="AD137" s="81">
        <f t="shared" si="88"/>
        <v>0</v>
      </c>
      <c r="AE137" s="103">
        <f t="shared" si="3"/>
        <v>0</v>
      </c>
      <c r="AF137" s="98" t="str">
        <f t="shared" si="84"/>
        <v/>
      </c>
      <c r="AG137" s="97"/>
      <c r="AH137" s="97"/>
    </row>
    <row r="138" spans="1:34" s="27" customFormat="1" ht="72" hidden="1">
      <c r="A138" s="28" t="s">
        <v>805</v>
      </c>
      <c r="B138" s="29" t="s">
        <v>848</v>
      </c>
      <c r="C138" s="81" t="s">
        <v>111</v>
      </c>
      <c r="D138" s="81" t="s">
        <v>849</v>
      </c>
      <c r="E138" s="81" t="s">
        <v>850</v>
      </c>
      <c r="F138" s="81" t="s">
        <v>851</v>
      </c>
      <c r="G138" s="81" t="s">
        <v>852</v>
      </c>
      <c r="H138" s="98">
        <v>2</v>
      </c>
      <c r="I138" s="99" t="s">
        <v>853</v>
      </c>
      <c r="J138" s="38" t="s">
        <v>854</v>
      </c>
      <c r="K138" s="39" t="s">
        <v>855</v>
      </c>
      <c r="L138" s="102"/>
      <c r="M138" s="81"/>
      <c r="N138" s="81">
        <v>3</v>
      </c>
      <c r="O138" s="81"/>
      <c r="P138" s="100"/>
      <c r="Q138" s="101">
        <v>3</v>
      </c>
      <c r="R138" s="53">
        <f t="shared" si="86"/>
        <v>3</v>
      </c>
      <c r="S138" s="81">
        <v>2</v>
      </c>
      <c r="T138" s="103">
        <f t="shared" si="0"/>
        <v>6</v>
      </c>
      <c r="U138" s="104" t="str">
        <f t="shared" si="89"/>
        <v>ACEPTAR</v>
      </c>
      <c r="V138" s="82"/>
      <c r="W138" s="105"/>
      <c r="X138" s="81"/>
      <c r="Y138" s="81"/>
      <c r="Z138" s="83"/>
      <c r="AA138" s="81"/>
      <c r="AB138" s="106"/>
      <c r="AC138" s="107">
        <f t="shared" si="87"/>
        <v>3</v>
      </c>
      <c r="AD138" s="81">
        <f t="shared" si="88"/>
        <v>2</v>
      </c>
      <c r="AE138" s="103">
        <f t="shared" si="3"/>
        <v>6</v>
      </c>
      <c r="AF138" s="98" t="str">
        <f t="shared" si="84"/>
        <v/>
      </c>
      <c r="AG138" s="97"/>
      <c r="AH138" s="97"/>
    </row>
    <row r="139" spans="1:34" s="27" customFormat="1" ht="72" hidden="1">
      <c r="A139" s="28" t="s">
        <v>805</v>
      </c>
      <c r="B139" s="29" t="s">
        <v>856</v>
      </c>
      <c r="C139" s="81" t="s">
        <v>391</v>
      </c>
      <c r="D139" s="81" t="s">
        <v>857</v>
      </c>
      <c r="E139" s="81" t="s">
        <v>858</v>
      </c>
      <c r="F139" s="81" t="s">
        <v>859</v>
      </c>
      <c r="G139" s="81" t="s">
        <v>860</v>
      </c>
      <c r="H139" s="98">
        <v>2</v>
      </c>
      <c r="I139" s="99" t="s">
        <v>861</v>
      </c>
      <c r="J139" s="40" t="s">
        <v>862</v>
      </c>
      <c r="K139" s="39" t="s">
        <v>863</v>
      </c>
      <c r="L139" s="102">
        <v>3</v>
      </c>
      <c r="M139" s="81">
        <v>3</v>
      </c>
      <c r="N139" s="81">
        <v>3</v>
      </c>
      <c r="O139" s="81"/>
      <c r="P139" s="100"/>
      <c r="Q139" s="101"/>
      <c r="R139" s="53">
        <f t="shared" si="86"/>
        <v>3</v>
      </c>
      <c r="S139" s="81">
        <v>1</v>
      </c>
      <c r="T139" s="103">
        <f t="shared" si="0"/>
        <v>3</v>
      </c>
      <c r="U139" s="104" t="str">
        <f t="shared" si="89"/>
        <v>ACEPTAR</v>
      </c>
      <c r="V139" s="82"/>
      <c r="W139" s="105"/>
      <c r="X139" s="81"/>
      <c r="Y139" s="81"/>
      <c r="Z139" s="83"/>
      <c r="AA139" s="81"/>
      <c r="AB139" s="106"/>
      <c r="AC139" s="107">
        <f t="shared" si="87"/>
        <v>3</v>
      </c>
      <c r="AD139" s="81">
        <f t="shared" si="88"/>
        <v>1</v>
      </c>
      <c r="AE139" s="103">
        <f t="shared" si="3"/>
        <v>3</v>
      </c>
      <c r="AF139" s="98" t="str">
        <f t="shared" si="84"/>
        <v/>
      </c>
      <c r="AG139" s="97"/>
      <c r="AH139" s="97"/>
    </row>
    <row r="140" spans="1:34" s="27" customFormat="1" ht="72" hidden="1">
      <c r="A140" s="28" t="s">
        <v>805</v>
      </c>
      <c r="B140" s="29" t="s">
        <v>864</v>
      </c>
      <c r="C140" s="81" t="s">
        <v>111</v>
      </c>
      <c r="D140" s="81" t="s">
        <v>865</v>
      </c>
      <c r="E140" s="81" t="s">
        <v>866</v>
      </c>
      <c r="F140" s="81" t="s">
        <v>851</v>
      </c>
      <c r="G140" s="81" t="s">
        <v>852</v>
      </c>
      <c r="H140" s="98">
        <v>2</v>
      </c>
      <c r="I140" s="99" t="s">
        <v>867</v>
      </c>
      <c r="J140" s="40" t="s">
        <v>868</v>
      </c>
      <c r="K140" s="39" t="s">
        <v>869</v>
      </c>
      <c r="L140" s="102"/>
      <c r="M140" s="81"/>
      <c r="N140" s="81">
        <v>2</v>
      </c>
      <c r="O140" s="81"/>
      <c r="P140" s="100"/>
      <c r="Q140" s="101"/>
      <c r="R140" s="53">
        <f t="shared" si="86"/>
        <v>2</v>
      </c>
      <c r="S140" s="81">
        <v>1</v>
      </c>
      <c r="T140" s="103">
        <f t="shared" si="0"/>
        <v>2</v>
      </c>
      <c r="U140" s="104" t="str">
        <f t="shared" si="89"/>
        <v>ACEPTAR</v>
      </c>
      <c r="V140" s="82"/>
      <c r="W140" s="105"/>
      <c r="X140" s="81"/>
      <c r="Y140" s="81"/>
      <c r="Z140" s="83"/>
      <c r="AA140" s="81"/>
      <c r="AB140" s="106"/>
      <c r="AC140" s="107">
        <f t="shared" si="87"/>
        <v>2</v>
      </c>
      <c r="AD140" s="81">
        <f t="shared" si="88"/>
        <v>1</v>
      </c>
      <c r="AE140" s="103">
        <f t="shared" si="3"/>
        <v>2</v>
      </c>
      <c r="AF140" s="98" t="str">
        <f t="shared" si="84"/>
        <v/>
      </c>
      <c r="AG140" s="97"/>
      <c r="AH140" s="97"/>
    </row>
    <row r="141" spans="1:34" s="27" customFormat="1" ht="104.7" hidden="1" customHeight="1">
      <c r="A141" s="28" t="s">
        <v>805</v>
      </c>
      <c r="B141" s="29" t="s">
        <v>870</v>
      </c>
      <c r="C141" s="81" t="s">
        <v>871</v>
      </c>
      <c r="D141" s="81" t="s">
        <v>872</v>
      </c>
      <c r="E141" s="81" t="s">
        <v>873</v>
      </c>
      <c r="F141" s="81" t="s">
        <v>874</v>
      </c>
      <c r="G141" s="81" t="s">
        <v>860</v>
      </c>
      <c r="H141" s="98">
        <v>2</v>
      </c>
      <c r="I141" s="99" t="s">
        <v>875</v>
      </c>
      <c r="J141" s="40" t="s">
        <v>876</v>
      </c>
      <c r="K141" s="39" t="s">
        <v>877</v>
      </c>
      <c r="L141" s="102"/>
      <c r="M141" s="81"/>
      <c r="N141" s="81">
        <v>3</v>
      </c>
      <c r="O141" s="81"/>
      <c r="P141" s="100"/>
      <c r="Q141" s="101"/>
      <c r="R141" s="53">
        <f t="shared" si="86"/>
        <v>3</v>
      </c>
      <c r="S141" s="81">
        <v>2</v>
      </c>
      <c r="T141" s="103">
        <f t="shared" si="0"/>
        <v>6</v>
      </c>
      <c r="U141" s="104" t="str">
        <f t="shared" si="89"/>
        <v>ACEPTAR</v>
      </c>
      <c r="V141" s="82"/>
      <c r="W141" s="55"/>
      <c r="X141" s="81"/>
      <c r="Y141" s="81"/>
      <c r="Z141" s="83"/>
      <c r="AA141" s="81"/>
      <c r="AB141" s="106"/>
      <c r="AC141" s="107">
        <f t="shared" si="87"/>
        <v>3</v>
      </c>
      <c r="AD141" s="81">
        <f t="shared" si="88"/>
        <v>2</v>
      </c>
      <c r="AE141" s="103">
        <f t="shared" si="3"/>
        <v>6</v>
      </c>
      <c r="AF141" s="98" t="str">
        <f t="shared" si="84"/>
        <v/>
      </c>
      <c r="AG141" s="97"/>
      <c r="AH141" s="97"/>
    </row>
    <row r="142" spans="1:34" s="27" customFormat="1" ht="115.2" hidden="1">
      <c r="A142" s="28" t="s">
        <v>805</v>
      </c>
      <c r="B142" s="29" t="s">
        <v>878</v>
      </c>
      <c r="C142" s="81" t="s">
        <v>879</v>
      </c>
      <c r="D142" s="81" t="s">
        <v>880</v>
      </c>
      <c r="E142" s="81" t="s">
        <v>881</v>
      </c>
      <c r="F142" s="81" t="s">
        <v>882</v>
      </c>
      <c r="G142" s="81" t="s">
        <v>883</v>
      </c>
      <c r="H142" s="98">
        <v>2</v>
      </c>
      <c r="I142" s="99" t="s">
        <v>884</v>
      </c>
      <c r="J142" s="40" t="s">
        <v>885</v>
      </c>
      <c r="K142" s="39" t="s">
        <v>886</v>
      </c>
      <c r="L142" s="102"/>
      <c r="M142" s="81"/>
      <c r="N142" s="81">
        <v>3</v>
      </c>
      <c r="O142" s="81">
        <v>3</v>
      </c>
      <c r="P142" s="100">
        <v>3</v>
      </c>
      <c r="Q142" s="101">
        <v>3</v>
      </c>
      <c r="R142" s="53">
        <f t="shared" si="86"/>
        <v>3</v>
      </c>
      <c r="S142" s="81">
        <v>1</v>
      </c>
      <c r="T142" s="103">
        <f t="shared" si="0"/>
        <v>3</v>
      </c>
      <c r="U142" s="104" t="str">
        <f t="shared" si="89"/>
        <v>ACEPTAR</v>
      </c>
      <c r="V142" s="82"/>
      <c r="W142" s="105"/>
      <c r="X142" s="81"/>
      <c r="Y142" s="81"/>
      <c r="Z142" s="83"/>
      <c r="AA142" s="81"/>
      <c r="AB142" s="106"/>
      <c r="AC142" s="107">
        <f t="shared" si="87"/>
        <v>3</v>
      </c>
      <c r="AD142" s="81">
        <f t="shared" si="88"/>
        <v>1</v>
      </c>
      <c r="AE142" s="103">
        <f t="shared" si="3"/>
        <v>3</v>
      </c>
      <c r="AF142" s="98" t="str">
        <f t="shared" si="84"/>
        <v/>
      </c>
      <c r="AG142" s="97"/>
      <c r="AH142" s="97"/>
    </row>
    <row r="143" spans="1:34" s="27" customFormat="1" ht="115.2" hidden="1">
      <c r="A143" s="28" t="s">
        <v>805</v>
      </c>
      <c r="B143" s="29" t="s">
        <v>887</v>
      </c>
      <c r="C143" s="81" t="s">
        <v>386</v>
      </c>
      <c r="D143" s="81" t="s">
        <v>888</v>
      </c>
      <c r="E143" s="81" t="s">
        <v>889</v>
      </c>
      <c r="F143" s="81" t="s">
        <v>890</v>
      </c>
      <c r="G143" s="81" t="s">
        <v>883</v>
      </c>
      <c r="H143" s="98">
        <v>2</v>
      </c>
      <c r="I143" s="99" t="s">
        <v>891</v>
      </c>
      <c r="J143" s="40" t="s">
        <v>836</v>
      </c>
      <c r="K143" s="39" t="s">
        <v>892</v>
      </c>
      <c r="L143" s="102"/>
      <c r="M143" s="81"/>
      <c r="N143" s="81">
        <v>3</v>
      </c>
      <c r="O143" s="81">
        <v>3</v>
      </c>
      <c r="P143" s="81">
        <v>3</v>
      </c>
      <c r="Q143" s="101"/>
      <c r="R143" s="53">
        <f t="shared" si="86"/>
        <v>3</v>
      </c>
      <c r="S143" s="81">
        <v>1</v>
      </c>
      <c r="T143" s="103">
        <f t="shared" si="0"/>
        <v>3</v>
      </c>
      <c r="U143" s="104" t="str">
        <f t="shared" si="89"/>
        <v>ACEPTAR</v>
      </c>
      <c r="V143" s="82"/>
      <c r="W143" s="105"/>
      <c r="X143" s="81"/>
      <c r="Y143" s="81"/>
      <c r="Z143" s="83"/>
      <c r="AA143" s="81"/>
      <c r="AB143" s="106"/>
      <c r="AC143" s="107">
        <f t="shared" si="87"/>
        <v>3</v>
      </c>
      <c r="AD143" s="81">
        <f t="shared" si="88"/>
        <v>1</v>
      </c>
      <c r="AE143" s="103">
        <f t="shared" si="3"/>
        <v>3</v>
      </c>
      <c r="AF143" s="98" t="str">
        <f t="shared" si="84"/>
        <v/>
      </c>
      <c r="AG143" s="97"/>
      <c r="AH143" s="97"/>
    </row>
    <row r="144" spans="1:34" s="27" customFormat="1" ht="57.6" hidden="1">
      <c r="A144" s="28" t="s">
        <v>805</v>
      </c>
      <c r="B144" s="29" t="s">
        <v>893</v>
      </c>
      <c r="C144" s="81" t="s">
        <v>111</v>
      </c>
      <c r="D144" s="81" t="s">
        <v>894</v>
      </c>
      <c r="E144" s="81" t="s">
        <v>895</v>
      </c>
      <c r="F144" s="81" t="s">
        <v>896</v>
      </c>
      <c r="G144" s="81" t="s">
        <v>897</v>
      </c>
      <c r="H144" s="98">
        <v>2</v>
      </c>
      <c r="I144" s="99" t="s">
        <v>898</v>
      </c>
      <c r="J144" s="40" t="s">
        <v>899</v>
      </c>
      <c r="K144" s="39" t="s">
        <v>900</v>
      </c>
      <c r="L144" s="102"/>
      <c r="M144" s="81"/>
      <c r="N144" s="81">
        <v>3</v>
      </c>
      <c r="O144" s="81"/>
      <c r="P144" s="100"/>
      <c r="Q144" s="101"/>
      <c r="R144" s="53">
        <f t="shared" si="86"/>
        <v>3</v>
      </c>
      <c r="S144" s="81">
        <v>2</v>
      </c>
      <c r="T144" s="103">
        <f t="shared" si="0"/>
        <v>6</v>
      </c>
      <c r="U144" s="104" t="str">
        <f t="shared" si="89"/>
        <v>ACEPTAR</v>
      </c>
      <c r="V144" s="82"/>
      <c r="W144" s="105"/>
      <c r="X144" s="81"/>
      <c r="Y144" s="81"/>
      <c r="Z144" s="83"/>
      <c r="AA144" s="81"/>
      <c r="AB144" s="106"/>
      <c r="AC144" s="107">
        <f t="shared" si="87"/>
        <v>3</v>
      </c>
      <c r="AD144" s="81">
        <f t="shared" si="88"/>
        <v>2</v>
      </c>
      <c r="AE144" s="103">
        <f t="shared" si="3"/>
        <v>6</v>
      </c>
      <c r="AF144" s="98" t="str">
        <f t="shared" si="84"/>
        <v/>
      </c>
      <c r="AG144" s="97"/>
      <c r="AH144" s="97"/>
    </row>
    <row r="145" spans="1:34" s="27" customFormat="1" ht="86.4" hidden="1">
      <c r="A145" s="28" t="s">
        <v>805</v>
      </c>
      <c r="B145" s="29" t="s">
        <v>901</v>
      </c>
      <c r="C145" s="81" t="s">
        <v>879</v>
      </c>
      <c r="D145" s="81" t="s">
        <v>902</v>
      </c>
      <c r="E145" s="81" t="s">
        <v>903</v>
      </c>
      <c r="F145" s="81" t="s">
        <v>904</v>
      </c>
      <c r="G145" s="81" t="s">
        <v>905</v>
      </c>
      <c r="H145" s="98">
        <v>2</v>
      </c>
      <c r="I145" s="99" t="s">
        <v>906</v>
      </c>
      <c r="J145" s="40" t="s">
        <v>907</v>
      </c>
      <c r="K145" s="39" t="s">
        <v>908</v>
      </c>
      <c r="L145" s="102"/>
      <c r="M145" s="81"/>
      <c r="N145" s="81">
        <v>3</v>
      </c>
      <c r="O145" s="81"/>
      <c r="P145" s="100"/>
      <c r="Q145" s="101"/>
      <c r="R145" s="53">
        <f t="shared" si="86"/>
        <v>3</v>
      </c>
      <c r="S145" s="81">
        <v>1</v>
      </c>
      <c r="T145" s="103">
        <f t="shared" si="0"/>
        <v>3</v>
      </c>
      <c r="U145" s="104" t="str">
        <f t="shared" si="89"/>
        <v>ACEPTAR</v>
      </c>
      <c r="V145" s="82"/>
      <c r="W145" s="105"/>
      <c r="X145" s="81"/>
      <c r="Y145" s="81"/>
      <c r="Z145" s="83"/>
      <c r="AA145" s="81"/>
      <c r="AB145" s="106"/>
      <c r="AC145" s="107">
        <f t="shared" si="87"/>
        <v>3</v>
      </c>
      <c r="AD145" s="81">
        <f t="shared" si="88"/>
        <v>1</v>
      </c>
      <c r="AE145" s="103">
        <f t="shared" si="3"/>
        <v>3</v>
      </c>
      <c r="AF145" s="98" t="str">
        <f t="shared" si="84"/>
        <v/>
      </c>
      <c r="AG145" s="97"/>
      <c r="AH145" s="97"/>
    </row>
    <row r="146" spans="1:34" s="27" customFormat="1" ht="100.95" hidden="1" customHeight="1">
      <c r="A146" s="28" t="s">
        <v>805</v>
      </c>
      <c r="B146" s="29" t="s">
        <v>909</v>
      </c>
      <c r="C146" s="81" t="s">
        <v>879</v>
      </c>
      <c r="D146" s="81" t="s">
        <v>910</v>
      </c>
      <c r="E146" s="81" t="s">
        <v>903</v>
      </c>
      <c r="F146" s="81" t="s">
        <v>904</v>
      </c>
      <c r="G146" s="81" t="s">
        <v>852</v>
      </c>
      <c r="H146" s="98">
        <v>2</v>
      </c>
      <c r="I146" s="99" t="s">
        <v>906</v>
      </c>
      <c r="J146" s="40" t="s">
        <v>907</v>
      </c>
      <c r="K146" s="39" t="s">
        <v>911</v>
      </c>
      <c r="L146" s="102"/>
      <c r="M146" s="81"/>
      <c r="N146" s="81">
        <v>3</v>
      </c>
      <c r="O146" s="81"/>
      <c r="P146" s="100"/>
      <c r="Q146" s="101"/>
      <c r="R146" s="53">
        <f t="shared" si="86"/>
        <v>3</v>
      </c>
      <c r="S146" s="81">
        <v>1</v>
      </c>
      <c r="T146" s="103">
        <f t="shared" si="0"/>
        <v>3</v>
      </c>
      <c r="U146" s="104" t="str">
        <f t="shared" si="89"/>
        <v>ACEPTAR</v>
      </c>
      <c r="V146" s="82"/>
      <c r="W146" s="105"/>
      <c r="X146" s="81"/>
      <c r="Y146" s="81"/>
      <c r="Z146" s="83"/>
      <c r="AA146" s="81"/>
      <c r="AB146" s="106"/>
      <c r="AC146" s="107">
        <f t="shared" si="87"/>
        <v>3</v>
      </c>
      <c r="AD146" s="81">
        <f t="shared" si="88"/>
        <v>1</v>
      </c>
      <c r="AE146" s="103">
        <f t="shared" si="3"/>
        <v>3</v>
      </c>
      <c r="AF146" s="98" t="str">
        <f t="shared" si="84"/>
        <v/>
      </c>
      <c r="AG146" s="97"/>
      <c r="AH146" s="97"/>
    </row>
    <row r="147" spans="1:34" s="27" customFormat="1" ht="86.4" hidden="1">
      <c r="A147" s="28" t="s">
        <v>912</v>
      </c>
      <c r="B147" s="29" t="s">
        <v>913</v>
      </c>
      <c r="C147" s="81" t="s">
        <v>285</v>
      </c>
      <c r="D147" s="81" t="s">
        <v>914</v>
      </c>
      <c r="E147" s="81" t="s">
        <v>915</v>
      </c>
      <c r="F147" s="81" t="s">
        <v>536</v>
      </c>
      <c r="G147" s="81" t="s">
        <v>916</v>
      </c>
      <c r="H147" s="98">
        <v>3</v>
      </c>
      <c r="I147" s="99" t="s">
        <v>129</v>
      </c>
      <c r="J147" s="40" t="s">
        <v>917</v>
      </c>
      <c r="K147" s="39" t="s">
        <v>918</v>
      </c>
      <c r="L147" s="102">
        <v>3</v>
      </c>
      <c r="M147" s="81">
        <v>3</v>
      </c>
      <c r="N147" s="81">
        <v>3</v>
      </c>
      <c r="O147" s="81">
        <v>3</v>
      </c>
      <c r="P147" s="100">
        <v>3</v>
      </c>
      <c r="Q147" s="101"/>
      <c r="R147" s="53">
        <f t="shared" si="86"/>
        <v>3</v>
      </c>
      <c r="S147" s="81">
        <v>2</v>
      </c>
      <c r="T147" s="103">
        <f t="shared" si="0"/>
        <v>6</v>
      </c>
      <c r="U147" s="104" t="str">
        <f t="shared" si="89"/>
        <v>ACEPTAR</v>
      </c>
      <c r="V147" s="82"/>
      <c r="W147" s="105"/>
      <c r="X147" s="81"/>
      <c r="Y147" s="81"/>
      <c r="Z147" s="83"/>
      <c r="AA147" s="81"/>
      <c r="AB147" s="106"/>
      <c r="AC147" s="107">
        <f t="shared" si="87"/>
        <v>3</v>
      </c>
      <c r="AD147" s="81">
        <f t="shared" si="88"/>
        <v>2</v>
      </c>
      <c r="AE147" s="103">
        <f t="shared" si="3"/>
        <v>6</v>
      </c>
      <c r="AF147" s="98" t="str">
        <f t="shared" si="84"/>
        <v/>
      </c>
      <c r="AG147" s="97"/>
      <c r="AH147" s="97"/>
    </row>
    <row r="148" spans="1:34" s="27" customFormat="1" ht="139.19999999999999" hidden="1" customHeight="1">
      <c r="A148" s="28" t="s">
        <v>912</v>
      </c>
      <c r="B148" s="29" t="s">
        <v>919</v>
      </c>
      <c r="C148" s="81" t="s">
        <v>879</v>
      </c>
      <c r="D148" s="81" t="s">
        <v>920</v>
      </c>
      <c r="E148" s="81" t="s">
        <v>921</v>
      </c>
      <c r="F148" s="81" t="s">
        <v>536</v>
      </c>
      <c r="G148" s="81" t="s">
        <v>922</v>
      </c>
      <c r="H148" s="98">
        <v>3</v>
      </c>
      <c r="I148" s="99" t="s">
        <v>923</v>
      </c>
      <c r="J148" s="40" t="s">
        <v>924</v>
      </c>
      <c r="K148" s="39" t="s">
        <v>925</v>
      </c>
      <c r="L148" s="102">
        <v>3</v>
      </c>
      <c r="M148" s="81">
        <v>3</v>
      </c>
      <c r="N148" s="81">
        <v>3</v>
      </c>
      <c r="O148" s="81">
        <v>3</v>
      </c>
      <c r="P148" s="100">
        <v>3</v>
      </c>
      <c r="Q148" s="101"/>
      <c r="R148" s="53">
        <f t="shared" si="86"/>
        <v>3</v>
      </c>
      <c r="S148" s="81">
        <v>1</v>
      </c>
      <c r="T148" s="103">
        <f t="shared" si="0"/>
        <v>3</v>
      </c>
      <c r="U148" s="104" t="str">
        <f t="shared" si="89"/>
        <v>ACEPTAR</v>
      </c>
      <c r="V148" s="82"/>
      <c r="W148" s="105"/>
      <c r="X148" s="81"/>
      <c r="Y148" s="81"/>
      <c r="Z148" s="83"/>
      <c r="AA148" s="81"/>
      <c r="AB148" s="106"/>
      <c r="AC148" s="107">
        <f t="shared" si="87"/>
        <v>3</v>
      </c>
      <c r="AD148" s="81">
        <f t="shared" si="88"/>
        <v>1</v>
      </c>
      <c r="AE148" s="103">
        <f t="shared" si="3"/>
        <v>3</v>
      </c>
      <c r="AF148" s="98" t="str">
        <f t="shared" si="84"/>
        <v/>
      </c>
      <c r="AG148" s="97"/>
      <c r="AH148" s="97"/>
    </row>
    <row r="149" spans="1:34" s="27" customFormat="1" ht="71.400000000000006" hidden="1" customHeight="1">
      <c r="A149" s="28" t="s">
        <v>912</v>
      </c>
      <c r="B149" s="29" t="s">
        <v>926</v>
      </c>
      <c r="C149" s="81" t="s">
        <v>285</v>
      </c>
      <c r="D149" s="81" t="s">
        <v>927</v>
      </c>
      <c r="E149" s="81" t="s">
        <v>928</v>
      </c>
      <c r="F149" s="81" t="s">
        <v>536</v>
      </c>
      <c r="G149" s="81" t="s">
        <v>929</v>
      </c>
      <c r="H149" s="98">
        <v>3</v>
      </c>
      <c r="I149" s="99" t="s">
        <v>930</v>
      </c>
      <c r="J149" s="40" t="s">
        <v>931</v>
      </c>
      <c r="K149" s="39" t="s">
        <v>774</v>
      </c>
      <c r="L149" s="102">
        <v>3</v>
      </c>
      <c r="M149" s="81">
        <v>3</v>
      </c>
      <c r="N149" s="81">
        <v>3</v>
      </c>
      <c r="O149" s="81"/>
      <c r="P149" s="100"/>
      <c r="Q149" s="101"/>
      <c r="R149" s="53">
        <f t="shared" si="86"/>
        <v>3</v>
      </c>
      <c r="S149" s="81">
        <v>2</v>
      </c>
      <c r="T149" s="103">
        <f t="shared" si="0"/>
        <v>6</v>
      </c>
      <c r="U149" s="104" t="str">
        <f t="shared" si="89"/>
        <v>ACEPTAR</v>
      </c>
      <c r="V149" s="82"/>
      <c r="W149" s="105"/>
      <c r="X149" s="81"/>
      <c r="Y149" s="81"/>
      <c r="Z149" s="83"/>
      <c r="AA149" s="81"/>
      <c r="AB149" s="106"/>
      <c r="AC149" s="107">
        <f t="shared" si="87"/>
        <v>3</v>
      </c>
      <c r="AD149" s="81">
        <f t="shared" si="88"/>
        <v>2</v>
      </c>
      <c r="AE149" s="103">
        <f t="shared" si="3"/>
        <v>6</v>
      </c>
      <c r="AF149" s="98" t="str">
        <f t="shared" si="84"/>
        <v/>
      </c>
      <c r="AG149" s="97"/>
      <c r="AH149" s="97"/>
    </row>
    <row r="150" spans="1:34" s="27" customFormat="1" ht="72" hidden="1">
      <c r="A150" s="28" t="s">
        <v>912</v>
      </c>
      <c r="B150" s="29" t="s">
        <v>932</v>
      </c>
      <c r="C150" s="81" t="s">
        <v>285</v>
      </c>
      <c r="D150" s="81" t="s">
        <v>933</v>
      </c>
      <c r="E150" s="81" t="s">
        <v>154</v>
      </c>
      <c r="F150" s="81" t="s">
        <v>851</v>
      </c>
      <c r="G150" s="81" t="s">
        <v>934</v>
      </c>
      <c r="H150" s="98">
        <v>3</v>
      </c>
      <c r="I150" s="99" t="s">
        <v>935</v>
      </c>
      <c r="J150" s="40" t="s">
        <v>936</v>
      </c>
      <c r="K150" s="39" t="s">
        <v>937</v>
      </c>
      <c r="L150" s="102"/>
      <c r="M150" s="81"/>
      <c r="N150" s="81">
        <v>4</v>
      </c>
      <c r="O150" s="81"/>
      <c r="P150" s="100"/>
      <c r="Q150" s="101"/>
      <c r="R150" s="53">
        <f t="shared" si="86"/>
        <v>4</v>
      </c>
      <c r="S150" s="81">
        <v>1</v>
      </c>
      <c r="T150" s="103">
        <f t="shared" si="0"/>
        <v>4</v>
      </c>
      <c r="U150" s="104" t="str">
        <f t="shared" si="89"/>
        <v>ACEPTAR</v>
      </c>
      <c r="V150" s="82"/>
      <c r="W150" s="105"/>
      <c r="X150" s="81"/>
      <c r="Y150" s="81"/>
      <c r="Z150" s="83"/>
      <c r="AA150" s="81"/>
      <c r="AB150" s="106"/>
      <c r="AC150" s="107">
        <f t="shared" si="87"/>
        <v>4</v>
      </c>
      <c r="AD150" s="81">
        <f t="shared" si="88"/>
        <v>1</v>
      </c>
      <c r="AE150" s="103">
        <f t="shared" si="3"/>
        <v>4</v>
      </c>
      <c r="AF150" s="98" t="str">
        <f t="shared" si="84"/>
        <v/>
      </c>
      <c r="AG150" s="97"/>
      <c r="AH150" s="97"/>
    </row>
    <row r="151" spans="1:34" s="27" customFormat="1" ht="72" hidden="1">
      <c r="A151" s="28" t="s">
        <v>912</v>
      </c>
      <c r="B151" s="29" t="s">
        <v>938</v>
      </c>
      <c r="C151" s="81" t="s">
        <v>285</v>
      </c>
      <c r="D151" s="81" t="s">
        <v>939</v>
      </c>
      <c r="E151" s="81" t="s">
        <v>940</v>
      </c>
      <c r="F151" s="81" t="s">
        <v>941</v>
      </c>
      <c r="G151" s="29" t="s">
        <v>942</v>
      </c>
      <c r="H151" s="98">
        <v>3</v>
      </c>
      <c r="I151" s="37" t="s">
        <v>935</v>
      </c>
      <c r="J151" s="40" t="s">
        <v>936</v>
      </c>
      <c r="K151" s="39" t="s">
        <v>943</v>
      </c>
      <c r="L151" s="102"/>
      <c r="M151" s="81"/>
      <c r="N151" s="81"/>
      <c r="O151" s="81">
        <v>4</v>
      </c>
      <c r="P151" s="100"/>
      <c r="Q151" s="101"/>
      <c r="R151" s="53">
        <f t="shared" si="86"/>
        <v>4</v>
      </c>
      <c r="S151" s="81">
        <v>1</v>
      </c>
      <c r="T151" s="103">
        <f t="shared" si="0"/>
        <v>4</v>
      </c>
      <c r="U151" s="104" t="str">
        <f t="shared" si="89"/>
        <v>ACEPTAR</v>
      </c>
      <c r="V151" s="82"/>
      <c r="W151" s="105"/>
      <c r="X151" s="81"/>
      <c r="Y151" s="81"/>
      <c r="Z151" s="83"/>
      <c r="AA151" s="81"/>
      <c r="AB151" s="106"/>
      <c r="AC151" s="107">
        <f t="shared" si="87"/>
        <v>4</v>
      </c>
      <c r="AD151" s="81">
        <f t="shared" si="88"/>
        <v>1</v>
      </c>
      <c r="AE151" s="103">
        <f t="shared" si="3"/>
        <v>4</v>
      </c>
      <c r="AF151" s="98" t="str">
        <f t="shared" si="84"/>
        <v/>
      </c>
      <c r="AG151" s="97"/>
      <c r="AH151" s="97"/>
    </row>
    <row r="152" spans="1:34" s="27" customFormat="1" ht="72" hidden="1">
      <c r="A152" s="28" t="s">
        <v>912</v>
      </c>
      <c r="B152" s="29" t="s">
        <v>944</v>
      </c>
      <c r="C152" s="81" t="s">
        <v>285</v>
      </c>
      <c r="D152" s="81" t="s">
        <v>945</v>
      </c>
      <c r="E152" s="81" t="s">
        <v>946</v>
      </c>
      <c r="F152" s="81" t="s">
        <v>947</v>
      </c>
      <c r="G152" s="29" t="s">
        <v>942</v>
      </c>
      <c r="H152" s="98">
        <v>3</v>
      </c>
      <c r="I152" s="99" t="s">
        <v>935</v>
      </c>
      <c r="J152" s="40" t="s">
        <v>936</v>
      </c>
      <c r="K152" s="39" t="s">
        <v>943</v>
      </c>
      <c r="L152" s="102"/>
      <c r="M152" s="81">
        <v>3</v>
      </c>
      <c r="N152" s="81"/>
      <c r="O152" s="81"/>
      <c r="P152" s="100"/>
      <c r="Q152" s="101"/>
      <c r="R152" s="53">
        <f t="shared" si="86"/>
        <v>3</v>
      </c>
      <c r="S152" s="81">
        <v>1</v>
      </c>
      <c r="T152" s="103">
        <f t="shared" si="0"/>
        <v>3</v>
      </c>
      <c r="U152" s="104" t="str">
        <f t="shared" si="89"/>
        <v>ACEPTAR</v>
      </c>
      <c r="V152" s="82"/>
      <c r="W152" s="105"/>
      <c r="X152" s="81"/>
      <c r="Y152" s="81"/>
      <c r="Z152" s="83"/>
      <c r="AA152" s="81"/>
      <c r="AB152" s="106"/>
      <c r="AC152" s="107">
        <f t="shared" si="87"/>
        <v>3</v>
      </c>
      <c r="AD152" s="81">
        <f t="shared" si="88"/>
        <v>1</v>
      </c>
      <c r="AE152" s="103">
        <f t="shared" si="3"/>
        <v>3</v>
      </c>
      <c r="AF152" s="98" t="str">
        <f t="shared" si="84"/>
        <v/>
      </c>
      <c r="AG152" s="97"/>
      <c r="AH152" s="97"/>
    </row>
    <row r="153" spans="1:34" s="27" customFormat="1" ht="57.6" hidden="1">
      <c r="A153" s="28" t="s">
        <v>912</v>
      </c>
      <c r="B153" s="29" t="s">
        <v>948</v>
      </c>
      <c r="C153" s="81" t="s">
        <v>285</v>
      </c>
      <c r="D153" s="81" t="s">
        <v>949</v>
      </c>
      <c r="E153" s="81" t="s">
        <v>950</v>
      </c>
      <c r="F153" s="81" t="s">
        <v>951</v>
      </c>
      <c r="G153" s="29" t="s">
        <v>942</v>
      </c>
      <c r="H153" s="98">
        <v>3</v>
      </c>
      <c r="I153" s="99" t="s">
        <v>952</v>
      </c>
      <c r="J153" s="38" t="s">
        <v>953</v>
      </c>
      <c r="K153" s="39" t="s">
        <v>943</v>
      </c>
      <c r="L153" s="102"/>
      <c r="M153" s="81">
        <v>3</v>
      </c>
      <c r="N153" s="81">
        <v>3</v>
      </c>
      <c r="O153" s="81"/>
      <c r="P153" s="100">
        <v>3</v>
      </c>
      <c r="Q153" s="101"/>
      <c r="R153" s="53">
        <f t="shared" si="86"/>
        <v>3</v>
      </c>
      <c r="S153" s="81">
        <v>2</v>
      </c>
      <c r="T153" s="103">
        <f t="shared" si="0"/>
        <v>6</v>
      </c>
      <c r="U153" s="104" t="str">
        <f t="shared" si="89"/>
        <v>ACEPTAR</v>
      </c>
      <c r="V153" s="82"/>
      <c r="W153" s="105"/>
      <c r="X153" s="81"/>
      <c r="Y153" s="81"/>
      <c r="Z153" s="83"/>
      <c r="AA153" s="81"/>
      <c r="AB153" s="106"/>
      <c r="AC153" s="107">
        <f t="shared" si="87"/>
        <v>3</v>
      </c>
      <c r="AD153" s="81">
        <f t="shared" si="88"/>
        <v>2</v>
      </c>
      <c r="AE153" s="103">
        <f t="shared" si="3"/>
        <v>6</v>
      </c>
      <c r="AF153" s="98" t="str">
        <f t="shared" si="84"/>
        <v/>
      </c>
      <c r="AG153" s="97"/>
      <c r="AH153" s="97"/>
    </row>
    <row r="154" spans="1:34" s="27" customFormat="1" ht="86.4">
      <c r="A154" s="28" t="s">
        <v>912</v>
      </c>
      <c r="B154" s="29" t="s">
        <v>954</v>
      </c>
      <c r="C154" s="81" t="s">
        <v>360</v>
      </c>
      <c r="D154" s="81" t="s">
        <v>955</v>
      </c>
      <c r="E154" s="81" t="s">
        <v>956</v>
      </c>
      <c r="F154" s="81" t="s">
        <v>536</v>
      </c>
      <c r="G154" s="81" t="s">
        <v>957</v>
      </c>
      <c r="H154" s="98">
        <v>3</v>
      </c>
      <c r="I154" s="99" t="s">
        <v>958</v>
      </c>
      <c r="J154" s="40" t="s">
        <v>959</v>
      </c>
      <c r="K154" s="41" t="s">
        <v>674</v>
      </c>
      <c r="L154" s="102">
        <v>4</v>
      </c>
      <c r="M154" s="81">
        <v>4</v>
      </c>
      <c r="N154" s="81">
        <v>4</v>
      </c>
      <c r="O154" s="81">
        <v>4</v>
      </c>
      <c r="P154" s="100">
        <v>4</v>
      </c>
      <c r="Q154" s="101"/>
      <c r="R154" s="53">
        <f t="shared" si="86"/>
        <v>4</v>
      </c>
      <c r="S154" s="81">
        <v>3</v>
      </c>
      <c r="T154" s="103">
        <f t="shared" si="0"/>
        <v>12</v>
      </c>
      <c r="U154" s="104" t="str">
        <f t="shared" si="89"/>
        <v>MITIGAR</v>
      </c>
      <c r="V154" s="82" t="s">
        <v>132</v>
      </c>
      <c r="W154" s="55"/>
      <c r="X154" s="81" t="s">
        <v>133</v>
      </c>
      <c r="Y154" s="81" t="s">
        <v>134</v>
      </c>
      <c r="Z154" s="83" t="s">
        <v>135</v>
      </c>
      <c r="AA154" s="81"/>
      <c r="AB154" s="106"/>
      <c r="AC154" s="107">
        <f t="shared" si="87"/>
        <v>4</v>
      </c>
      <c r="AD154" s="81">
        <f t="shared" si="88"/>
        <v>3</v>
      </c>
      <c r="AE154" s="103">
        <f t="shared" si="3"/>
        <v>12</v>
      </c>
      <c r="AF154" s="98" t="str">
        <f t="shared" si="84"/>
        <v>INSUFICIENTE</v>
      </c>
      <c r="AG154" s="97"/>
      <c r="AH154" s="97"/>
    </row>
    <row r="155" spans="1:34" s="27" customFormat="1" ht="86.4" hidden="1">
      <c r="A155" s="28" t="s">
        <v>912</v>
      </c>
      <c r="B155" s="29" t="s">
        <v>960</v>
      </c>
      <c r="C155" s="81" t="s">
        <v>360</v>
      </c>
      <c r="D155" s="81" t="s">
        <v>961</v>
      </c>
      <c r="E155" s="81" t="s">
        <v>962</v>
      </c>
      <c r="F155" s="81" t="s">
        <v>536</v>
      </c>
      <c r="G155" s="81" t="s">
        <v>957</v>
      </c>
      <c r="H155" s="98">
        <v>3</v>
      </c>
      <c r="I155" s="99" t="s">
        <v>963</v>
      </c>
      <c r="J155" s="40" t="s">
        <v>964</v>
      </c>
      <c r="K155" s="39" t="s">
        <v>965</v>
      </c>
      <c r="L155" s="102">
        <v>3</v>
      </c>
      <c r="M155" s="81">
        <v>3</v>
      </c>
      <c r="N155" s="81">
        <v>3</v>
      </c>
      <c r="O155" s="81">
        <v>3</v>
      </c>
      <c r="P155" s="100"/>
      <c r="Q155" s="101"/>
      <c r="R155" s="53">
        <f t="shared" si="86"/>
        <v>3</v>
      </c>
      <c r="S155" s="81">
        <v>2</v>
      </c>
      <c r="T155" s="103">
        <f t="shared" si="0"/>
        <v>6</v>
      </c>
      <c r="U155" s="104" t="str">
        <f t="shared" si="89"/>
        <v>ACEPTAR</v>
      </c>
      <c r="V155" s="82"/>
      <c r="W155" s="105"/>
      <c r="X155" s="81"/>
      <c r="Y155" s="81"/>
      <c r="Z155" s="83"/>
      <c r="AA155" s="108"/>
      <c r="AB155" s="106"/>
      <c r="AC155" s="107">
        <f t="shared" si="87"/>
        <v>3</v>
      </c>
      <c r="AD155" s="81">
        <f t="shared" si="88"/>
        <v>2</v>
      </c>
      <c r="AE155" s="103">
        <f t="shared" si="3"/>
        <v>6</v>
      </c>
      <c r="AF155" s="98" t="str">
        <f t="shared" si="84"/>
        <v/>
      </c>
      <c r="AG155" s="97"/>
      <c r="AH155" s="97"/>
    </row>
    <row r="156" spans="1:34" s="27" customFormat="1" ht="57.6" hidden="1">
      <c r="A156" s="28" t="s">
        <v>912</v>
      </c>
      <c r="B156" s="29" t="s">
        <v>966</v>
      </c>
      <c r="C156" s="81" t="s">
        <v>360</v>
      </c>
      <c r="D156" s="81" t="s">
        <v>967</v>
      </c>
      <c r="E156" s="81" t="s">
        <v>968</v>
      </c>
      <c r="F156" s="81" t="s">
        <v>499</v>
      </c>
      <c r="G156" s="81" t="s">
        <v>957</v>
      </c>
      <c r="H156" s="98">
        <v>3</v>
      </c>
      <c r="I156" s="99" t="s">
        <v>969</v>
      </c>
      <c r="J156" s="40" t="s">
        <v>970</v>
      </c>
      <c r="K156" s="39" t="s">
        <v>971</v>
      </c>
      <c r="L156" s="102">
        <v>3</v>
      </c>
      <c r="M156" s="81">
        <v>3</v>
      </c>
      <c r="N156" s="81">
        <v>3</v>
      </c>
      <c r="O156" s="81">
        <v>3</v>
      </c>
      <c r="P156" s="100"/>
      <c r="Q156" s="101"/>
      <c r="R156" s="53">
        <f t="shared" si="86"/>
        <v>3</v>
      </c>
      <c r="S156" s="81">
        <v>1</v>
      </c>
      <c r="T156" s="103">
        <f t="shared" si="0"/>
        <v>3</v>
      </c>
      <c r="U156" s="104" t="str">
        <f t="shared" si="89"/>
        <v>ACEPTAR</v>
      </c>
      <c r="V156" s="82"/>
      <c r="W156" s="105"/>
      <c r="X156" s="81"/>
      <c r="Y156" s="81"/>
      <c r="Z156" s="83"/>
      <c r="AA156" s="81"/>
      <c r="AB156" s="106"/>
      <c r="AC156" s="107">
        <f t="shared" si="87"/>
        <v>3</v>
      </c>
      <c r="AD156" s="81">
        <f t="shared" si="88"/>
        <v>1</v>
      </c>
      <c r="AE156" s="103">
        <f t="shared" si="3"/>
        <v>3</v>
      </c>
      <c r="AF156" s="98" t="str">
        <f t="shared" si="84"/>
        <v/>
      </c>
      <c r="AG156" s="97"/>
      <c r="AH156" s="97"/>
    </row>
    <row r="157" spans="1:34" s="27" customFormat="1" ht="72" hidden="1">
      <c r="A157" s="28" t="s">
        <v>912</v>
      </c>
      <c r="B157" s="29" t="s">
        <v>972</v>
      </c>
      <c r="C157" s="81" t="s">
        <v>360</v>
      </c>
      <c r="D157" s="81" t="s">
        <v>973</v>
      </c>
      <c r="E157" s="81" t="s">
        <v>974</v>
      </c>
      <c r="F157" s="81" t="s">
        <v>499</v>
      </c>
      <c r="G157" s="81" t="s">
        <v>957</v>
      </c>
      <c r="H157" s="98">
        <v>3</v>
      </c>
      <c r="I157" s="99" t="s">
        <v>975</v>
      </c>
      <c r="J157" s="40" t="s">
        <v>643</v>
      </c>
      <c r="K157" s="39" t="s">
        <v>976</v>
      </c>
      <c r="L157" s="102">
        <v>3</v>
      </c>
      <c r="M157" s="81">
        <v>3</v>
      </c>
      <c r="N157" s="81">
        <v>3</v>
      </c>
      <c r="O157" s="81">
        <v>3</v>
      </c>
      <c r="P157" s="100">
        <v>3</v>
      </c>
      <c r="Q157" s="101"/>
      <c r="R157" s="53">
        <f t="shared" si="86"/>
        <v>3</v>
      </c>
      <c r="S157" s="81">
        <v>1</v>
      </c>
      <c r="T157" s="103">
        <f t="shared" si="0"/>
        <v>3</v>
      </c>
      <c r="U157" s="104" t="str">
        <f t="shared" si="89"/>
        <v>ACEPTAR</v>
      </c>
      <c r="V157" s="82"/>
      <c r="W157" s="105"/>
      <c r="X157" s="81"/>
      <c r="Y157" s="81"/>
      <c r="Z157" s="83"/>
      <c r="AA157" s="81"/>
      <c r="AB157" s="106"/>
      <c r="AC157" s="107">
        <f t="shared" si="87"/>
        <v>3</v>
      </c>
      <c r="AD157" s="81">
        <f t="shared" si="88"/>
        <v>1</v>
      </c>
      <c r="AE157" s="103">
        <f t="shared" si="3"/>
        <v>3</v>
      </c>
      <c r="AF157" s="98" t="str">
        <f t="shared" si="84"/>
        <v/>
      </c>
      <c r="AG157" s="97"/>
      <c r="AH157" s="97"/>
    </row>
    <row r="158" spans="1:34" s="27" customFormat="1" ht="89.4" hidden="1" customHeight="1">
      <c r="A158" s="28" t="s">
        <v>912</v>
      </c>
      <c r="B158" s="29" t="s">
        <v>977</v>
      </c>
      <c r="C158" s="81" t="s">
        <v>360</v>
      </c>
      <c r="D158" s="81" t="s">
        <v>978</v>
      </c>
      <c r="E158" s="81" t="s">
        <v>979</v>
      </c>
      <c r="F158" s="81" t="s">
        <v>536</v>
      </c>
      <c r="G158" s="81" t="s">
        <v>957</v>
      </c>
      <c r="H158" s="98">
        <v>3</v>
      </c>
      <c r="I158" s="99" t="s">
        <v>980</v>
      </c>
      <c r="J158" s="40" t="s">
        <v>981</v>
      </c>
      <c r="K158" s="39" t="s">
        <v>982</v>
      </c>
      <c r="L158" s="102">
        <v>4</v>
      </c>
      <c r="M158" s="81">
        <v>4</v>
      </c>
      <c r="N158" s="81">
        <v>4</v>
      </c>
      <c r="O158" s="81">
        <v>4</v>
      </c>
      <c r="P158" s="100">
        <v>4</v>
      </c>
      <c r="Q158" s="101"/>
      <c r="R158" s="53">
        <f t="shared" si="86"/>
        <v>4</v>
      </c>
      <c r="S158" s="81">
        <v>1</v>
      </c>
      <c r="T158" s="103">
        <f t="shared" si="0"/>
        <v>4</v>
      </c>
      <c r="U158" s="104" t="str">
        <f t="shared" si="89"/>
        <v>ACEPTAR</v>
      </c>
      <c r="V158" s="82"/>
      <c r="W158" s="105"/>
      <c r="X158" s="81"/>
      <c r="Y158" s="81"/>
      <c r="Z158" s="83"/>
      <c r="AA158" s="81"/>
      <c r="AB158" s="106"/>
      <c r="AC158" s="107">
        <f t="shared" si="87"/>
        <v>4</v>
      </c>
      <c r="AD158" s="81">
        <f t="shared" si="88"/>
        <v>1</v>
      </c>
      <c r="AE158" s="103">
        <f t="shared" si="3"/>
        <v>4</v>
      </c>
      <c r="AF158" s="98" t="str">
        <f t="shared" si="84"/>
        <v/>
      </c>
      <c r="AG158" s="97"/>
      <c r="AH158" s="97"/>
    </row>
    <row r="159" spans="1:34" s="27" customFormat="1" ht="86.4" hidden="1">
      <c r="A159" s="28" t="s">
        <v>912</v>
      </c>
      <c r="B159" s="29" t="s">
        <v>983</v>
      </c>
      <c r="C159" s="81" t="s">
        <v>360</v>
      </c>
      <c r="D159" s="31" t="s">
        <v>984</v>
      </c>
      <c r="E159" s="81" t="s">
        <v>985</v>
      </c>
      <c r="F159" s="81" t="s">
        <v>986</v>
      </c>
      <c r="G159" s="81" t="s">
        <v>957</v>
      </c>
      <c r="H159" s="98">
        <v>3</v>
      </c>
      <c r="I159" s="99" t="s">
        <v>987</v>
      </c>
      <c r="J159" s="40" t="s">
        <v>988</v>
      </c>
      <c r="K159" s="39" t="s">
        <v>989</v>
      </c>
      <c r="L159" s="102">
        <v>3</v>
      </c>
      <c r="M159" s="81">
        <v>3</v>
      </c>
      <c r="N159" s="81">
        <v>3</v>
      </c>
      <c r="O159" s="81">
        <v>3</v>
      </c>
      <c r="P159" s="100">
        <v>3</v>
      </c>
      <c r="Q159" s="101"/>
      <c r="R159" s="53">
        <f t="shared" si="86"/>
        <v>3</v>
      </c>
      <c r="S159" s="81">
        <v>2</v>
      </c>
      <c r="T159" s="103">
        <f t="shared" si="0"/>
        <v>6</v>
      </c>
      <c r="U159" s="104" t="str">
        <f t="shared" si="89"/>
        <v>ACEPTAR</v>
      </c>
      <c r="V159" s="82"/>
      <c r="W159" s="105"/>
      <c r="X159" s="81"/>
      <c r="Y159" s="81"/>
      <c r="Z159" s="83"/>
      <c r="AA159" s="122"/>
      <c r="AB159" s="106"/>
      <c r="AC159" s="107">
        <f t="shared" si="87"/>
        <v>3</v>
      </c>
      <c r="AD159" s="81">
        <f t="shared" si="88"/>
        <v>2</v>
      </c>
      <c r="AE159" s="103">
        <f t="shared" si="3"/>
        <v>6</v>
      </c>
      <c r="AF159" s="98" t="str">
        <f t="shared" si="84"/>
        <v/>
      </c>
      <c r="AG159" s="97"/>
      <c r="AH159" s="97"/>
    </row>
    <row r="160" spans="1:34" s="27" customFormat="1" ht="86.4" hidden="1">
      <c r="A160" s="28" t="s">
        <v>912</v>
      </c>
      <c r="B160" s="29" t="s">
        <v>990</v>
      </c>
      <c r="C160" s="81" t="s">
        <v>360</v>
      </c>
      <c r="D160" s="81" t="s">
        <v>991</v>
      </c>
      <c r="E160" s="81" t="s">
        <v>992</v>
      </c>
      <c r="F160" s="81" t="s">
        <v>536</v>
      </c>
      <c r="G160" s="81" t="s">
        <v>993</v>
      </c>
      <c r="H160" s="98">
        <v>2</v>
      </c>
      <c r="I160" s="99" t="s">
        <v>994</v>
      </c>
      <c r="J160" s="40" t="s">
        <v>995</v>
      </c>
      <c r="K160" s="39" t="s">
        <v>996</v>
      </c>
      <c r="L160" s="102">
        <v>1</v>
      </c>
      <c r="M160" s="81">
        <v>3</v>
      </c>
      <c r="N160" s="81">
        <v>3</v>
      </c>
      <c r="O160" s="81"/>
      <c r="P160" s="100"/>
      <c r="Q160" s="101"/>
      <c r="R160" s="53">
        <f t="shared" si="86"/>
        <v>3</v>
      </c>
      <c r="S160" s="81">
        <v>2</v>
      </c>
      <c r="T160" s="103">
        <f t="shared" si="0"/>
        <v>6</v>
      </c>
      <c r="U160" s="104" t="str">
        <f t="shared" si="89"/>
        <v>ACEPTAR</v>
      </c>
      <c r="V160" s="82"/>
      <c r="W160" s="105"/>
      <c r="X160" s="81"/>
      <c r="Y160" s="81"/>
      <c r="Z160" s="83"/>
      <c r="AA160" s="81"/>
      <c r="AB160" s="106"/>
      <c r="AC160" s="107">
        <f t="shared" si="87"/>
        <v>3</v>
      </c>
      <c r="AD160" s="81">
        <f t="shared" si="88"/>
        <v>2</v>
      </c>
      <c r="AE160" s="103">
        <f t="shared" si="3"/>
        <v>6</v>
      </c>
      <c r="AF160" s="98" t="str">
        <f t="shared" si="84"/>
        <v/>
      </c>
      <c r="AG160" s="97"/>
      <c r="AH160" s="97"/>
    </row>
    <row r="161" spans="1:34" s="27" customFormat="1" ht="66.599999999999994" hidden="1" customHeight="1">
      <c r="A161" s="28" t="s">
        <v>912</v>
      </c>
      <c r="B161" s="29" t="s">
        <v>997</v>
      </c>
      <c r="C161" s="81" t="s">
        <v>360</v>
      </c>
      <c r="D161" s="81" t="s">
        <v>998</v>
      </c>
      <c r="E161" s="81" t="s">
        <v>999</v>
      </c>
      <c r="F161" s="81" t="s">
        <v>536</v>
      </c>
      <c r="G161" s="81" t="s">
        <v>957</v>
      </c>
      <c r="H161" s="98">
        <v>3</v>
      </c>
      <c r="I161" s="99" t="s">
        <v>1000</v>
      </c>
      <c r="J161" s="40" t="s">
        <v>1001</v>
      </c>
      <c r="K161" s="41" t="s">
        <v>674</v>
      </c>
      <c r="L161" s="102">
        <v>3</v>
      </c>
      <c r="M161" s="81">
        <v>3</v>
      </c>
      <c r="N161" s="81">
        <v>3</v>
      </c>
      <c r="O161" s="81">
        <v>3</v>
      </c>
      <c r="P161" s="100"/>
      <c r="Q161" s="101"/>
      <c r="R161" s="53">
        <f t="shared" si="86"/>
        <v>3</v>
      </c>
      <c r="S161" s="81">
        <v>1</v>
      </c>
      <c r="T161" s="103">
        <f t="shared" si="0"/>
        <v>3</v>
      </c>
      <c r="U161" s="104" t="str">
        <f t="shared" si="89"/>
        <v>ACEPTAR</v>
      </c>
      <c r="W161" s="105"/>
      <c r="X161" s="81"/>
      <c r="Y161" s="81"/>
      <c r="Z161" s="83"/>
      <c r="AA161" s="81"/>
      <c r="AB161" s="106"/>
      <c r="AC161" s="107">
        <f t="shared" si="87"/>
        <v>3</v>
      </c>
      <c r="AD161" s="81">
        <f t="shared" si="88"/>
        <v>1</v>
      </c>
      <c r="AE161" s="103">
        <f t="shared" si="3"/>
        <v>3</v>
      </c>
      <c r="AF161" s="98" t="str">
        <f t="shared" si="84"/>
        <v/>
      </c>
      <c r="AG161" s="97"/>
      <c r="AH161" s="97"/>
    </row>
    <row r="162" spans="1:34" s="27" customFormat="1" ht="74.099999999999994" customHeight="1">
      <c r="A162" s="28" t="s">
        <v>912</v>
      </c>
      <c r="B162" s="29" t="s">
        <v>1002</v>
      </c>
      <c r="C162" s="81" t="s">
        <v>360</v>
      </c>
      <c r="D162" s="123" t="s">
        <v>1003</v>
      </c>
      <c r="E162" s="81" t="s">
        <v>1004</v>
      </c>
      <c r="F162" s="81" t="s">
        <v>1005</v>
      </c>
      <c r="G162" s="81" t="s">
        <v>957</v>
      </c>
      <c r="H162" s="98">
        <v>3</v>
      </c>
      <c r="I162" s="99" t="s">
        <v>1006</v>
      </c>
      <c r="J162" s="40" t="s">
        <v>1007</v>
      </c>
      <c r="K162" s="39" t="s">
        <v>1008</v>
      </c>
      <c r="L162" s="102">
        <v>4</v>
      </c>
      <c r="M162" s="81">
        <v>4</v>
      </c>
      <c r="N162" s="81"/>
      <c r="O162" s="81"/>
      <c r="P162" s="100"/>
      <c r="Q162" s="101"/>
      <c r="R162" s="53">
        <f t="shared" si="86"/>
        <v>4</v>
      </c>
      <c r="S162" s="81">
        <v>3</v>
      </c>
      <c r="T162" s="103">
        <f t="shared" si="0"/>
        <v>12</v>
      </c>
      <c r="U162" s="104" t="str">
        <f t="shared" si="89"/>
        <v>MITIGAR</v>
      </c>
      <c r="V162" s="124" t="s">
        <v>1956</v>
      </c>
      <c r="W162" s="105"/>
      <c r="X162" s="123" t="s">
        <v>546</v>
      </c>
      <c r="Y162" s="123" t="s">
        <v>1957</v>
      </c>
      <c r="Z162" s="125" t="s">
        <v>135</v>
      </c>
      <c r="AA162" s="81"/>
      <c r="AB162" s="106"/>
      <c r="AC162" s="107">
        <f t="shared" si="87"/>
        <v>4</v>
      </c>
      <c r="AD162" s="81">
        <f t="shared" si="88"/>
        <v>3</v>
      </c>
      <c r="AE162" s="103">
        <f t="shared" si="3"/>
        <v>12</v>
      </c>
      <c r="AF162" s="98" t="str">
        <f t="shared" si="84"/>
        <v>INSUFICIENTE</v>
      </c>
      <c r="AG162" s="97"/>
      <c r="AH162" s="97"/>
    </row>
    <row r="163" spans="1:34" s="27" customFormat="1" ht="100.8" hidden="1">
      <c r="A163" s="28" t="s">
        <v>912</v>
      </c>
      <c r="B163" s="29" t="s">
        <v>1009</v>
      </c>
      <c r="C163" s="81" t="s">
        <v>360</v>
      </c>
      <c r="D163" s="81" t="s">
        <v>1010</v>
      </c>
      <c r="E163" s="81" t="s">
        <v>1011</v>
      </c>
      <c r="F163" s="81" t="s">
        <v>1005</v>
      </c>
      <c r="G163" s="81" t="s">
        <v>1012</v>
      </c>
      <c r="H163" s="98"/>
      <c r="I163" s="99" t="s">
        <v>1013</v>
      </c>
      <c r="J163" s="40" t="s">
        <v>1014</v>
      </c>
      <c r="K163" s="39" t="s">
        <v>1015</v>
      </c>
      <c r="L163" s="102"/>
      <c r="M163" s="81"/>
      <c r="N163" s="81"/>
      <c r="O163" s="81"/>
      <c r="P163" s="100"/>
      <c r="Q163" s="101"/>
      <c r="R163" s="53">
        <f t="shared" si="86"/>
        <v>0</v>
      </c>
      <c r="S163" s="81"/>
      <c r="T163" s="103">
        <f t="shared" si="0"/>
        <v>0</v>
      </c>
      <c r="U163" s="104" t="str">
        <f t="shared" si="89"/>
        <v>ACEPTAR</v>
      </c>
      <c r="V163" s="82"/>
      <c r="W163" s="105"/>
      <c r="X163" s="81"/>
      <c r="Y163" s="81"/>
      <c r="Z163" s="83"/>
      <c r="AA163" s="81"/>
      <c r="AB163" s="106"/>
      <c r="AC163" s="107">
        <f t="shared" si="87"/>
        <v>0</v>
      </c>
      <c r="AD163" s="81">
        <f t="shared" si="88"/>
        <v>0</v>
      </c>
      <c r="AE163" s="103">
        <f t="shared" si="3"/>
        <v>0</v>
      </c>
      <c r="AF163" s="98" t="str">
        <f t="shared" si="84"/>
        <v/>
      </c>
      <c r="AG163" s="97"/>
      <c r="AH163" s="97"/>
    </row>
    <row r="164" spans="1:34" s="27" customFormat="1" ht="72" hidden="1">
      <c r="A164" s="28" t="s">
        <v>912</v>
      </c>
      <c r="B164" s="29" t="s">
        <v>1016</v>
      </c>
      <c r="C164" s="81" t="s">
        <v>360</v>
      </c>
      <c r="D164" s="81" t="s">
        <v>1017</v>
      </c>
      <c r="E164" s="81" t="s">
        <v>1018</v>
      </c>
      <c r="F164" s="81" t="s">
        <v>536</v>
      </c>
      <c r="G164" s="81" t="s">
        <v>1012</v>
      </c>
      <c r="H164" s="98"/>
      <c r="I164" s="99" t="s">
        <v>1019</v>
      </c>
      <c r="J164" s="40" t="s">
        <v>1020</v>
      </c>
      <c r="K164" s="39" t="s">
        <v>1015</v>
      </c>
      <c r="L164" s="102"/>
      <c r="M164" s="81"/>
      <c r="N164" s="81"/>
      <c r="O164" s="81"/>
      <c r="P164" s="100"/>
      <c r="Q164" s="101"/>
      <c r="R164" s="53">
        <f t="shared" si="86"/>
        <v>0</v>
      </c>
      <c r="S164" s="81"/>
      <c r="T164" s="103">
        <f t="shared" si="0"/>
        <v>0</v>
      </c>
      <c r="U164" s="104" t="str">
        <f t="shared" si="89"/>
        <v>ACEPTAR</v>
      </c>
      <c r="V164" s="82"/>
      <c r="W164" s="105"/>
      <c r="X164" s="81"/>
      <c r="Y164" s="81"/>
      <c r="Z164" s="83"/>
      <c r="AA164" s="81"/>
      <c r="AB164" s="106"/>
      <c r="AC164" s="107">
        <f t="shared" si="87"/>
        <v>0</v>
      </c>
      <c r="AD164" s="81">
        <f t="shared" si="88"/>
        <v>0</v>
      </c>
      <c r="AE164" s="103">
        <f t="shared" si="3"/>
        <v>0</v>
      </c>
      <c r="AF164" s="98" t="str">
        <f t="shared" si="84"/>
        <v/>
      </c>
      <c r="AG164" s="97"/>
      <c r="AH164" s="97"/>
    </row>
    <row r="165" spans="1:34" s="27" customFormat="1" ht="57.6" hidden="1">
      <c r="A165" s="28" t="s">
        <v>912</v>
      </c>
      <c r="B165" s="29" t="s">
        <v>1021</v>
      </c>
      <c r="C165" s="81" t="s">
        <v>360</v>
      </c>
      <c r="D165" s="81" t="s">
        <v>1022</v>
      </c>
      <c r="E165" s="81" t="s">
        <v>979</v>
      </c>
      <c r="F165" s="81" t="s">
        <v>536</v>
      </c>
      <c r="G165" s="81" t="s">
        <v>1012</v>
      </c>
      <c r="H165" s="98"/>
      <c r="I165" s="99" t="s">
        <v>1019</v>
      </c>
      <c r="J165" s="40" t="s">
        <v>1020</v>
      </c>
      <c r="K165" s="39" t="s">
        <v>1015</v>
      </c>
      <c r="L165" s="102"/>
      <c r="M165" s="81"/>
      <c r="N165" s="81"/>
      <c r="O165" s="81"/>
      <c r="P165" s="100"/>
      <c r="Q165" s="101"/>
      <c r="R165" s="53">
        <f t="shared" si="86"/>
        <v>0</v>
      </c>
      <c r="S165" s="81"/>
      <c r="T165" s="103">
        <f t="shared" si="0"/>
        <v>0</v>
      </c>
      <c r="U165" s="104" t="str">
        <f t="shared" si="89"/>
        <v>ACEPTAR</v>
      </c>
      <c r="V165" s="82"/>
      <c r="W165" s="105"/>
      <c r="X165" s="81"/>
      <c r="Y165" s="81"/>
      <c r="Z165" s="83"/>
      <c r="AA165" s="81"/>
      <c r="AB165" s="106"/>
      <c r="AC165" s="107">
        <f t="shared" si="87"/>
        <v>0</v>
      </c>
      <c r="AD165" s="81">
        <f t="shared" si="88"/>
        <v>0</v>
      </c>
      <c r="AE165" s="103">
        <f t="shared" si="3"/>
        <v>0</v>
      </c>
      <c r="AF165" s="98" t="str">
        <f t="shared" si="84"/>
        <v/>
      </c>
      <c r="AG165" s="97"/>
      <c r="AH165" s="97"/>
    </row>
    <row r="166" spans="1:34" s="27" customFormat="1" ht="72" hidden="1">
      <c r="A166" s="28" t="s">
        <v>912</v>
      </c>
      <c r="B166" s="29" t="s">
        <v>1023</v>
      </c>
      <c r="C166" s="81" t="s">
        <v>360</v>
      </c>
      <c r="D166" s="81" t="s">
        <v>1024</v>
      </c>
      <c r="E166" s="81" t="s">
        <v>979</v>
      </c>
      <c r="F166" s="81" t="s">
        <v>536</v>
      </c>
      <c r="G166" s="81" t="s">
        <v>957</v>
      </c>
      <c r="H166" s="98">
        <v>3</v>
      </c>
      <c r="I166" s="99" t="s">
        <v>1025</v>
      </c>
      <c r="J166" s="38" t="s">
        <v>1026</v>
      </c>
      <c r="K166" s="41" t="s">
        <v>1027</v>
      </c>
      <c r="L166" s="102">
        <v>3</v>
      </c>
      <c r="M166" s="81">
        <v>3</v>
      </c>
      <c r="N166" s="81">
        <v>3</v>
      </c>
      <c r="O166" s="81">
        <v>3</v>
      </c>
      <c r="P166" s="100"/>
      <c r="Q166" s="101"/>
      <c r="R166" s="53">
        <f t="shared" si="86"/>
        <v>3</v>
      </c>
      <c r="S166" s="81">
        <v>2</v>
      </c>
      <c r="T166" s="103">
        <f t="shared" si="0"/>
        <v>6</v>
      </c>
      <c r="U166" s="104" t="str">
        <f t="shared" si="89"/>
        <v>ACEPTAR</v>
      </c>
      <c r="V166" s="82"/>
      <c r="W166" s="105"/>
      <c r="X166" s="81"/>
      <c r="Y166" s="81"/>
      <c r="Z166" s="83"/>
      <c r="AA166" s="81"/>
      <c r="AB166" s="106"/>
      <c r="AC166" s="107">
        <f t="shared" si="87"/>
        <v>3</v>
      </c>
      <c r="AD166" s="81">
        <f t="shared" si="88"/>
        <v>2</v>
      </c>
      <c r="AE166" s="103">
        <f t="shared" si="3"/>
        <v>6</v>
      </c>
      <c r="AF166" s="98" t="str">
        <f t="shared" si="84"/>
        <v/>
      </c>
      <c r="AG166" s="97"/>
      <c r="AH166" s="97"/>
    </row>
    <row r="167" spans="1:34" s="27" customFormat="1" ht="90.45" customHeight="1">
      <c r="A167" s="28" t="s">
        <v>912</v>
      </c>
      <c r="B167" s="29" t="s">
        <v>1028</v>
      </c>
      <c r="C167" s="81" t="s">
        <v>360</v>
      </c>
      <c r="D167" s="31" t="s">
        <v>1029</v>
      </c>
      <c r="E167" s="81" t="s">
        <v>979</v>
      </c>
      <c r="F167" s="81" t="s">
        <v>536</v>
      </c>
      <c r="G167" s="81" t="s">
        <v>957</v>
      </c>
      <c r="H167" s="98">
        <v>3</v>
      </c>
      <c r="I167" s="99" t="s">
        <v>1030</v>
      </c>
      <c r="J167" s="100" t="s">
        <v>1031</v>
      </c>
      <c r="K167" s="101" t="s">
        <v>1032</v>
      </c>
      <c r="L167" s="102">
        <v>4</v>
      </c>
      <c r="M167" s="81">
        <v>4</v>
      </c>
      <c r="N167" s="81">
        <v>4</v>
      </c>
      <c r="O167" s="81">
        <v>4</v>
      </c>
      <c r="P167" s="100">
        <v>4</v>
      </c>
      <c r="Q167" s="101"/>
      <c r="R167" s="53">
        <f t="shared" si="86"/>
        <v>4</v>
      </c>
      <c r="S167" s="81">
        <v>2</v>
      </c>
      <c r="T167" s="103">
        <f t="shared" si="0"/>
        <v>8</v>
      </c>
      <c r="U167" s="104" t="str">
        <f t="shared" si="89"/>
        <v>MITIGAR</v>
      </c>
      <c r="V167" s="82" t="s">
        <v>781</v>
      </c>
      <c r="W167" s="55"/>
      <c r="X167" s="81" t="s">
        <v>546</v>
      </c>
      <c r="Y167" s="81" t="s">
        <v>782</v>
      </c>
      <c r="Z167" s="83" t="s">
        <v>783</v>
      </c>
      <c r="AA167" s="81"/>
      <c r="AB167" s="106"/>
      <c r="AC167" s="107">
        <f t="shared" si="87"/>
        <v>4</v>
      </c>
      <c r="AD167" s="81">
        <f t="shared" si="88"/>
        <v>2</v>
      </c>
      <c r="AE167" s="103">
        <f t="shared" si="3"/>
        <v>8</v>
      </c>
      <c r="AF167" s="98" t="str">
        <f t="shared" si="84"/>
        <v>INSUFICIENTE</v>
      </c>
      <c r="AG167" s="97"/>
      <c r="AH167" s="97"/>
    </row>
    <row r="168" spans="1:34" s="27" customFormat="1" ht="72.599999999999994" hidden="1" customHeight="1">
      <c r="A168" s="28" t="s">
        <v>912</v>
      </c>
      <c r="B168" s="29" t="s">
        <v>1033</v>
      </c>
      <c r="C168" s="81" t="s">
        <v>360</v>
      </c>
      <c r="D168" s="81" t="s">
        <v>1034</v>
      </c>
      <c r="E168" s="81" t="s">
        <v>979</v>
      </c>
      <c r="F168" s="81" t="s">
        <v>536</v>
      </c>
      <c r="G168" s="81" t="s">
        <v>957</v>
      </c>
      <c r="H168" s="98">
        <v>3</v>
      </c>
      <c r="I168" s="99" t="s">
        <v>1035</v>
      </c>
      <c r="J168" s="100" t="s">
        <v>1026</v>
      </c>
      <c r="K168" s="41" t="s">
        <v>1027</v>
      </c>
      <c r="L168" s="102">
        <v>3</v>
      </c>
      <c r="M168" s="81">
        <v>3</v>
      </c>
      <c r="N168" s="81">
        <v>3</v>
      </c>
      <c r="O168" s="81">
        <v>3</v>
      </c>
      <c r="P168" s="100"/>
      <c r="Q168" s="101"/>
      <c r="R168" s="53">
        <f t="shared" si="86"/>
        <v>3</v>
      </c>
      <c r="S168" s="81">
        <v>1</v>
      </c>
      <c r="T168" s="103">
        <f t="shared" si="0"/>
        <v>3</v>
      </c>
      <c r="U168" s="104" t="str">
        <f t="shared" si="89"/>
        <v>ACEPTAR</v>
      </c>
      <c r="V168" s="82"/>
      <c r="W168" s="105"/>
      <c r="X168" s="81"/>
      <c r="Y168" s="81"/>
      <c r="Z168" s="83"/>
      <c r="AA168" s="81"/>
      <c r="AB168" s="106"/>
      <c r="AC168" s="107">
        <f t="shared" si="87"/>
        <v>3</v>
      </c>
      <c r="AD168" s="81">
        <f t="shared" si="88"/>
        <v>1</v>
      </c>
      <c r="AE168" s="103">
        <f t="shared" si="3"/>
        <v>3</v>
      </c>
      <c r="AF168" s="98" t="str">
        <f t="shared" si="84"/>
        <v/>
      </c>
      <c r="AG168" s="97"/>
      <c r="AH168" s="97"/>
    </row>
    <row r="169" spans="1:34" s="27" customFormat="1" ht="57.6" hidden="1">
      <c r="A169" s="28" t="s">
        <v>912</v>
      </c>
      <c r="B169" s="29" t="s">
        <v>1036</v>
      </c>
      <c r="C169" s="81" t="s">
        <v>360</v>
      </c>
      <c r="D169" s="81" t="s">
        <v>1037</v>
      </c>
      <c r="E169" s="81" t="s">
        <v>1038</v>
      </c>
      <c r="F169" s="81" t="s">
        <v>1039</v>
      </c>
      <c r="G169" s="81" t="s">
        <v>1040</v>
      </c>
      <c r="H169" s="98">
        <v>3</v>
      </c>
      <c r="I169" s="99" t="s">
        <v>1041</v>
      </c>
      <c r="J169" s="40" t="s">
        <v>1042</v>
      </c>
      <c r="K169" s="39" t="s">
        <v>1043</v>
      </c>
      <c r="L169" s="102"/>
      <c r="M169" s="81"/>
      <c r="N169" s="81">
        <v>3</v>
      </c>
      <c r="O169" s="81"/>
      <c r="P169" s="100"/>
      <c r="Q169" s="101"/>
      <c r="R169" s="53">
        <f t="shared" si="86"/>
        <v>3</v>
      </c>
      <c r="S169" s="81">
        <v>1</v>
      </c>
      <c r="T169" s="103">
        <f t="shared" si="0"/>
        <v>3</v>
      </c>
      <c r="U169" s="104" t="str">
        <f t="shared" si="89"/>
        <v>ACEPTAR</v>
      </c>
      <c r="V169" s="82"/>
      <c r="W169" s="105"/>
      <c r="X169" s="81"/>
      <c r="Y169" s="81"/>
      <c r="Z169" s="83"/>
      <c r="AA169" s="81"/>
      <c r="AB169" s="106"/>
      <c r="AC169" s="107">
        <f t="shared" si="87"/>
        <v>3</v>
      </c>
      <c r="AD169" s="81">
        <f t="shared" si="88"/>
        <v>1</v>
      </c>
      <c r="AE169" s="103">
        <f t="shared" si="3"/>
        <v>3</v>
      </c>
      <c r="AF169" s="98" t="str">
        <f t="shared" si="84"/>
        <v/>
      </c>
      <c r="AG169" s="97"/>
      <c r="AH169" s="97"/>
    </row>
    <row r="170" spans="1:34" s="27" customFormat="1" ht="72" hidden="1">
      <c r="A170" s="28" t="s">
        <v>912</v>
      </c>
      <c r="B170" s="29" t="s">
        <v>1044</v>
      </c>
      <c r="C170" s="81" t="s">
        <v>360</v>
      </c>
      <c r="D170" s="81" t="s">
        <v>1045</v>
      </c>
      <c r="E170" s="81" t="s">
        <v>1046</v>
      </c>
      <c r="F170" s="81" t="s">
        <v>1039</v>
      </c>
      <c r="G170" s="81" t="s">
        <v>1040</v>
      </c>
      <c r="H170" s="98">
        <v>3</v>
      </c>
      <c r="I170" s="99" t="s">
        <v>1047</v>
      </c>
      <c r="J170" s="40" t="s">
        <v>1048</v>
      </c>
      <c r="K170" s="39" t="s">
        <v>1043</v>
      </c>
      <c r="L170" s="102"/>
      <c r="M170" s="81"/>
      <c r="N170" s="81">
        <v>3</v>
      </c>
      <c r="O170" s="81"/>
      <c r="P170" s="100"/>
      <c r="Q170" s="101"/>
      <c r="R170" s="53">
        <f t="shared" si="86"/>
        <v>3</v>
      </c>
      <c r="S170" s="81">
        <v>1</v>
      </c>
      <c r="T170" s="103">
        <f t="shared" si="0"/>
        <v>3</v>
      </c>
      <c r="U170" s="104" t="str">
        <f t="shared" si="89"/>
        <v>ACEPTAR</v>
      </c>
      <c r="V170" s="82"/>
      <c r="W170" s="105"/>
      <c r="X170" s="81"/>
      <c r="Y170" s="81"/>
      <c r="Z170" s="83"/>
      <c r="AA170" s="81"/>
      <c r="AB170" s="106"/>
      <c r="AC170" s="107">
        <f t="shared" si="87"/>
        <v>3</v>
      </c>
      <c r="AD170" s="81">
        <f t="shared" si="88"/>
        <v>1</v>
      </c>
      <c r="AE170" s="103">
        <f t="shared" si="3"/>
        <v>3</v>
      </c>
      <c r="AF170" s="98" t="str">
        <f t="shared" si="84"/>
        <v/>
      </c>
      <c r="AG170" s="97"/>
      <c r="AH170" s="97"/>
    </row>
    <row r="171" spans="1:34" s="27" customFormat="1" ht="72" hidden="1">
      <c r="A171" s="28" t="s">
        <v>912</v>
      </c>
      <c r="B171" s="29" t="s">
        <v>1049</v>
      </c>
      <c r="C171" s="81" t="s">
        <v>285</v>
      </c>
      <c r="D171" s="81" t="s">
        <v>1050</v>
      </c>
      <c r="E171" s="81" t="s">
        <v>1038</v>
      </c>
      <c r="F171" s="81" t="s">
        <v>1039</v>
      </c>
      <c r="G171" s="81" t="s">
        <v>1051</v>
      </c>
      <c r="H171" s="98">
        <v>3</v>
      </c>
      <c r="I171" s="99" t="s">
        <v>1052</v>
      </c>
      <c r="J171" s="40" t="s">
        <v>1053</v>
      </c>
      <c r="K171" s="39" t="s">
        <v>1054</v>
      </c>
      <c r="L171" s="102"/>
      <c r="M171" s="81"/>
      <c r="N171" s="81">
        <v>3</v>
      </c>
      <c r="O171" s="81"/>
      <c r="P171" s="100"/>
      <c r="Q171" s="101"/>
      <c r="R171" s="53">
        <f t="shared" si="86"/>
        <v>3</v>
      </c>
      <c r="S171" s="81">
        <v>1</v>
      </c>
      <c r="T171" s="103">
        <f t="shared" si="0"/>
        <v>3</v>
      </c>
      <c r="U171" s="104" t="str">
        <f t="shared" si="89"/>
        <v>ACEPTAR</v>
      </c>
      <c r="V171" s="82"/>
      <c r="W171" s="105"/>
      <c r="X171" s="81"/>
      <c r="Y171" s="81"/>
      <c r="Z171" s="83"/>
      <c r="AA171" s="81"/>
      <c r="AB171" s="106"/>
      <c r="AC171" s="107">
        <f t="shared" si="87"/>
        <v>3</v>
      </c>
      <c r="AD171" s="81">
        <f t="shared" si="88"/>
        <v>1</v>
      </c>
      <c r="AE171" s="103">
        <f t="shared" si="3"/>
        <v>3</v>
      </c>
      <c r="AF171" s="98" t="str">
        <f t="shared" si="84"/>
        <v/>
      </c>
      <c r="AG171" s="97"/>
      <c r="AH171" s="97"/>
    </row>
    <row r="172" spans="1:34" s="27" customFormat="1" ht="100.8" hidden="1">
      <c r="A172" s="28" t="s">
        <v>1055</v>
      </c>
      <c r="B172" s="29" t="s">
        <v>1056</v>
      </c>
      <c r="C172" s="81" t="s">
        <v>111</v>
      </c>
      <c r="D172" s="81" t="s">
        <v>1057</v>
      </c>
      <c r="E172" s="81" t="s">
        <v>1058</v>
      </c>
      <c r="F172" s="81" t="s">
        <v>279</v>
      </c>
      <c r="G172" s="81" t="s">
        <v>1059</v>
      </c>
      <c r="H172" s="98">
        <v>2</v>
      </c>
      <c r="I172" s="99" t="s">
        <v>1060</v>
      </c>
      <c r="J172" s="38" t="s">
        <v>1061</v>
      </c>
      <c r="K172" s="39" t="s">
        <v>1062</v>
      </c>
      <c r="L172" s="102"/>
      <c r="M172" s="81">
        <v>3</v>
      </c>
      <c r="N172" s="81">
        <v>3</v>
      </c>
      <c r="O172" s="81"/>
      <c r="P172" s="100"/>
      <c r="Q172" s="101"/>
      <c r="R172" s="53">
        <f t="shared" si="86"/>
        <v>3</v>
      </c>
      <c r="S172" s="81">
        <v>2</v>
      </c>
      <c r="T172" s="103">
        <f t="shared" si="0"/>
        <v>6</v>
      </c>
      <c r="U172" s="104" t="str">
        <f t="shared" si="89"/>
        <v>ACEPTAR</v>
      </c>
      <c r="V172" s="82"/>
      <c r="W172" s="105"/>
      <c r="X172" s="81"/>
      <c r="Y172" s="81"/>
      <c r="Z172" s="83"/>
      <c r="AA172" s="81"/>
      <c r="AB172" s="106"/>
      <c r="AC172" s="107">
        <f t="shared" si="87"/>
        <v>3</v>
      </c>
      <c r="AD172" s="81">
        <f t="shared" si="88"/>
        <v>2</v>
      </c>
      <c r="AE172" s="103">
        <f t="shared" si="3"/>
        <v>6</v>
      </c>
      <c r="AF172" s="98" t="str">
        <f t="shared" si="84"/>
        <v/>
      </c>
      <c r="AG172" s="97"/>
      <c r="AH172" s="97"/>
    </row>
    <row r="173" spans="1:34" s="27" customFormat="1" ht="86.4" hidden="1">
      <c r="A173" s="28" t="s">
        <v>1055</v>
      </c>
      <c r="B173" s="29" t="s">
        <v>1063</v>
      </c>
      <c r="C173" s="81" t="s">
        <v>879</v>
      </c>
      <c r="D173" s="81" t="s">
        <v>1064</v>
      </c>
      <c r="E173" s="81" t="s">
        <v>1065</v>
      </c>
      <c r="F173" s="81" t="s">
        <v>279</v>
      </c>
      <c r="G173" s="81" t="s">
        <v>1066</v>
      </c>
      <c r="H173" s="98">
        <v>2</v>
      </c>
      <c r="I173" s="99" t="s">
        <v>1067</v>
      </c>
      <c r="J173" s="38" t="s">
        <v>1068</v>
      </c>
      <c r="K173" s="41" t="s">
        <v>1062</v>
      </c>
      <c r="L173" s="102">
        <v>2</v>
      </c>
      <c r="M173" s="81">
        <v>3</v>
      </c>
      <c r="N173" s="81">
        <v>3</v>
      </c>
      <c r="P173" s="81">
        <v>2</v>
      </c>
      <c r="Q173" s="101"/>
      <c r="R173" s="53">
        <f t="shared" si="86"/>
        <v>3</v>
      </c>
      <c r="S173" s="81">
        <v>2</v>
      </c>
      <c r="T173" s="103">
        <f t="shared" si="0"/>
        <v>6</v>
      </c>
      <c r="U173" s="104" t="str">
        <f t="shared" si="89"/>
        <v>ACEPTAR</v>
      </c>
      <c r="V173" s="82"/>
      <c r="W173" s="105"/>
      <c r="X173" s="81"/>
      <c r="Y173" s="81"/>
      <c r="Z173" s="83"/>
      <c r="AA173" s="81"/>
      <c r="AB173" s="106"/>
      <c r="AC173" s="107">
        <f t="shared" si="87"/>
        <v>3</v>
      </c>
      <c r="AD173" s="81">
        <f t="shared" si="88"/>
        <v>2</v>
      </c>
      <c r="AE173" s="103">
        <f t="shared" si="3"/>
        <v>6</v>
      </c>
      <c r="AF173" s="98" t="str">
        <f t="shared" si="84"/>
        <v/>
      </c>
      <c r="AG173" s="97"/>
      <c r="AH173" s="97"/>
    </row>
    <row r="174" spans="1:34" s="27" customFormat="1" ht="72" hidden="1">
      <c r="A174" s="28" t="s">
        <v>1055</v>
      </c>
      <c r="B174" s="29" t="s">
        <v>1069</v>
      </c>
      <c r="C174" s="81" t="s">
        <v>111</v>
      </c>
      <c r="D174" s="81" t="s">
        <v>1070</v>
      </c>
      <c r="E174" s="81" t="s">
        <v>1071</v>
      </c>
      <c r="F174" s="81" t="s">
        <v>536</v>
      </c>
      <c r="G174" s="81" t="s">
        <v>1072</v>
      </c>
      <c r="H174" s="98">
        <v>3</v>
      </c>
      <c r="I174" s="99" t="s">
        <v>1073</v>
      </c>
      <c r="J174" s="40" t="s">
        <v>1074</v>
      </c>
      <c r="K174" s="39" t="s">
        <v>1075</v>
      </c>
      <c r="L174" s="102">
        <v>3</v>
      </c>
      <c r="M174" s="81">
        <v>3</v>
      </c>
      <c r="N174" s="81">
        <v>3</v>
      </c>
      <c r="O174" s="81">
        <v>3</v>
      </c>
      <c r="P174" s="100">
        <v>3</v>
      </c>
      <c r="Q174" s="101">
        <v>3</v>
      </c>
      <c r="R174" s="53">
        <f t="shared" si="86"/>
        <v>3</v>
      </c>
      <c r="S174" s="81">
        <v>2</v>
      </c>
      <c r="T174" s="103">
        <f t="shared" si="0"/>
        <v>6</v>
      </c>
      <c r="U174" s="104" t="str">
        <f t="shared" si="89"/>
        <v>ACEPTAR</v>
      </c>
      <c r="V174" s="82"/>
      <c r="W174" s="105"/>
      <c r="X174" s="81"/>
      <c r="Y174" s="81"/>
      <c r="Z174" s="83"/>
      <c r="AA174" s="81"/>
      <c r="AB174" s="106"/>
      <c r="AC174" s="107">
        <f t="shared" si="87"/>
        <v>3</v>
      </c>
      <c r="AD174" s="81">
        <f t="shared" si="88"/>
        <v>2</v>
      </c>
      <c r="AE174" s="103">
        <f t="shared" si="3"/>
        <v>6</v>
      </c>
      <c r="AF174" s="98" t="str">
        <f t="shared" si="84"/>
        <v/>
      </c>
      <c r="AG174" s="97"/>
      <c r="AH174" s="97"/>
    </row>
    <row r="175" spans="1:34" s="27" customFormat="1" ht="57.6" hidden="1">
      <c r="A175" s="28" t="s">
        <v>1055</v>
      </c>
      <c r="B175" s="29" t="s">
        <v>1076</v>
      </c>
      <c r="C175" s="81" t="s">
        <v>879</v>
      </c>
      <c r="D175" s="81" t="s">
        <v>1077</v>
      </c>
      <c r="E175" s="81" t="s">
        <v>1078</v>
      </c>
      <c r="F175" s="81" t="s">
        <v>536</v>
      </c>
      <c r="G175" s="81" t="s">
        <v>1079</v>
      </c>
      <c r="H175" s="98">
        <v>3</v>
      </c>
      <c r="I175" s="99" t="s">
        <v>1073</v>
      </c>
      <c r="J175" s="40" t="s">
        <v>1074</v>
      </c>
      <c r="K175" s="39" t="s">
        <v>1080</v>
      </c>
      <c r="L175" s="102">
        <v>3</v>
      </c>
      <c r="M175" s="81">
        <v>3</v>
      </c>
      <c r="N175" s="81">
        <v>3</v>
      </c>
      <c r="O175" s="81">
        <v>3</v>
      </c>
      <c r="P175" s="100">
        <v>3</v>
      </c>
      <c r="Q175" s="101">
        <v>3</v>
      </c>
      <c r="R175" s="53">
        <f t="shared" si="86"/>
        <v>3</v>
      </c>
      <c r="S175" s="81">
        <v>2</v>
      </c>
      <c r="T175" s="103">
        <f t="shared" si="0"/>
        <v>6</v>
      </c>
      <c r="U175" s="104" t="str">
        <f t="shared" si="89"/>
        <v>ACEPTAR</v>
      </c>
      <c r="V175" s="82"/>
      <c r="W175" s="105"/>
      <c r="X175" s="81"/>
      <c r="Y175" s="81"/>
      <c r="Z175" s="83"/>
      <c r="AA175" s="81"/>
      <c r="AB175" s="106"/>
      <c r="AC175" s="107">
        <f t="shared" si="87"/>
        <v>3</v>
      </c>
      <c r="AD175" s="81">
        <f t="shared" si="88"/>
        <v>2</v>
      </c>
      <c r="AE175" s="103">
        <f t="shared" si="3"/>
        <v>6</v>
      </c>
      <c r="AF175" s="98" t="str">
        <f t="shared" si="84"/>
        <v/>
      </c>
      <c r="AG175" s="97"/>
      <c r="AH175" s="97"/>
    </row>
    <row r="176" spans="1:34" s="27" customFormat="1" ht="57.6" hidden="1">
      <c r="A176" s="28" t="s">
        <v>1055</v>
      </c>
      <c r="B176" s="29" t="s">
        <v>1081</v>
      </c>
      <c r="C176" s="81" t="s">
        <v>879</v>
      </c>
      <c r="D176" s="81" t="s">
        <v>1082</v>
      </c>
      <c r="E176" s="81" t="s">
        <v>1078</v>
      </c>
      <c r="F176" s="81" t="s">
        <v>536</v>
      </c>
      <c r="G176" s="81" t="s">
        <v>1079</v>
      </c>
      <c r="H176" s="98">
        <v>2</v>
      </c>
      <c r="I176" s="99" t="s">
        <v>1073</v>
      </c>
      <c r="J176" s="40" t="s">
        <v>1074</v>
      </c>
      <c r="K176" s="39" t="s">
        <v>1083</v>
      </c>
      <c r="L176" s="102">
        <v>3</v>
      </c>
      <c r="M176" s="81">
        <v>3</v>
      </c>
      <c r="N176" s="81">
        <v>3</v>
      </c>
      <c r="O176" s="81">
        <v>3</v>
      </c>
      <c r="P176" s="100">
        <v>3</v>
      </c>
      <c r="Q176" s="101">
        <v>3</v>
      </c>
      <c r="R176" s="53">
        <f t="shared" si="86"/>
        <v>3</v>
      </c>
      <c r="S176" s="81">
        <v>2</v>
      </c>
      <c r="T176" s="103">
        <f t="shared" si="0"/>
        <v>6</v>
      </c>
      <c r="U176" s="104" t="str">
        <f t="shared" si="89"/>
        <v>ACEPTAR</v>
      </c>
      <c r="V176" s="82"/>
      <c r="W176" s="105"/>
      <c r="X176" s="81"/>
      <c r="Y176" s="81"/>
      <c r="Z176" s="83"/>
      <c r="AA176" s="81"/>
      <c r="AB176" s="106"/>
      <c r="AC176" s="107">
        <f t="shared" si="87"/>
        <v>3</v>
      </c>
      <c r="AD176" s="81">
        <f t="shared" si="88"/>
        <v>2</v>
      </c>
      <c r="AE176" s="103">
        <f t="shared" si="3"/>
        <v>6</v>
      </c>
      <c r="AF176" s="98" t="str">
        <f t="shared" si="84"/>
        <v/>
      </c>
      <c r="AG176" s="97"/>
      <c r="AH176" s="97"/>
    </row>
    <row r="177" spans="1:34" s="27" customFormat="1" ht="57.6" hidden="1">
      <c r="A177" s="28" t="s">
        <v>1055</v>
      </c>
      <c r="B177" s="29" t="s">
        <v>1084</v>
      </c>
      <c r="C177" s="81" t="s">
        <v>1085</v>
      </c>
      <c r="D177" s="81" t="s">
        <v>1086</v>
      </c>
      <c r="E177" s="81" t="s">
        <v>1087</v>
      </c>
      <c r="F177" s="81" t="s">
        <v>1088</v>
      </c>
      <c r="G177" s="81" t="s">
        <v>1089</v>
      </c>
      <c r="H177" s="98">
        <v>3</v>
      </c>
      <c r="I177" s="99" t="s">
        <v>1090</v>
      </c>
      <c r="J177" s="38" t="s">
        <v>1091</v>
      </c>
      <c r="K177" s="39" t="s">
        <v>1092</v>
      </c>
      <c r="L177" s="102">
        <v>3</v>
      </c>
      <c r="M177" s="81">
        <v>3</v>
      </c>
      <c r="N177" s="81">
        <v>3</v>
      </c>
      <c r="O177" s="81"/>
      <c r="P177" s="100"/>
      <c r="Q177" s="101"/>
      <c r="R177" s="53">
        <f t="shared" si="86"/>
        <v>3</v>
      </c>
      <c r="S177" s="81">
        <v>2</v>
      </c>
      <c r="T177" s="103">
        <f t="shared" si="0"/>
        <v>6</v>
      </c>
      <c r="U177" s="104" t="str">
        <f t="shared" si="89"/>
        <v>ACEPTAR</v>
      </c>
      <c r="V177" s="82"/>
      <c r="W177" s="105"/>
      <c r="X177" s="81"/>
      <c r="Y177" s="81"/>
      <c r="Z177" s="83"/>
      <c r="AA177" s="81"/>
      <c r="AB177" s="106"/>
      <c r="AC177" s="107">
        <f t="shared" si="87"/>
        <v>3</v>
      </c>
      <c r="AD177" s="81">
        <f t="shared" si="88"/>
        <v>2</v>
      </c>
      <c r="AE177" s="103">
        <f t="shared" si="3"/>
        <v>6</v>
      </c>
      <c r="AF177" s="98" t="str">
        <f t="shared" si="84"/>
        <v/>
      </c>
      <c r="AG177" s="97"/>
      <c r="AH177" s="97"/>
    </row>
    <row r="178" spans="1:34" s="27" customFormat="1" ht="57.6" hidden="1">
      <c r="A178" s="28" t="s">
        <v>1055</v>
      </c>
      <c r="B178" s="29" t="s">
        <v>1093</v>
      </c>
      <c r="C178" s="81" t="s">
        <v>879</v>
      </c>
      <c r="D178" s="81" t="s">
        <v>1094</v>
      </c>
      <c r="E178" s="81" t="s">
        <v>1095</v>
      </c>
      <c r="F178" s="81" t="s">
        <v>536</v>
      </c>
      <c r="G178" s="81" t="s">
        <v>1089</v>
      </c>
      <c r="H178" s="98">
        <v>3</v>
      </c>
      <c r="I178" s="99" t="s">
        <v>1096</v>
      </c>
      <c r="J178" s="40" t="s">
        <v>1097</v>
      </c>
      <c r="K178" s="41" t="s">
        <v>1098</v>
      </c>
      <c r="L178" s="102">
        <v>3</v>
      </c>
      <c r="M178" s="81">
        <v>3</v>
      </c>
      <c r="N178" s="81">
        <v>3</v>
      </c>
      <c r="O178" s="81"/>
      <c r="P178" s="100"/>
      <c r="Q178" s="101"/>
      <c r="R178" s="53">
        <f t="shared" si="86"/>
        <v>3</v>
      </c>
      <c r="S178" s="81">
        <v>2</v>
      </c>
      <c r="T178" s="103">
        <f t="shared" si="0"/>
        <v>6</v>
      </c>
      <c r="U178" s="104" t="str">
        <f t="shared" si="89"/>
        <v>ACEPTAR</v>
      </c>
      <c r="V178" s="82"/>
      <c r="W178" s="105"/>
      <c r="X178" s="81"/>
      <c r="Y178" s="81"/>
      <c r="Z178" s="83"/>
      <c r="AA178" s="81"/>
      <c r="AB178" s="106"/>
      <c r="AC178" s="107">
        <f t="shared" si="87"/>
        <v>3</v>
      </c>
      <c r="AD178" s="81">
        <f t="shared" si="88"/>
        <v>2</v>
      </c>
      <c r="AE178" s="103">
        <f t="shared" si="3"/>
        <v>6</v>
      </c>
      <c r="AF178" s="98" t="str">
        <f t="shared" si="84"/>
        <v/>
      </c>
      <c r="AG178" s="97"/>
      <c r="AH178" s="97"/>
    </row>
    <row r="179" spans="1:34" s="27" customFormat="1" ht="57.6" hidden="1">
      <c r="A179" s="28" t="s">
        <v>1055</v>
      </c>
      <c r="B179" s="29" t="s">
        <v>1099</v>
      </c>
      <c r="C179" s="81" t="s">
        <v>879</v>
      </c>
      <c r="D179" s="81" t="s">
        <v>1100</v>
      </c>
      <c r="E179" s="81" t="s">
        <v>1095</v>
      </c>
      <c r="F179" s="81" t="s">
        <v>536</v>
      </c>
      <c r="G179" s="81" t="s">
        <v>1079</v>
      </c>
      <c r="H179" s="98">
        <v>3</v>
      </c>
      <c r="I179" s="99" t="s">
        <v>1096</v>
      </c>
      <c r="J179" s="40" t="s">
        <v>1097</v>
      </c>
      <c r="K179" s="41" t="s">
        <v>1098</v>
      </c>
      <c r="L179" s="102">
        <v>3</v>
      </c>
      <c r="M179" s="81">
        <v>3</v>
      </c>
      <c r="N179" s="81">
        <v>3</v>
      </c>
      <c r="O179" s="81"/>
      <c r="P179" s="100"/>
      <c r="Q179" s="101"/>
      <c r="R179" s="53">
        <f t="shared" si="86"/>
        <v>3</v>
      </c>
      <c r="S179" s="81">
        <v>2</v>
      </c>
      <c r="T179" s="103">
        <f t="shared" ref="T179" si="90">R179*S179</f>
        <v>6</v>
      </c>
      <c r="U179" s="104" t="str">
        <f t="shared" ref="U179" si="91">IF(T179&lt;8,"ACEPTAR","MITIGAR")</f>
        <v>ACEPTAR</v>
      </c>
      <c r="V179" s="82"/>
      <c r="W179" s="105"/>
      <c r="X179" s="81"/>
      <c r="Y179" s="81"/>
      <c r="Z179" s="83"/>
      <c r="AA179" s="81"/>
      <c r="AB179" s="106"/>
      <c r="AC179" s="107">
        <f t="shared" si="87"/>
        <v>3</v>
      </c>
      <c r="AD179" s="81">
        <f t="shared" si="88"/>
        <v>2</v>
      </c>
      <c r="AE179" s="103">
        <f t="shared" ref="AE179" si="92">AC179*AD179</f>
        <v>6</v>
      </c>
      <c r="AF179" s="98" t="str">
        <f t="shared" si="84"/>
        <v/>
      </c>
      <c r="AG179" s="97"/>
      <c r="AH179" s="97"/>
    </row>
    <row r="180" spans="1:34" s="27" customFormat="1" ht="100.8" hidden="1">
      <c r="A180" s="28" t="s">
        <v>1055</v>
      </c>
      <c r="B180" s="29" t="s">
        <v>1101</v>
      </c>
      <c r="C180" s="81" t="s">
        <v>1085</v>
      </c>
      <c r="D180" s="81" t="s">
        <v>1102</v>
      </c>
      <c r="E180" s="81" t="s">
        <v>1103</v>
      </c>
      <c r="F180" s="81" t="s">
        <v>536</v>
      </c>
      <c r="G180" s="81" t="s">
        <v>1079</v>
      </c>
      <c r="H180" s="98">
        <v>3</v>
      </c>
      <c r="I180" s="99" t="s">
        <v>1104</v>
      </c>
      <c r="J180" s="38" t="s">
        <v>1105</v>
      </c>
      <c r="K180" s="41" t="s">
        <v>1098</v>
      </c>
      <c r="L180" s="102">
        <v>3</v>
      </c>
      <c r="M180" s="81">
        <v>3</v>
      </c>
      <c r="N180" s="81">
        <v>3</v>
      </c>
      <c r="O180" s="81"/>
      <c r="P180" s="100"/>
      <c r="Q180" s="101"/>
      <c r="R180" s="53">
        <f t="shared" si="86"/>
        <v>3</v>
      </c>
      <c r="S180" s="81">
        <v>2</v>
      </c>
      <c r="T180" s="103">
        <f t="shared" si="0"/>
        <v>6</v>
      </c>
      <c r="U180" s="104" t="str">
        <f t="shared" si="89"/>
        <v>ACEPTAR</v>
      </c>
      <c r="V180" s="82"/>
      <c r="W180" s="105"/>
      <c r="X180" s="81"/>
      <c r="Y180" s="81"/>
      <c r="Z180" s="83"/>
      <c r="AA180" s="81"/>
      <c r="AB180" s="106"/>
      <c r="AC180" s="107">
        <f t="shared" si="87"/>
        <v>3</v>
      </c>
      <c r="AD180" s="81">
        <f t="shared" si="88"/>
        <v>2</v>
      </c>
      <c r="AE180" s="103">
        <f t="shared" si="3"/>
        <v>6</v>
      </c>
      <c r="AF180" s="98" t="str">
        <f t="shared" si="84"/>
        <v/>
      </c>
      <c r="AG180" s="97"/>
      <c r="AH180" s="97"/>
    </row>
    <row r="181" spans="1:34" s="27" customFormat="1" ht="72" hidden="1">
      <c r="A181" s="28" t="s">
        <v>1055</v>
      </c>
      <c r="B181" s="29" t="s">
        <v>1106</v>
      </c>
      <c r="C181" s="81" t="s">
        <v>1085</v>
      </c>
      <c r="D181" s="81" t="s">
        <v>1107</v>
      </c>
      <c r="E181" s="81" t="s">
        <v>1108</v>
      </c>
      <c r="F181" s="81" t="s">
        <v>1109</v>
      </c>
      <c r="G181" s="81" t="s">
        <v>1079</v>
      </c>
      <c r="H181" s="98">
        <v>3</v>
      </c>
      <c r="I181" s="99" t="s">
        <v>1104</v>
      </c>
      <c r="J181" s="38" t="s">
        <v>1105</v>
      </c>
      <c r="K181" s="41" t="s">
        <v>1062</v>
      </c>
      <c r="L181" s="102">
        <v>3</v>
      </c>
      <c r="M181" s="81">
        <v>3</v>
      </c>
      <c r="N181" s="81">
        <v>3</v>
      </c>
      <c r="O181" s="81"/>
      <c r="P181" s="100"/>
      <c r="Q181" s="101"/>
      <c r="R181" s="53">
        <f t="shared" si="86"/>
        <v>3</v>
      </c>
      <c r="S181" s="81">
        <v>2</v>
      </c>
      <c r="T181" s="103">
        <f t="shared" si="0"/>
        <v>6</v>
      </c>
      <c r="U181" s="104" t="str">
        <f t="shared" si="89"/>
        <v>ACEPTAR</v>
      </c>
      <c r="V181" s="82"/>
      <c r="W181" s="105"/>
      <c r="X181" s="81"/>
      <c r="Y181" s="81"/>
      <c r="Z181" s="83"/>
      <c r="AA181" s="81"/>
      <c r="AB181" s="106"/>
      <c r="AC181" s="107">
        <f t="shared" si="87"/>
        <v>3</v>
      </c>
      <c r="AD181" s="81">
        <f t="shared" si="88"/>
        <v>2</v>
      </c>
      <c r="AE181" s="103">
        <f t="shared" si="3"/>
        <v>6</v>
      </c>
      <c r="AF181" s="98" t="str">
        <f t="shared" si="84"/>
        <v/>
      </c>
      <c r="AG181" s="97"/>
      <c r="AH181" s="97"/>
    </row>
    <row r="182" spans="1:34" s="27" customFormat="1" ht="57.6" hidden="1">
      <c r="A182" s="28" t="s">
        <v>1055</v>
      </c>
      <c r="B182" s="29" t="s">
        <v>1110</v>
      </c>
      <c r="C182" s="81" t="s">
        <v>1085</v>
      </c>
      <c r="D182" s="81" t="s">
        <v>1111</v>
      </c>
      <c r="E182" s="81" t="s">
        <v>1112</v>
      </c>
      <c r="F182" s="81" t="s">
        <v>1113</v>
      </c>
      <c r="G182" s="81" t="s">
        <v>1079</v>
      </c>
      <c r="H182" s="98">
        <v>3</v>
      </c>
      <c r="I182" s="99" t="s">
        <v>1104</v>
      </c>
      <c r="J182" s="38" t="s">
        <v>1105</v>
      </c>
      <c r="K182" s="41" t="s">
        <v>1098</v>
      </c>
      <c r="L182" s="102">
        <v>3</v>
      </c>
      <c r="M182" s="81">
        <v>3</v>
      </c>
      <c r="N182" s="81">
        <v>3</v>
      </c>
      <c r="O182" s="81"/>
      <c r="P182" s="100"/>
      <c r="Q182" s="101"/>
      <c r="R182" s="53">
        <f t="shared" si="86"/>
        <v>3</v>
      </c>
      <c r="S182" s="81">
        <v>2</v>
      </c>
      <c r="T182" s="103">
        <f t="shared" si="0"/>
        <v>6</v>
      </c>
      <c r="U182" s="104" t="str">
        <f t="shared" si="89"/>
        <v>ACEPTAR</v>
      </c>
      <c r="V182" s="82"/>
      <c r="W182" s="105"/>
      <c r="X182" s="81"/>
      <c r="Y182" s="81"/>
      <c r="Z182" s="83"/>
      <c r="AA182" s="81"/>
      <c r="AB182" s="106"/>
      <c r="AC182" s="107">
        <f t="shared" si="87"/>
        <v>3</v>
      </c>
      <c r="AD182" s="81">
        <f t="shared" si="88"/>
        <v>2</v>
      </c>
      <c r="AE182" s="103">
        <f t="shared" si="3"/>
        <v>6</v>
      </c>
      <c r="AF182" s="98" t="str">
        <f t="shared" si="84"/>
        <v/>
      </c>
      <c r="AG182" s="97"/>
      <c r="AH182" s="97"/>
    </row>
    <row r="183" spans="1:34" s="27" customFormat="1" ht="43.2" hidden="1">
      <c r="A183" s="28" t="s">
        <v>1055</v>
      </c>
      <c r="B183" s="29" t="s">
        <v>1114</v>
      </c>
      <c r="C183" s="81" t="s">
        <v>1085</v>
      </c>
      <c r="D183" s="81" t="s">
        <v>1115</v>
      </c>
      <c r="E183" s="81" t="s">
        <v>1108</v>
      </c>
      <c r="F183" s="81" t="s">
        <v>1113</v>
      </c>
      <c r="G183" s="81" t="s">
        <v>1079</v>
      </c>
      <c r="H183" s="98">
        <v>3</v>
      </c>
      <c r="I183" s="99" t="s">
        <v>1116</v>
      </c>
      <c r="J183" s="38" t="s">
        <v>1105</v>
      </c>
      <c r="K183" s="39" t="s">
        <v>1117</v>
      </c>
      <c r="L183" s="102">
        <v>2</v>
      </c>
      <c r="M183" s="81">
        <v>2</v>
      </c>
      <c r="N183" s="81">
        <v>2</v>
      </c>
      <c r="O183" s="81"/>
      <c r="P183" s="100"/>
      <c r="Q183" s="101"/>
      <c r="R183" s="53">
        <f t="shared" si="86"/>
        <v>2</v>
      </c>
      <c r="S183" s="81">
        <v>2</v>
      </c>
      <c r="T183" s="103">
        <f t="shared" si="0"/>
        <v>4</v>
      </c>
      <c r="U183" s="104" t="str">
        <f t="shared" si="89"/>
        <v>ACEPTAR</v>
      </c>
      <c r="V183" s="82"/>
      <c r="W183" s="105"/>
      <c r="X183" s="81"/>
      <c r="Y183" s="81"/>
      <c r="Z183" s="83"/>
      <c r="AA183" s="81"/>
      <c r="AB183" s="106"/>
      <c r="AC183" s="107">
        <f t="shared" si="87"/>
        <v>2</v>
      </c>
      <c r="AD183" s="81">
        <f t="shared" si="88"/>
        <v>2</v>
      </c>
      <c r="AE183" s="103">
        <f t="shared" si="3"/>
        <v>4</v>
      </c>
      <c r="AF183" s="98" t="str">
        <f t="shared" si="84"/>
        <v/>
      </c>
      <c r="AG183" s="97"/>
      <c r="AH183" s="97"/>
    </row>
    <row r="184" spans="1:34" s="27" customFormat="1" ht="72" hidden="1">
      <c r="A184" s="28" t="s">
        <v>1118</v>
      </c>
      <c r="B184" s="29" t="s">
        <v>1119</v>
      </c>
      <c r="C184" s="81" t="s">
        <v>111</v>
      </c>
      <c r="D184" s="81" t="s">
        <v>1120</v>
      </c>
      <c r="E184" s="81" t="s">
        <v>1121</v>
      </c>
      <c r="F184" s="81" t="s">
        <v>1109</v>
      </c>
      <c r="G184" s="81" t="s">
        <v>1122</v>
      </c>
      <c r="H184" s="98">
        <v>3</v>
      </c>
      <c r="I184" s="99" t="s">
        <v>1123</v>
      </c>
      <c r="J184" s="38" t="s">
        <v>1124</v>
      </c>
      <c r="K184" s="39" t="s">
        <v>117</v>
      </c>
      <c r="L184" s="102">
        <v>4</v>
      </c>
      <c r="M184" s="81">
        <v>4</v>
      </c>
      <c r="N184" s="81">
        <v>4</v>
      </c>
      <c r="O184" s="81">
        <v>4</v>
      </c>
      <c r="P184" s="100">
        <v>4</v>
      </c>
      <c r="Q184" s="101">
        <v>4</v>
      </c>
      <c r="R184" s="53">
        <f t="shared" si="86"/>
        <v>4</v>
      </c>
      <c r="S184" s="81">
        <v>1</v>
      </c>
      <c r="T184" s="103">
        <f t="shared" si="0"/>
        <v>4</v>
      </c>
      <c r="U184" s="104" t="str">
        <f t="shared" si="89"/>
        <v>ACEPTAR</v>
      </c>
      <c r="V184" s="82"/>
      <c r="W184" s="105"/>
      <c r="X184" s="81"/>
      <c r="Y184" s="81"/>
      <c r="Z184" s="83"/>
      <c r="AA184" s="81"/>
      <c r="AB184" s="106"/>
      <c r="AC184" s="107">
        <f t="shared" si="87"/>
        <v>4</v>
      </c>
      <c r="AD184" s="81">
        <f t="shared" si="88"/>
        <v>1</v>
      </c>
      <c r="AE184" s="103">
        <f t="shared" si="3"/>
        <v>4</v>
      </c>
      <c r="AF184" s="98" t="str">
        <f t="shared" si="84"/>
        <v/>
      </c>
      <c r="AG184" s="97"/>
      <c r="AH184" s="97"/>
    </row>
    <row r="185" spans="1:34" s="27" customFormat="1" ht="72" hidden="1">
      <c r="A185" s="28" t="s">
        <v>1118</v>
      </c>
      <c r="B185" s="29" t="s">
        <v>1125</v>
      </c>
      <c r="C185" s="81" t="s">
        <v>111</v>
      </c>
      <c r="D185" s="81" t="s">
        <v>1126</v>
      </c>
      <c r="E185" s="81" t="s">
        <v>1127</v>
      </c>
      <c r="F185" s="81" t="s">
        <v>1109</v>
      </c>
      <c r="G185" s="81" t="s">
        <v>1122</v>
      </c>
      <c r="H185" s="98">
        <v>3</v>
      </c>
      <c r="I185" s="99" t="s">
        <v>1128</v>
      </c>
      <c r="J185" s="40" t="s">
        <v>1129</v>
      </c>
      <c r="K185" s="39" t="s">
        <v>1130</v>
      </c>
      <c r="L185" s="102">
        <v>4</v>
      </c>
      <c r="M185" s="81">
        <v>4</v>
      </c>
      <c r="N185" s="81">
        <v>4</v>
      </c>
      <c r="O185" s="81">
        <v>4</v>
      </c>
      <c r="P185" s="100">
        <v>4</v>
      </c>
      <c r="Q185" s="101">
        <v>4</v>
      </c>
      <c r="R185" s="53">
        <f t="shared" si="86"/>
        <v>4</v>
      </c>
      <c r="S185" s="81">
        <v>1</v>
      </c>
      <c r="T185" s="103">
        <f t="shared" si="0"/>
        <v>4</v>
      </c>
      <c r="U185" s="104" t="str">
        <f t="shared" si="89"/>
        <v>ACEPTAR</v>
      </c>
      <c r="V185" s="82"/>
      <c r="W185" s="105"/>
      <c r="X185" s="81"/>
      <c r="Y185" s="81"/>
      <c r="Z185" s="83"/>
      <c r="AA185" s="81"/>
      <c r="AB185" s="106"/>
      <c r="AC185" s="107">
        <f t="shared" si="87"/>
        <v>4</v>
      </c>
      <c r="AD185" s="81">
        <f t="shared" si="88"/>
        <v>1</v>
      </c>
      <c r="AE185" s="103">
        <f t="shared" si="3"/>
        <v>4</v>
      </c>
      <c r="AF185" s="98" t="str">
        <f t="shared" si="84"/>
        <v/>
      </c>
      <c r="AG185" s="97"/>
      <c r="AH185" s="97"/>
    </row>
    <row r="186" spans="1:34" s="27" customFormat="1" ht="72" hidden="1">
      <c r="A186" s="28" t="s">
        <v>1118</v>
      </c>
      <c r="B186" s="29" t="s">
        <v>1131</v>
      </c>
      <c r="C186" s="81" t="s">
        <v>170</v>
      </c>
      <c r="D186" s="81" t="s">
        <v>1132</v>
      </c>
      <c r="E186" s="81" t="s">
        <v>1133</v>
      </c>
      <c r="F186" s="81" t="s">
        <v>1109</v>
      </c>
      <c r="G186" s="81" t="s">
        <v>1122</v>
      </c>
      <c r="H186" s="98">
        <v>3</v>
      </c>
      <c r="I186" s="99" t="s">
        <v>1134</v>
      </c>
      <c r="J186" s="40" t="s">
        <v>1135</v>
      </c>
      <c r="K186" s="39" t="s">
        <v>1136</v>
      </c>
      <c r="L186" s="102">
        <v>4</v>
      </c>
      <c r="M186" s="81">
        <v>4</v>
      </c>
      <c r="N186" s="81">
        <v>4</v>
      </c>
      <c r="O186" s="81">
        <v>4</v>
      </c>
      <c r="P186" s="100">
        <v>4</v>
      </c>
      <c r="Q186" s="101">
        <v>4</v>
      </c>
      <c r="R186" s="53">
        <f t="shared" si="86"/>
        <v>4</v>
      </c>
      <c r="S186" s="81">
        <v>1</v>
      </c>
      <c r="T186" s="103">
        <f t="shared" si="0"/>
        <v>4</v>
      </c>
      <c r="U186" s="104" t="str">
        <f t="shared" si="89"/>
        <v>ACEPTAR</v>
      </c>
      <c r="V186" s="82"/>
      <c r="W186" s="105"/>
      <c r="X186" s="81"/>
      <c r="Y186" s="81"/>
      <c r="Z186" s="83"/>
      <c r="AA186" s="81"/>
      <c r="AB186" s="106"/>
      <c r="AC186" s="107">
        <f t="shared" si="87"/>
        <v>4</v>
      </c>
      <c r="AD186" s="81">
        <f t="shared" si="88"/>
        <v>1</v>
      </c>
      <c r="AE186" s="103">
        <f t="shared" si="3"/>
        <v>4</v>
      </c>
      <c r="AF186" s="98" t="str">
        <f t="shared" si="84"/>
        <v/>
      </c>
      <c r="AG186" s="97"/>
      <c r="AH186" s="97"/>
    </row>
    <row r="187" spans="1:34" s="27" customFormat="1" ht="72" hidden="1">
      <c r="A187" s="28" t="s">
        <v>1118</v>
      </c>
      <c r="B187" s="29" t="s">
        <v>1137</v>
      </c>
      <c r="C187" s="81" t="s">
        <v>111</v>
      </c>
      <c r="D187" s="81" t="s">
        <v>1138</v>
      </c>
      <c r="E187" s="81" t="s">
        <v>1139</v>
      </c>
      <c r="F187" s="81" t="s">
        <v>1109</v>
      </c>
      <c r="G187" s="81" t="s">
        <v>1122</v>
      </c>
      <c r="H187" s="98">
        <v>3</v>
      </c>
      <c r="I187" s="99" t="s">
        <v>1140</v>
      </c>
      <c r="J187" s="38" t="s">
        <v>1141</v>
      </c>
      <c r="K187" s="41" t="s">
        <v>124</v>
      </c>
      <c r="L187" s="102">
        <v>4</v>
      </c>
      <c r="M187" s="81">
        <v>4</v>
      </c>
      <c r="N187" s="81">
        <v>4</v>
      </c>
      <c r="O187" s="81">
        <v>4</v>
      </c>
      <c r="P187" s="100">
        <v>4</v>
      </c>
      <c r="Q187" s="101">
        <v>4</v>
      </c>
      <c r="R187" s="53">
        <f t="shared" si="86"/>
        <v>4</v>
      </c>
      <c r="S187" s="81">
        <v>1</v>
      </c>
      <c r="T187" s="103">
        <f t="shared" si="0"/>
        <v>4</v>
      </c>
      <c r="U187" s="104" t="str">
        <f t="shared" si="89"/>
        <v>ACEPTAR</v>
      </c>
      <c r="V187" s="82"/>
      <c r="W187" s="105"/>
      <c r="X187" s="81"/>
      <c r="Y187" s="81"/>
      <c r="Z187" s="83"/>
      <c r="AA187" s="81"/>
      <c r="AB187" s="106"/>
      <c r="AC187" s="107">
        <f t="shared" si="87"/>
        <v>4</v>
      </c>
      <c r="AD187" s="81">
        <f t="shared" si="88"/>
        <v>1</v>
      </c>
      <c r="AE187" s="103">
        <f t="shared" si="3"/>
        <v>4</v>
      </c>
      <c r="AF187" s="98" t="str">
        <f t="shared" si="84"/>
        <v/>
      </c>
      <c r="AG187" s="97"/>
      <c r="AH187" s="97"/>
    </row>
    <row r="188" spans="1:34" s="27" customFormat="1" ht="86.4" hidden="1">
      <c r="A188" s="28" t="s">
        <v>1118</v>
      </c>
      <c r="B188" s="29" t="s">
        <v>1142</v>
      </c>
      <c r="C188" s="81" t="s">
        <v>111</v>
      </c>
      <c r="D188" s="81" t="s">
        <v>1143</v>
      </c>
      <c r="E188" s="81" t="s">
        <v>1121</v>
      </c>
      <c r="F188" s="81" t="s">
        <v>1109</v>
      </c>
      <c r="G188" s="81" t="s">
        <v>1122</v>
      </c>
      <c r="H188" s="98">
        <v>3</v>
      </c>
      <c r="I188" s="99" t="s">
        <v>1144</v>
      </c>
      <c r="J188" s="40" t="s">
        <v>1145</v>
      </c>
      <c r="K188" s="39" t="s">
        <v>1146</v>
      </c>
      <c r="L188" s="102">
        <v>4</v>
      </c>
      <c r="M188" s="81">
        <v>4</v>
      </c>
      <c r="N188" s="81">
        <v>4</v>
      </c>
      <c r="O188" s="81">
        <v>4</v>
      </c>
      <c r="P188" s="100">
        <v>4</v>
      </c>
      <c r="Q188" s="101">
        <v>4</v>
      </c>
      <c r="R188" s="53">
        <f t="shared" si="86"/>
        <v>4</v>
      </c>
      <c r="S188" s="81">
        <v>1</v>
      </c>
      <c r="T188" s="103">
        <f t="shared" si="0"/>
        <v>4</v>
      </c>
      <c r="U188" s="104" t="str">
        <f t="shared" si="89"/>
        <v>ACEPTAR</v>
      </c>
      <c r="V188" s="82"/>
      <c r="W188" s="105"/>
      <c r="X188" s="81"/>
      <c r="Y188" s="81"/>
      <c r="Z188" s="83"/>
      <c r="AA188" s="81"/>
      <c r="AB188" s="106"/>
      <c r="AC188" s="107">
        <f t="shared" si="87"/>
        <v>4</v>
      </c>
      <c r="AD188" s="81">
        <f t="shared" si="88"/>
        <v>1</v>
      </c>
      <c r="AE188" s="103">
        <f t="shared" si="3"/>
        <v>4</v>
      </c>
      <c r="AF188" s="98" t="str">
        <f t="shared" si="84"/>
        <v/>
      </c>
      <c r="AG188" s="97"/>
      <c r="AH188" s="97"/>
    </row>
    <row r="189" spans="1:34" s="27" customFormat="1" ht="72" hidden="1">
      <c r="A189" s="28" t="s">
        <v>1118</v>
      </c>
      <c r="B189" s="29" t="s">
        <v>1147</v>
      </c>
      <c r="C189" s="81" t="s">
        <v>111</v>
      </c>
      <c r="D189" s="81" t="s">
        <v>1148</v>
      </c>
      <c r="E189" s="81" t="s">
        <v>1149</v>
      </c>
      <c r="F189" s="81" t="s">
        <v>1109</v>
      </c>
      <c r="G189" s="81" t="s">
        <v>1122</v>
      </c>
      <c r="H189" s="98">
        <v>3</v>
      </c>
      <c r="I189" s="99" t="s">
        <v>1150</v>
      </c>
      <c r="J189" s="38" t="s">
        <v>1151</v>
      </c>
      <c r="K189" s="39" t="s">
        <v>1152</v>
      </c>
      <c r="L189" s="102">
        <v>3</v>
      </c>
      <c r="M189" s="81">
        <v>3</v>
      </c>
      <c r="N189" s="81">
        <v>3</v>
      </c>
      <c r="O189" s="81">
        <v>3</v>
      </c>
      <c r="P189" s="100">
        <v>3</v>
      </c>
      <c r="Q189" s="101">
        <v>3</v>
      </c>
      <c r="R189" s="53">
        <f t="shared" si="86"/>
        <v>3</v>
      </c>
      <c r="S189" s="81">
        <v>2</v>
      </c>
      <c r="T189" s="103">
        <f t="shared" si="0"/>
        <v>6</v>
      </c>
      <c r="U189" s="104" t="str">
        <f t="shared" si="89"/>
        <v>ACEPTAR</v>
      </c>
      <c r="V189" s="82"/>
      <c r="W189" s="105"/>
      <c r="X189" s="81"/>
      <c r="Y189" s="81"/>
      <c r="Z189" s="83"/>
      <c r="AA189" s="81"/>
      <c r="AB189" s="106"/>
      <c r="AC189" s="107">
        <f t="shared" si="87"/>
        <v>3</v>
      </c>
      <c r="AD189" s="81">
        <f t="shared" si="88"/>
        <v>2</v>
      </c>
      <c r="AE189" s="103">
        <f t="shared" si="3"/>
        <v>6</v>
      </c>
      <c r="AF189" s="98" t="str">
        <f t="shared" si="84"/>
        <v/>
      </c>
      <c r="AG189" s="97"/>
      <c r="AH189" s="97"/>
    </row>
    <row r="190" spans="1:34" s="27" customFormat="1" ht="72" hidden="1">
      <c r="A190" s="28" t="s">
        <v>1118</v>
      </c>
      <c r="B190" s="29" t="s">
        <v>1153</v>
      </c>
      <c r="C190" s="81" t="s">
        <v>111</v>
      </c>
      <c r="D190" s="81" t="s">
        <v>1154</v>
      </c>
      <c r="E190" s="81" t="s">
        <v>1155</v>
      </c>
      <c r="F190" s="81" t="s">
        <v>1109</v>
      </c>
      <c r="G190" s="81" t="s">
        <v>1122</v>
      </c>
      <c r="H190" s="98">
        <v>3</v>
      </c>
      <c r="I190" s="99" t="s">
        <v>1156</v>
      </c>
      <c r="J190" s="38" t="s">
        <v>1157</v>
      </c>
      <c r="K190" s="39" t="s">
        <v>1158</v>
      </c>
      <c r="L190" s="102">
        <v>3</v>
      </c>
      <c r="M190" s="81">
        <v>3</v>
      </c>
      <c r="N190" s="81">
        <v>3</v>
      </c>
      <c r="O190" s="81">
        <v>3</v>
      </c>
      <c r="P190" s="100">
        <v>3</v>
      </c>
      <c r="Q190" s="101">
        <v>3</v>
      </c>
      <c r="R190" s="53">
        <f t="shared" si="86"/>
        <v>3</v>
      </c>
      <c r="S190" s="81">
        <v>2</v>
      </c>
      <c r="T190" s="103">
        <f t="shared" si="0"/>
        <v>6</v>
      </c>
      <c r="U190" s="104" t="str">
        <f t="shared" si="89"/>
        <v>ACEPTAR</v>
      </c>
      <c r="V190" s="82"/>
      <c r="W190" s="105"/>
      <c r="X190" s="81"/>
      <c r="Y190" s="81"/>
      <c r="Z190" s="83"/>
      <c r="AA190" s="81"/>
      <c r="AB190" s="106"/>
      <c r="AC190" s="107">
        <f t="shared" si="87"/>
        <v>3</v>
      </c>
      <c r="AD190" s="81">
        <f t="shared" si="88"/>
        <v>2</v>
      </c>
      <c r="AE190" s="103">
        <f t="shared" si="3"/>
        <v>6</v>
      </c>
      <c r="AF190" s="98" t="str">
        <f t="shared" si="84"/>
        <v/>
      </c>
      <c r="AG190" s="97"/>
      <c r="AH190" s="97"/>
    </row>
    <row r="191" spans="1:34" s="27" customFormat="1" ht="72" hidden="1">
      <c r="A191" s="28" t="s">
        <v>1118</v>
      </c>
      <c r="B191" s="29" t="s">
        <v>1159</v>
      </c>
      <c r="C191" s="81" t="s">
        <v>170</v>
      </c>
      <c r="D191" s="81" t="s">
        <v>1160</v>
      </c>
      <c r="E191" s="81" t="s">
        <v>1161</v>
      </c>
      <c r="F191" s="81" t="s">
        <v>1109</v>
      </c>
      <c r="G191" s="81" t="s">
        <v>1122</v>
      </c>
      <c r="H191" s="98">
        <v>3</v>
      </c>
      <c r="I191" s="99" t="s">
        <v>1162</v>
      </c>
      <c r="J191" s="40" t="s">
        <v>1163</v>
      </c>
      <c r="K191" s="39" t="s">
        <v>1164</v>
      </c>
      <c r="L191" s="102">
        <v>3</v>
      </c>
      <c r="M191" s="81">
        <v>3</v>
      </c>
      <c r="N191" s="81">
        <v>3</v>
      </c>
      <c r="O191" s="81">
        <v>3</v>
      </c>
      <c r="P191" s="100">
        <v>3</v>
      </c>
      <c r="Q191" s="101">
        <v>3</v>
      </c>
      <c r="R191" s="53">
        <f t="shared" si="86"/>
        <v>3</v>
      </c>
      <c r="S191" s="81">
        <v>2</v>
      </c>
      <c r="T191" s="103">
        <f t="shared" si="0"/>
        <v>6</v>
      </c>
      <c r="U191" s="104" t="str">
        <f t="shared" si="89"/>
        <v>ACEPTAR</v>
      </c>
      <c r="V191" s="82"/>
      <c r="W191" s="105"/>
      <c r="X191" s="81"/>
      <c r="Y191" s="81"/>
      <c r="Z191" s="83"/>
      <c r="AA191" s="81"/>
      <c r="AB191" s="106"/>
      <c r="AC191" s="107">
        <f t="shared" si="87"/>
        <v>3</v>
      </c>
      <c r="AD191" s="81">
        <f t="shared" si="88"/>
        <v>2</v>
      </c>
      <c r="AE191" s="103">
        <f t="shared" si="3"/>
        <v>6</v>
      </c>
      <c r="AF191" s="98" t="str">
        <f t="shared" si="84"/>
        <v/>
      </c>
      <c r="AG191" s="97"/>
      <c r="AH191" s="97"/>
    </row>
    <row r="192" spans="1:34" s="27" customFormat="1" ht="114.75" hidden="1" customHeight="1">
      <c r="A192" s="28" t="s">
        <v>1165</v>
      </c>
      <c r="B192" s="29" t="s">
        <v>1166</v>
      </c>
      <c r="C192" s="81" t="s">
        <v>86</v>
      </c>
      <c r="D192" s="31" t="s">
        <v>1167</v>
      </c>
      <c r="E192" s="81" t="s">
        <v>1168</v>
      </c>
      <c r="F192" s="81" t="s">
        <v>1169</v>
      </c>
      <c r="G192" s="81" t="s">
        <v>1170</v>
      </c>
      <c r="H192" s="98">
        <v>3</v>
      </c>
      <c r="I192" s="99" t="s">
        <v>1171</v>
      </c>
      <c r="J192" s="40" t="s">
        <v>1172</v>
      </c>
      <c r="K192" s="41" t="s">
        <v>1173</v>
      </c>
      <c r="L192" s="102">
        <v>4</v>
      </c>
      <c r="M192" s="81">
        <v>4</v>
      </c>
      <c r="N192" s="81"/>
      <c r="O192" s="81"/>
      <c r="P192" s="100"/>
      <c r="Q192" s="101"/>
      <c r="R192" s="53">
        <f t="shared" si="86"/>
        <v>4</v>
      </c>
      <c r="S192" s="81">
        <v>1</v>
      </c>
      <c r="T192" s="103">
        <f t="shared" si="0"/>
        <v>4</v>
      </c>
      <c r="U192" s="104" t="str">
        <f t="shared" si="89"/>
        <v>ACEPTAR</v>
      </c>
      <c r="V192" s="82"/>
      <c r="W192" s="105"/>
      <c r="X192" s="81"/>
      <c r="Y192" s="84"/>
      <c r="Z192" s="83"/>
      <c r="AA192" s="81"/>
      <c r="AB192" s="106"/>
      <c r="AC192" s="107">
        <f t="shared" si="87"/>
        <v>4</v>
      </c>
      <c r="AD192" s="81">
        <f t="shared" si="88"/>
        <v>1</v>
      </c>
      <c r="AE192" s="103">
        <f t="shared" si="3"/>
        <v>4</v>
      </c>
      <c r="AF192" s="98" t="str">
        <f t="shared" si="84"/>
        <v/>
      </c>
      <c r="AG192" s="97"/>
      <c r="AH192" s="97"/>
    </row>
    <row r="193" spans="1:34" s="27" customFormat="1" ht="86.4">
      <c r="A193" s="28" t="s">
        <v>1165</v>
      </c>
      <c r="B193" s="29" t="s">
        <v>1174</v>
      </c>
      <c r="C193" s="81" t="s">
        <v>386</v>
      </c>
      <c r="D193" s="31" t="s">
        <v>1175</v>
      </c>
      <c r="E193" s="81" t="s">
        <v>1176</v>
      </c>
      <c r="F193" s="81" t="s">
        <v>1169</v>
      </c>
      <c r="G193" s="81" t="s">
        <v>1170</v>
      </c>
      <c r="H193" s="98">
        <v>3</v>
      </c>
      <c r="I193" s="99" t="s">
        <v>1177</v>
      </c>
      <c r="J193" s="40" t="s">
        <v>1172</v>
      </c>
      <c r="K193" s="41" t="s">
        <v>1178</v>
      </c>
      <c r="L193" s="102">
        <v>4</v>
      </c>
      <c r="M193" s="81">
        <v>4</v>
      </c>
      <c r="N193" s="81"/>
      <c r="O193" s="81"/>
      <c r="P193" s="100"/>
      <c r="Q193" s="101"/>
      <c r="R193" s="53">
        <f t="shared" si="86"/>
        <v>4</v>
      </c>
      <c r="S193" s="81">
        <v>3</v>
      </c>
      <c r="T193" s="103">
        <f t="shared" si="0"/>
        <v>12</v>
      </c>
      <c r="U193" s="104" t="str">
        <f t="shared" si="89"/>
        <v>MITIGAR</v>
      </c>
      <c r="V193" s="82" t="s">
        <v>1179</v>
      </c>
      <c r="W193" s="105"/>
      <c r="X193" s="81" t="s">
        <v>546</v>
      </c>
      <c r="Y193" s="84" t="s">
        <v>1180</v>
      </c>
      <c r="Z193" s="83" t="s">
        <v>1181</v>
      </c>
      <c r="AA193" s="81"/>
      <c r="AB193" s="106"/>
      <c r="AC193" s="107">
        <f t="shared" si="87"/>
        <v>4</v>
      </c>
      <c r="AD193" s="81">
        <f t="shared" si="88"/>
        <v>3</v>
      </c>
      <c r="AE193" s="103">
        <f t="shared" si="3"/>
        <v>12</v>
      </c>
      <c r="AF193" s="98" t="str">
        <f t="shared" si="84"/>
        <v>INSUFICIENTE</v>
      </c>
      <c r="AG193" s="97"/>
      <c r="AH193" s="97"/>
    </row>
    <row r="194" spans="1:34" s="27" customFormat="1" ht="72">
      <c r="A194" s="28" t="s">
        <v>1165</v>
      </c>
      <c r="B194" s="29" t="s">
        <v>1182</v>
      </c>
      <c r="C194" s="81" t="s">
        <v>386</v>
      </c>
      <c r="D194" s="31" t="s">
        <v>1183</v>
      </c>
      <c r="E194" s="81" t="s">
        <v>1184</v>
      </c>
      <c r="F194" s="81" t="s">
        <v>1109</v>
      </c>
      <c r="G194" s="81" t="s">
        <v>1170</v>
      </c>
      <c r="H194" s="98">
        <v>3</v>
      </c>
      <c r="I194" s="99" t="s">
        <v>1177</v>
      </c>
      <c r="J194" s="40" t="s">
        <v>1185</v>
      </c>
      <c r="K194" s="41" t="s">
        <v>1178</v>
      </c>
      <c r="L194" s="102"/>
      <c r="M194" s="81">
        <v>4</v>
      </c>
      <c r="N194" s="81">
        <v>4</v>
      </c>
      <c r="O194" s="81"/>
      <c r="P194" s="100"/>
      <c r="Q194" s="101"/>
      <c r="R194" s="53">
        <f t="shared" si="86"/>
        <v>4</v>
      </c>
      <c r="S194" s="81">
        <v>2</v>
      </c>
      <c r="T194" s="103">
        <f t="shared" si="0"/>
        <v>8</v>
      </c>
      <c r="U194" s="104" t="str">
        <f t="shared" si="89"/>
        <v>MITIGAR</v>
      </c>
      <c r="V194" s="82" t="s">
        <v>1179</v>
      </c>
      <c r="W194" s="105"/>
      <c r="X194" s="81" t="s">
        <v>546</v>
      </c>
      <c r="Y194" s="84" t="s">
        <v>1180</v>
      </c>
      <c r="Z194" s="83" t="s">
        <v>1181</v>
      </c>
      <c r="AA194" s="81"/>
      <c r="AB194" s="106"/>
      <c r="AC194" s="107">
        <f t="shared" si="87"/>
        <v>4</v>
      </c>
      <c r="AD194" s="81">
        <f t="shared" si="88"/>
        <v>2</v>
      </c>
      <c r="AE194" s="103">
        <f t="shared" si="3"/>
        <v>8</v>
      </c>
      <c r="AF194" s="98" t="str">
        <f t="shared" ref="AF194:AF257" si="93">IF(U194="MITIGAR",IF(AE194&lt;8,"SI",IF(AE194&lt;=T194,"INSUFICIENTE","NO")),"")</f>
        <v>INSUFICIENTE</v>
      </c>
      <c r="AG194" s="97"/>
      <c r="AH194" s="97"/>
    </row>
    <row r="195" spans="1:34" s="27" customFormat="1" ht="72" hidden="1">
      <c r="A195" s="28" t="s">
        <v>1165</v>
      </c>
      <c r="B195" s="29" t="s">
        <v>1186</v>
      </c>
      <c r="C195" s="81" t="s">
        <v>386</v>
      </c>
      <c r="D195" s="81" t="s">
        <v>1187</v>
      </c>
      <c r="E195" s="81" t="s">
        <v>1188</v>
      </c>
      <c r="F195" s="81" t="s">
        <v>1109</v>
      </c>
      <c r="G195" s="81" t="s">
        <v>1170</v>
      </c>
      <c r="H195" s="98">
        <v>3</v>
      </c>
      <c r="I195" s="99" t="s">
        <v>1177</v>
      </c>
      <c r="J195" s="40" t="s">
        <v>1172</v>
      </c>
      <c r="K195" s="39" t="s">
        <v>1189</v>
      </c>
      <c r="L195" s="102">
        <v>4</v>
      </c>
      <c r="M195" s="81">
        <v>4</v>
      </c>
      <c r="N195" s="81"/>
      <c r="O195" s="81"/>
      <c r="P195" s="100"/>
      <c r="Q195" s="101"/>
      <c r="R195" s="53">
        <f t="shared" si="86"/>
        <v>4</v>
      </c>
      <c r="S195" s="81">
        <v>1</v>
      </c>
      <c r="T195" s="103">
        <f t="shared" si="0"/>
        <v>4</v>
      </c>
      <c r="U195" s="104" t="str">
        <f t="shared" si="89"/>
        <v>ACEPTAR</v>
      </c>
      <c r="V195" s="82" t="s">
        <v>1179</v>
      </c>
      <c r="W195" s="105"/>
      <c r="X195" s="81" t="s">
        <v>546</v>
      </c>
      <c r="Y195" s="84" t="s">
        <v>1180</v>
      </c>
      <c r="Z195" s="83" t="s">
        <v>1181</v>
      </c>
      <c r="AA195" s="81"/>
      <c r="AB195" s="106"/>
      <c r="AC195" s="107">
        <f t="shared" si="87"/>
        <v>4</v>
      </c>
      <c r="AD195" s="81">
        <f t="shared" si="88"/>
        <v>1</v>
      </c>
      <c r="AE195" s="103">
        <f t="shared" si="3"/>
        <v>4</v>
      </c>
      <c r="AF195" s="98" t="str">
        <f t="shared" si="93"/>
        <v/>
      </c>
      <c r="AG195" s="97"/>
      <c r="AH195" s="97"/>
    </row>
    <row r="196" spans="1:34" s="27" customFormat="1" ht="72">
      <c r="A196" s="28" t="s">
        <v>1165</v>
      </c>
      <c r="B196" s="29" t="s">
        <v>1190</v>
      </c>
      <c r="C196" s="81" t="s">
        <v>285</v>
      </c>
      <c r="D196" s="81" t="s">
        <v>1191</v>
      </c>
      <c r="E196" s="81" t="s">
        <v>1192</v>
      </c>
      <c r="F196" s="81" t="s">
        <v>1169</v>
      </c>
      <c r="G196" s="81" t="s">
        <v>1170</v>
      </c>
      <c r="H196" s="98">
        <v>3</v>
      </c>
      <c r="I196" s="99" t="s">
        <v>1193</v>
      </c>
      <c r="J196" s="40" t="s">
        <v>1172</v>
      </c>
      <c r="K196" s="41" t="s">
        <v>1194</v>
      </c>
      <c r="L196" s="102">
        <v>4</v>
      </c>
      <c r="M196" s="81">
        <v>4</v>
      </c>
      <c r="N196" s="81"/>
      <c r="O196" s="81"/>
      <c r="P196" s="100"/>
      <c r="Q196" s="101"/>
      <c r="R196" s="53">
        <f t="shared" si="86"/>
        <v>4</v>
      </c>
      <c r="S196" s="81">
        <v>2</v>
      </c>
      <c r="T196" s="103">
        <f t="shared" si="0"/>
        <v>8</v>
      </c>
      <c r="U196" s="104" t="str">
        <f t="shared" si="89"/>
        <v>MITIGAR</v>
      </c>
      <c r="V196" s="82" t="s">
        <v>1179</v>
      </c>
      <c r="W196" s="105"/>
      <c r="X196" s="81" t="s">
        <v>546</v>
      </c>
      <c r="Y196" s="84" t="s">
        <v>1180</v>
      </c>
      <c r="Z196" s="83" t="s">
        <v>1181</v>
      </c>
      <c r="AA196" s="108"/>
      <c r="AB196" s="106"/>
      <c r="AC196" s="107">
        <f t="shared" si="87"/>
        <v>4</v>
      </c>
      <c r="AD196" s="81">
        <f t="shared" si="88"/>
        <v>2</v>
      </c>
      <c r="AE196" s="103">
        <f t="shared" si="3"/>
        <v>8</v>
      </c>
      <c r="AF196" s="98" t="str">
        <f t="shared" si="93"/>
        <v>INSUFICIENTE</v>
      </c>
      <c r="AG196" s="97"/>
      <c r="AH196" s="97"/>
    </row>
    <row r="197" spans="1:34" s="27" customFormat="1" ht="72" hidden="1">
      <c r="A197" s="28" t="s">
        <v>1165</v>
      </c>
      <c r="B197" s="29" t="s">
        <v>1195</v>
      </c>
      <c r="C197" s="81" t="s">
        <v>285</v>
      </c>
      <c r="D197" s="81" t="s">
        <v>1196</v>
      </c>
      <c r="E197" s="81" t="s">
        <v>1168</v>
      </c>
      <c r="F197" s="81" t="s">
        <v>1169</v>
      </c>
      <c r="G197" s="81" t="s">
        <v>1170</v>
      </c>
      <c r="H197" s="98">
        <v>3</v>
      </c>
      <c r="I197" s="99" t="s">
        <v>1197</v>
      </c>
      <c r="J197" s="38" t="s">
        <v>1198</v>
      </c>
      <c r="K197" s="39" t="s">
        <v>1199</v>
      </c>
      <c r="L197" s="102">
        <v>4</v>
      </c>
      <c r="M197" s="81"/>
      <c r="N197" s="81"/>
      <c r="O197" s="81"/>
      <c r="P197" s="100"/>
      <c r="Q197" s="101"/>
      <c r="R197" s="53">
        <f t="shared" ref="R197:R260" si="94">MAX(L197:Q197)</f>
        <v>4</v>
      </c>
      <c r="S197" s="81">
        <v>1</v>
      </c>
      <c r="T197" s="103">
        <f t="shared" si="0"/>
        <v>4</v>
      </c>
      <c r="U197" s="104" t="str">
        <f t="shared" ref="U197:U230" si="95">IF(T197&lt;8,"ACEPTAR","MITIGAR")</f>
        <v>ACEPTAR</v>
      </c>
      <c r="V197" s="82"/>
      <c r="W197" s="105"/>
      <c r="X197" s="81"/>
      <c r="Y197" s="81"/>
      <c r="Z197" s="83"/>
      <c r="AA197" s="81"/>
      <c r="AB197" s="106"/>
      <c r="AC197" s="107">
        <f t="shared" ref="AC197:AC260" si="96">R197</f>
        <v>4</v>
      </c>
      <c r="AD197" s="81">
        <f t="shared" ref="AD197:AD260" si="97">S197</f>
        <v>1</v>
      </c>
      <c r="AE197" s="103">
        <f t="shared" si="3"/>
        <v>4</v>
      </c>
      <c r="AF197" s="98" t="str">
        <f t="shared" si="93"/>
        <v/>
      </c>
      <c r="AG197" s="97"/>
      <c r="AH197" s="97"/>
    </row>
    <row r="198" spans="1:34" s="27" customFormat="1" ht="48.45" hidden="1" customHeight="1">
      <c r="A198" s="28" t="s">
        <v>1200</v>
      </c>
      <c r="B198" s="29" t="s">
        <v>1201</v>
      </c>
      <c r="C198" s="81" t="s">
        <v>1202</v>
      </c>
      <c r="D198" s="81" t="s">
        <v>1203</v>
      </c>
      <c r="E198" s="81" t="s">
        <v>1204</v>
      </c>
      <c r="F198" s="81" t="s">
        <v>1205</v>
      </c>
      <c r="G198" s="81" t="s">
        <v>1206</v>
      </c>
      <c r="H198" s="98"/>
      <c r="I198" s="99" t="s">
        <v>1207</v>
      </c>
      <c r="J198" s="38" t="s">
        <v>1208</v>
      </c>
      <c r="K198" s="41" t="s">
        <v>1209</v>
      </c>
      <c r="L198" s="102"/>
      <c r="M198" s="81"/>
      <c r="N198" s="81"/>
      <c r="O198" s="81"/>
      <c r="P198" s="100"/>
      <c r="Q198" s="101">
        <v>4</v>
      </c>
      <c r="R198" s="53">
        <f t="shared" si="94"/>
        <v>4</v>
      </c>
      <c r="S198" s="81">
        <v>1</v>
      </c>
      <c r="T198" s="103">
        <f t="shared" si="0"/>
        <v>4</v>
      </c>
      <c r="U198" s="104" t="str">
        <f t="shared" si="95"/>
        <v>ACEPTAR</v>
      </c>
      <c r="V198" s="82"/>
      <c r="W198" s="105"/>
      <c r="X198" s="81"/>
      <c r="Y198" s="81"/>
      <c r="Z198" s="83"/>
      <c r="AA198" s="81"/>
      <c r="AB198" s="106"/>
      <c r="AC198" s="107">
        <f t="shared" si="96"/>
        <v>4</v>
      </c>
      <c r="AD198" s="81">
        <f t="shared" si="97"/>
        <v>1</v>
      </c>
      <c r="AE198" s="103">
        <f t="shared" si="3"/>
        <v>4</v>
      </c>
      <c r="AF198" s="98" t="str">
        <f t="shared" si="93"/>
        <v/>
      </c>
      <c r="AG198" s="97"/>
      <c r="AH198" s="97"/>
    </row>
    <row r="199" spans="1:34" s="27" customFormat="1" ht="43.2" hidden="1">
      <c r="A199" s="28" t="s">
        <v>1200</v>
      </c>
      <c r="B199" s="29" t="s">
        <v>1210</v>
      </c>
      <c r="C199" s="81" t="s">
        <v>1202</v>
      </c>
      <c r="D199" s="81" t="s">
        <v>1211</v>
      </c>
      <c r="E199" s="81" t="s">
        <v>1212</v>
      </c>
      <c r="F199" s="81" t="s">
        <v>1213</v>
      </c>
      <c r="G199" s="81" t="s">
        <v>1214</v>
      </c>
      <c r="H199" s="98">
        <v>3</v>
      </c>
      <c r="I199" s="99" t="s">
        <v>1207</v>
      </c>
      <c r="J199" s="38" t="s">
        <v>1208</v>
      </c>
      <c r="K199" s="41" t="s">
        <v>1209</v>
      </c>
      <c r="L199" s="102"/>
      <c r="M199" s="81"/>
      <c r="N199" s="81"/>
      <c r="O199" s="81"/>
      <c r="P199" s="100"/>
      <c r="Q199" s="101">
        <v>4</v>
      </c>
      <c r="R199" s="53">
        <f t="shared" si="94"/>
        <v>4</v>
      </c>
      <c r="S199" s="81">
        <v>1</v>
      </c>
      <c r="T199" s="103">
        <f t="shared" si="0"/>
        <v>4</v>
      </c>
      <c r="U199" s="104" t="str">
        <f t="shared" si="95"/>
        <v>ACEPTAR</v>
      </c>
      <c r="V199" s="82"/>
      <c r="W199" s="105"/>
      <c r="X199" s="81"/>
      <c r="Y199" s="81"/>
      <c r="Z199" s="83"/>
      <c r="AA199" s="81"/>
      <c r="AB199" s="106"/>
      <c r="AC199" s="107">
        <f t="shared" si="96"/>
        <v>4</v>
      </c>
      <c r="AD199" s="81">
        <f t="shared" si="97"/>
        <v>1</v>
      </c>
      <c r="AE199" s="103">
        <f t="shared" si="3"/>
        <v>4</v>
      </c>
      <c r="AF199" s="98" t="str">
        <f t="shared" si="93"/>
        <v/>
      </c>
      <c r="AG199" s="97"/>
      <c r="AH199" s="97"/>
    </row>
    <row r="200" spans="1:34" s="27" customFormat="1" ht="72" hidden="1">
      <c r="A200" s="28" t="s">
        <v>1200</v>
      </c>
      <c r="B200" s="29" t="s">
        <v>1215</v>
      </c>
      <c r="C200" s="81" t="s">
        <v>1202</v>
      </c>
      <c r="D200" s="81" t="s">
        <v>1216</v>
      </c>
      <c r="E200" s="81" t="s">
        <v>1217</v>
      </c>
      <c r="F200" s="81" t="s">
        <v>1218</v>
      </c>
      <c r="G200" s="81" t="s">
        <v>1214</v>
      </c>
      <c r="H200" s="98">
        <v>3</v>
      </c>
      <c r="I200" s="99" t="s">
        <v>1207</v>
      </c>
      <c r="J200" s="41" t="s">
        <v>1208</v>
      </c>
      <c r="K200" s="39" t="s">
        <v>1219</v>
      </c>
      <c r="L200" s="102"/>
      <c r="M200" s="81"/>
      <c r="N200" s="81"/>
      <c r="O200" s="81"/>
      <c r="P200" s="100"/>
      <c r="Q200" s="101">
        <v>4</v>
      </c>
      <c r="R200" s="53">
        <f t="shared" si="94"/>
        <v>4</v>
      </c>
      <c r="S200" s="81">
        <v>1</v>
      </c>
      <c r="T200" s="103">
        <f t="shared" si="0"/>
        <v>4</v>
      </c>
      <c r="U200" s="104" t="str">
        <f t="shared" si="95"/>
        <v>ACEPTAR</v>
      </c>
      <c r="V200" s="82"/>
      <c r="W200" s="105"/>
      <c r="X200" s="81"/>
      <c r="Y200" s="81"/>
      <c r="Z200" s="83"/>
      <c r="AA200" s="81"/>
      <c r="AB200" s="106"/>
      <c r="AC200" s="107">
        <f t="shared" si="96"/>
        <v>4</v>
      </c>
      <c r="AD200" s="81">
        <f t="shared" si="97"/>
        <v>1</v>
      </c>
      <c r="AE200" s="103">
        <f t="shared" si="3"/>
        <v>4</v>
      </c>
      <c r="AF200" s="98" t="str">
        <f t="shared" si="93"/>
        <v/>
      </c>
      <c r="AG200" s="97"/>
      <c r="AH200" s="97"/>
    </row>
    <row r="201" spans="1:34" s="27" customFormat="1" ht="57.6" hidden="1">
      <c r="A201" s="28" t="s">
        <v>1200</v>
      </c>
      <c r="B201" s="29" t="s">
        <v>1220</v>
      </c>
      <c r="C201" s="81" t="s">
        <v>1221</v>
      </c>
      <c r="D201" s="81" t="s">
        <v>1222</v>
      </c>
      <c r="E201" s="81" t="s">
        <v>1223</v>
      </c>
      <c r="F201" s="81" t="s">
        <v>1218</v>
      </c>
      <c r="G201" s="81" t="s">
        <v>1224</v>
      </c>
      <c r="H201" s="98">
        <v>2</v>
      </c>
      <c r="I201" s="99" t="s">
        <v>1225</v>
      </c>
      <c r="J201" s="39" t="s">
        <v>1226</v>
      </c>
      <c r="K201" s="39" t="s">
        <v>869</v>
      </c>
      <c r="L201" s="102"/>
      <c r="M201" s="81"/>
      <c r="N201" s="81"/>
      <c r="O201" s="81"/>
      <c r="P201" s="100"/>
      <c r="Q201" s="101">
        <v>3</v>
      </c>
      <c r="R201" s="53">
        <f t="shared" si="94"/>
        <v>3</v>
      </c>
      <c r="S201" s="81">
        <v>1</v>
      </c>
      <c r="T201" s="103">
        <f t="shared" si="0"/>
        <v>3</v>
      </c>
      <c r="U201" s="104" t="str">
        <f t="shared" si="95"/>
        <v>ACEPTAR</v>
      </c>
      <c r="V201" s="82"/>
      <c r="W201" s="105"/>
      <c r="X201" s="81"/>
      <c r="Y201" s="81"/>
      <c r="Z201" s="83"/>
      <c r="AA201" s="81"/>
      <c r="AB201" s="106"/>
      <c r="AC201" s="107">
        <f t="shared" si="96"/>
        <v>3</v>
      </c>
      <c r="AD201" s="81">
        <f t="shared" si="97"/>
        <v>1</v>
      </c>
      <c r="AE201" s="103">
        <f t="shared" si="3"/>
        <v>3</v>
      </c>
      <c r="AF201" s="98" t="str">
        <f t="shared" si="93"/>
        <v/>
      </c>
      <c r="AG201" s="97"/>
      <c r="AH201" s="97"/>
    </row>
    <row r="202" spans="1:34" s="27" customFormat="1" ht="57.6" hidden="1">
      <c r="A202" s="28" t="s">
        <v>1200</v>
      </c>
      <c r="B202" s="29" t="s">
        <v>1227</v>
      </c>
      <c r="C202" s="81" t="s">
        <v>1221</v>
      </c>
      <c r="D202" s="81" t="s">
        <v>1228</v>
      </c>
      <c r="E202" s="81" t="s">
        <v>1229</v>
      </c>
      <c r="F202" s="81" t="s">
        <v>1218</v>
      </c>
      <c r="G202" s="81" t="s">
        <v>1224</v>
      </c>
      <c r="H202" s="98">
        <v>2</v>
      </c>
      <c r="I202" s="99" t="s">
        <v>1230</v>
      </c>
      <c r="J202" s="44" t="s">
        <v>1231</v>
      </c>
      <c r="K202" s="39" t="s">
        <v>1232</v>
      </c>
      <c r="L202" s="102"/>
      <c r="M202" s="81"/>
      <c r="N202" s="81"/>
      <c r="O202" s="81"/>
      <c r="P202" s="100"/>
      <c r="Q202" s="101">
        <v>3</v>
      </c>
      <c r="R202" s="53">
        <f t="shared" si="94"/>
        <v>3</v>
      </c>
      <c r="S202" s="81">
        <v>1</v>
      </c>
      <c r="T202" s="103">
        <f t="shared" si="0"/>
        <v>3</v>
      </c>
      <c r="U202" s="104" t="str">
        <f t="shared" si="95"/>
        <v>ACEPTAR</v>
      </c>
      <c r="V202" s="82"/>
      <c r="W202" s="105"/>
      <c r="X202" s="81"/>
      <c r="Y202" s="81"/>
      <c r="Z202" s="83"/>
      <c r="AA202" s="81"/>
      <c r="AB202" s="106"/>
      <c r="AC202" s="107">
        <f t="shared" si="96"/>
        <v>3</v>
      </c>
      <c r="AD202" s="81">
        <f t="shared" si="97"/>
        <v>1</v>
      </c>
      <c r="AE202" s="103">
        <f t="shared" si="3"/>
        <v>3</v>
      </c>
      <c r="AF202" s="98" t="str">
        <f t="shared" si="93"/>
        <v/>
      </c>
      <c r="AG202" s="97"/>
      <c r="AH202" s="97"/>
    </row>
    <row r="203" spans="1:34" s="27" customFormat="1" ht="57.6" hidden="1">
      <c r="A203" s="28" t="s">
        <v>1200</v>
      </c>
      <c r="B203" s="29" t="s">
        <v>1233</v>
      </c>
      <c r="C203" s="81" t="s">
        <v>871</v>
      </c>
      <c r="D203" s="81" t="s">
        <v>1234</v>
      </c>
      <c r="E203" s="81" t="s">
        <v>1229</v>
      </c>
      <c r="F203" s="81" t="s">
        <v>1218</v>
      </c>
      <c r="G203" s="81" t="s">
        <v>1224</v>
      </c>
      <c r="H203" s="98">
        <v>2</v>
      </c>
      <c r="I203" s="99" t="s">
        <v>1230</v>
      </c>
      <c r="J203" s="44" t="s">
        <v>1231</v>
      </c>
      <c r="K203" s="41" t="s">
        <v>633</v>
      </c>
      <c r="L203" s="102"/>
      <c r="M203" s="81"/>
      <c r="N203" s="81"/>
      <c r="O203" s="81"/>
      <c r="P203" s="100"/>
      <c r="Q203" s="101">
        <v>3</v>
      </c>
      <c r="R203" s="53">
        <f t="shared" si="94"/>
        <v>3</v>
      </c>
      <c r="S203" s="81">
        <v>1</v>
      </c>
      <c r="T203" s="103">
        <f t="shared" si="0"/>
        <v>3</v>
      </c>
      <c r="U203" s="104" t="str">
        <f t="shared" si="95"/>
        <v>ACEPTAR</v>
      </c>
      <c r="V203" s="82"/>
      <c r="W203" s="105"/>
      <c r="X203" s="81"/>
      <c r="Y203" s="81"/>
      <c r="Z203" s="83"/>
      <c r="AA203" s="81"/>
      <c r="AB203" s="106"/>
      <c r="AC203" s="107">
        <f t="shared" si="96"/>
        <v>3</v>
      </c>
      <c r="AD203" s="81">
        <f t="shared" si="97"/>
        <v>1</v>
      </c>
      <c r="AE203" s="103">
        <f t="shared" si="3"/>
        <v>3</v>
      </c>
      <c r="AF203" s="98" t="str">
        <f t="shared" si="93"/>
        <v/>
      </c>
      <c r="AG203" s="97"/>
      <c r="AH203" s="97"/>
    </row>
    <row r="204" spans="1:34" s="27" customFormat="1" ht="57.6" hidden="1">
      <c r="A204" s="28" t="s">
        <v>1200</v>
      </c>
      <c r="B204" s="29" t="s">
        <v>1235</v>
      </c>
      <c r="C204" s="81" t="s">
        <v>1221</v>
      </c>
      <c r="D204" s="81" t="s">
        <v>1236</v>
      </c>
      <c r="E204" s="81" t="s">
        <v>1229</v>
      </c>
      <c r="F204" s="81" t="s">
        <v>1218</v>
      </c>
      <c r="G204" s="81" t="s">
        <v>1237</v>
      </c>
      <c r="H204" s="98">
        <v>2</v>
      </c>
      <c r="I204" s="99" t="s">
        <v>1238</v>
      </c>
      <c r="J204" s="40" t="s">
        <v>1239</v>
      </c>
      <c r="K204" s="39" t="s">
        <v>1240</v>
      </c>
      <c r="L204" s="102"/>
      <c r="M204" s="81"/>
      <c r="N204" s="81"/>
      <c r="O204" s="81"/>
      <c r="P204" s="100"/>
      <c r="Q204" s="101">
        <v>3</v>
      </c>
      <c r="R204" s="53">
        <f t="shared" si="94"/>
        <v>3</v>
      </c>
      <c r="S204" s="81">
        <v>2</v>
      </c>
      <c r="T204" s="103">
        <f t="shared" si="0"/>
        <v>6</v>
      </c>
      <c r="U204" s="104" t="str">
        <f t="shared" si="95"/>
        <v>ACEPTAR</v>
      </c>
      <c r="V204" s="82"/>
      <c r="W204" s="105"/>
      <c r="X204" s="81"/>
      <c r="Y204" s="84"/>
      <c r="Z204" s="83"/>
      <c r="AA204" s="81"/>
      <c r="AB204" s="106"/>
      <c r="AC204" s="107">
        <f t="shared" si="96"/>
        <v>3</v>
      </c>
      <c r="AD204" s="81">
        <f t="shared" si="97"/>
        <v>2</v>
      </c>
      <c r="AE204" s="103">
        <f t="shared" si="3"/>
        <v>6</v>
      </c>
      <c r="AF204" s="98" t="str">
        <f t="shared" si="93"/>
        <v/>
      </c>
      <c r="AG204" s="97"/>
      <c r="AH204" s="97"/>
    </row>
    <row r="205" spans="1:34" s="27" customFormat="1" ht="57.6" hidden="1">
      <c r="A205" s="28" t="s">
        <v>1200</v>
      </c>
      <c r="B205" s="29" t="s">
        <v>1241</v>
      </c>
      <c r="C205" s="81" t="s">
        <v>1221</v>
      </c>
      <c r="D205" s="81" t="s">
        <v>1242</v>
      </c>
      <c r="E205" s="81" t="s">
        <v>1243</v>
      </c>
      <c r="F205" s="81" t="s">
        <v>1218</v>
      </c>
      <c r="G205" s="81" t="s">
        <v>575</v>
      </c>
      <c r="H205" s="98">
        <v>2</v>
      </c>
      <c r="I205" s="99" t="s">
        <v>1244</v>
      </c>
      <c r="J205" s="38" t="s">
        <v>1245</v>
      </c>
      <c r="K205" s="39" t="s">
        <v>1246</v>
      </c>
      <c r="L205" s="102"/>
      <c r="M205" s="81">
        <v>4</v>
      </c>
      <c r="N205" s="81"/>
      <c r="O205" s="81"/>
      <c r="P205" s="100"/>
      <c r="Q205" s="101">
        <v>4</v>
      </c>
      <c r="R205" s="53">
        <f t="shared" si="94"/>
        <v>4</v>
      </c>
      <c r="S205" s="81">
        <v>1</v>
      </c>
      <c r="T205" s="103">
        <f t="shared" si="0"/>
        <v>4</v>
      </c>
      <c r="U205" s="104" t="str">
        <f t="shared" si="95"/>
        <v>ACEPTAR</v>
      </c>
      <c r="V205" s="82"/>
      <c r="W205" s="105"/>
      <c r="X205" s="81"/>
      <c r="Y205" s="81"/>
      <c r="Z205" s="83"/>
      <c r="AA205" s="108"/>
      <c r="AB205" s="106"/>
      <c r="AC205" s="107">
        <f t="shared" si="96"/>
        <v>4</v>
      </c>
      <c r="AD205" s="81">
        <f t="shared" si="97"/>
        <v>1</v>
      </c>
      <c r="AE205" s="103">
        <f t="shared" si="3"/>
        <v>4</v>
      </c>
      <c r="AF205" s="98" t="str">
        <f t="shared" si="93"/>
        <v/>
      </c>
      <c r="AG205" s="97"/>
      <c r="AH205" s="97"/>
    </row>
    <row r="206" spans="1:34" s="27" customFormat="1" ht="57.6" hidden="1">
      <c r="A206" s="28" t="s">
        <v>1200</v>
      </c>
      <c r="B206" s="29" t="s">
        <v>1247</v>
      </c>
      <c r="C206" s="81" t="s">
        <v>1221</v>
      </c>
      <c r="D206" s="81" t="s">
        <v>1248</v>
      </c>
      <c r="E206" s="81" t="s">
        <v>1249</v>
      </c>
      <c r="F206" s="81" t="s">
        <v>1218</v>
      </c>
      <c r="G206" s="81" t="s">
        <v>1250</v>
      </c>
      <c r="H206" s="98">
        <v>2</v>
      </c>
      <c r="I206" s="99" t="s">
        <v>1251</v>
      </c>
      <c r="J206" s="38" t="s">
        <v>1252</v>
      </c>
      <c r="K206" s="39" t="s">
        <v>1253</v>
      </c>
      <c r="L206" s="102"/>
      <c r="M206" s="81"/>
      <c r="N206" s="81"/>
      <c r="O206" s="81"/>
      <c r="P206" s="100"/>
      <c r="Q206" s="101">
        <v>4</v>
      </c>
      <c r="R206" s="53">
        <f t="shared" si="94"/>
        <v>4</v>
      </c>
      <c r="S206" s="81">
        <v>1</v>
      </c>
      <c r="T206" s="103">
        <f t="shared" si="0"/>
        <v>4</v>
      </c>
      <c r="U206" s="104" t="str">
        <f t="shared" si="95"/>
        <v>ACEPTAR</v>
      </c>
      <c r="V206" s="82"/>
      <c r="W206" s="105"/>
      <c r="X206" s="81"/>
      <c r="Y206" s="81"/>
      <c r="Z206" s="83"/>
      <c r="AA206" s="81"/>
      <c r="AB206" s="106"/>
      <c r="AC206" s="107">
        <f t="shared" si="96"/>
        <v>4</v>
      </c>
      <c r="AD206" s="81">
        <f t="shared" si="97"/>
        <v>1</v>
      </c>
      <c r="AE206" s="103">
        <f t="shared" si="3"/>
        <v>4</v>
      </c>
      <c r="AF206" s="98" t="str">
        <f t="shared" si="93"/>
        <v/>
      </c>
      <c r="AG206" s="97"/>
      <c r="AH206" s="97"/>
    </row>
    <row r="207" spans="1:34" s="27" customFormat="1" ht="72" hidden="1">
      <c r="A207" s="28" t="s">
        <v>1200</v>
      </c>
      <c r="B207" s="29" t="s">
        <v>1254</v>
      </c>
      <c r="C207" s="81" t="s">
        <v>1255</v>
      </c>
      <c r="D207" s="81" t="s">
        <v>1256</v>
      </c>
      <c r="E207" s="81" t="s">
        <v>1257</v>
      </c>
      <c r="F207" s="81" t="s">
        <v>1218</v>
      </c>
      <c r="G207" s="81" t="s">
        <v>1258</v>
      </c>
      <c r="H207" s="98">
        <v>3</v>
      </c>
      <c r="I207" s="99" t="s">
        <v>1259</v>
      </c>
      <c r="J207" s="40" t="s">
        <v>1260</v>
      </c>
      <c r="K207" s="39" t="s">
        <v>1261</v>
      </c>
      <c r="L207" s="102"/>
      <c r="M207" s="81"/>
      <c r="N207" s="81"/>
      <c r="O207" s="81"/>
      <c r="P207" s="100"/>
      <c r="Q207" s="101">
        <v>3</v>
      </c>
      <c r="R207" s="53">
        <f t="shared" si="94"/>
        <v>3</v>
      </c>
      <c r="S207" s="81">
        <v>1</v>
      </c>
      <c r="T207" s="103">
        <f t="shared" si="0"/>
        <v>3</v>
      </c>
      <c r="U207" s="104" t="str">
        <f t="shared" si="95"/>
        <v>ACEPTAR</v>
      </c>
      <c r="V207" s="82"/>
      <c r="W207" s="105"/>
      <c r="X207" s="81"/>
      <c r="Y207" s="81"/>
      <c r="Z207" s="83"/>
      <c r="AA207" s="81"/>
      <c r="AB207" s="106"/>
      <c r="AC207" s="107">
        <f t="shared" si="96"/>
        <v>3</v>
      </c>
      <c r="AD207" s="81">
        <f t="shared" si="97"/>
        <v>1</v>
      </c>
      <c r="AE207" s="103">
        <f t="shared" si="3"/>
        <v>3</v>
      </c>
      <c r="AF207" s="98" t="str">
        <f t="shared" si="93"/>
        <v/>
      </c>
      <c r="AG207" s="97"/>
      <c r="AH207" s="97"/>
    </row>
    <row r="208" spans="1:34" s="27" customFormat="1" ht="72" hidden="1">
      <c r="A208" s="28" t="s">
        <v>1200</v>
      </c>
      <c r="B208" s="29" t="s">
        <v>1262</v>
      </c>
      <c r="C208" s="81" t="s">
        <v>111</v>
      </c>
      <c r="D208" s="81" t="s">
        <v>1263</v>
      </c>
      <c r="E208" s="81" t="s">
        <v>1264</v>
      </c>
      <c r="F208" s="81" t="s">
        <v>1109</v>
      </c>
      <c r="G208" s="81" t="s">
        <v>1122</v>
      </c>
      <c r="H208" s="98">
        <v>3</v>
      </c>
      <c r="I208" s="99" t="s">
        <v>1265</v>
      </c>
      <c r="J208" s="38" t="s">
        <v>1266</v>
      </c>
      <c r="K208" s="41" t="s">
        <v>1209</v>
      </c>
      <c r="L208" s="102">
        <v>4</v>
      </c>
      <c r="M208" s="81">
        <v>4</v>
      </c>
      <c r="N208" s="81">
        <v>4</v>
      </c>
      <c r="O208" s="81">
        <v>4</v>
      </c>
      <c r="P208" s="100">
        <v>4</v>
      </c>
      <c r="Q208" s="101">
        <v>4</v>
      </c>
      <c r="R208" s="53">
        <f t="shared" si="94"/>
        <v>4</v>
      </c>
      <c r="S208" s="81">
        <v>1</v>
      </c>
      <c r="T208" s="103">
        <f t="shared" si="0"/>
        <v>4</v>
      </c>
      <c r="U208" s="104" t="str">
        <f t="shared" si="95"/>
        <v>ACEPTAR</v>
      </c>
      <c r="V208" s="82"/>
      <c r="W208" s="105"/>
      <c r="X208" s="81"/>
      <c r="Y208" s="81"/>
      <c r="Z208" s="83"/>
      <c r="AA208" s="81"/>
      <c r="AB208" s="106"/>
      <c r="AC208" s="107">
        <f t="shared" si="96"/>
        <v>4</v>
      </c>
      <c r="AD208" s="81">
        <f t="shared" si="97"/>
        <v>1</v>
      </c>
      <c r="AE208" s="103">
        <f t="shared" si="3"/>
        <v>4</v>
      </c>
      <c r="AF208" s="98" t="str">
        <f t="shared" si="93"/>
        <v/>
      </c>
      <c r="AG208" s="97"/>
      <c r="AH208" s="97"/>
    </row>
    <row r="209" spans="1:34" s="27" customFormat="1" ht="72" hidden="1">
      <c r="A209" s="28" t="s">
        <v>1200</v>
      </c>
      <c r="B209" s="29" t="s">
        <v>1267</v>
      </c>
      <c r="C209" s="81" t="s">
        <v>1268</v>
      </c>
      <c r="D209" s="81" t="s">
        <v>1269</v>
      </c>
      <c r="E209" s="81" t="s">
        <v>1270</v>
      </c>
      <c r="F209" s="81" t="s">
        <v>1109</v>
      </c>
      <c r="G209" s="81" t="s">
        <v>1122</v>
      </c>
      <c r="H209" s="98">
        <v>3</v>
      </c>
      <c r="I209" s="99" t="s">
        <v>1271</v>
      </c>
      <c r="J209" s="40" t="s">
        <v>1272</v>
      </c>
      <c r="K209" s="39" t="s">
        <v>1273</v>
      </c>
      <c r="L209" s="102">
        <v>3</v>
      </c>
      <c r="M209" s="81">
        <v>3</v>
      </c>
      <c r="N209" s="81">
        <v>3</v>
      </c>
      <c r="O209" s="81">
        <v>3</v>
      </c>
      <c r="P209" s="100">
        <v>3</v>
      </c>
      <c r="Q209" s="101">
        <v>3</v>
      </c>
      <c r="R209" s="53">
        <f t="shared" si="94"/>
        <v>3</v>
      </c>
      <c r="S209" s="81">
        <v>2</v>
      </c>
      <c r="T209" s="103">
        <f t="shared" si="0"/>
        <v>6</v>
      </c>
      <c r="U209" s="104" t="str">
        <f t="shared" si="95"/>
        <v>ACEPTAR</v>
      </c>
      <c r="V209" s="82"/>
      <c r="W209" s="105"/>
      <c r="X209" s="81"/>
      <c r="Y209" s="81"/>
      <c r="Z209" s="83"/>
      <c r="AA209" s="81"/>
      <c r="AB209" s="106"/>
      <c r="AC209" s="107">
        <f t="shared" si="96"/>
        <v>3</v>
      </c>
      <c r="AD209" s="81">
        <f t="shared" si="97"/>
        <v>2</v>
      </c>
      <c r="AE209" s="103">
        <f t="shared" si="3"/>
        <v>6</v>
      </c>
      <c r="AF209" s="98" t="str">
        <f t="shared" si="93"/>
        <v/>
      </c>
      <c r="AG209" s="97"/>
      <c r="AH209" s="97"/>
    </row>
    <row r="210" spans="1:34" s="27" customFormat="1" ht="72" hidden="1">
      <c r="A210" s="28" t="s">
        <v>1200</v>
      </c>
      <c r="B210" s="29" t="s">
        <v>1274</v>
      </c>
      <c r="C210" s="81" t="s">
        <v>386</v>
      </c>
      <c r="D210" s="81" t="s">
        <v>1275</v>
      </c>
      <c r="E210" s="81" t="s">
        <v>1276</v>
      </c>
      <c r="F210" s="81" t="s">
        <v>1109</v>
      </c>
      <c r="G210" s="81" t="s">
        <v>1122</v>
      </c>
      <c r="H210" s="98">
        <v>3</v>
      </c>
      <c r="I210" s="99" t="s">
        <v>1277</v>
      </c>
      <c r="J210" s="40" t="s">
        <v>1278</v>
      </c>
      <c r="K210" s="39" t="s">
        <v>1279</v>
      </c>
      <c r="L210" s="102">
        <v>3</v>
      </c>
      <c r="M210" s="81">
        <v>3</v>
      </c>
      <c r="N210" s="81">
        <v>3</v>
      </c>
      <c r="O210" s="81">
        <v>3</v>
      </c>
      <c r="P210" s="100">
        <v>3</v>
      </c>
      <c r="Q210" s="101"/>
      <c r="R210" s="53">
        <f t="shared" si="94"/>
        <v>3</v>
      </c>
      <c r="S210" s="81">
        <v>2</v>
      </c>
      <c r="T210" s="103">
        <f t="shared" si="0"/>
        <v>6</v>
      </c>
      <c r="U210" s="104" t="str">
        <f t="shared" si="95"/>
        <v>ACEPTAR</v>
      </c>
      <c r="V210" s="82"/>
      <c r="W210" s="105"/>
      <c r="X210" s="81"/>
      <c r="Y210" s="81"/>
      <c r="Z210" s="83"/>
      <c r="AA210" s="81"/>
      <c r="AB210" s="106"/>
      <c r="AC210" s="107">
        <f t="shared" si="96"/>
        <v>3</v>
      </c>
      <c r="AD210" s="81">
        <f t="shared" si="97"/>
        <v>2</v>
      </c>
      <c r="AE210" s="103">
        <f t="shared" si="3"/>
        <v>6</v>
      </c>
      <c r="AF210" s="98" t="str">
        <f t="shared" si="93"/>
        <v/>
      </c>
      <c r="AG210" s="97"/>
      <c r="AH210" s="97"/>
    </row>
    <row r="211" spans="1:34" s="27" customFormat="1" ht="57.6" hidden="1">
      <c r="A211" s="28"/>
      <c r="B211" s="29" t="s">
        <v>1280</v>
      </c>
      <c r="C211" s="81" t="s">
        <v>386</v>
      </c>
      <c r="D211" s="81" t="s">
        <v>1281</v>
      </c>
      <c r="E211" s="81" t="s">
        <v>1282</v>
      </c>
      <c r="F211" s="81" t="s">
        <v>121</v>
      </c>
      <c r="G211" s="81" t="s">
        <v>1122</v>
      </c>
      <c r="H211" s="98">
        <v>3</v>
      </c>
      <c r="I211" s="99" t="s">
        <v>1277</v>
      </c>
      <c r="J211" s="40" t="s">
        <v>1283</v>
      </c>
      <c r="K211" s="39" t="s">
        <v>1284</v>
      </c>
      <c r="L211" s="102">
        <v>3</v>
      </c>
      <c r="M211" s="81">
        <v>3</v>
      </c>
      <c r="N211" s="81">
        <v>3</v>
      </c>
      <c r="O211" s="81">
        <v>3</v>
      </c>
      <c r="P211" s="100"/>
      <c r="Q211" s="101"/>
      <c r="R211" s="53">
        <f t="shared" si="94"/>
        <v>3</v>
      </c>
      <c r="S211" s="81">
        <v>2</v>
      </c>
      <c r="T211" s="103">
        <f t="shared" si="0"/>
        <v>6</v>
      </c>
      <c r="U211" s="104" t="str">
        <f t="shared" si="95"/>
        <v>ACEPTAR</v>
      </c>
      <c r="V211" s="82"/>
      <c r="W211" s="105"/>
      <c r="X211" s="81"/>
      <c r="Y211" s="81"/>
      <c r="Z211" s="83"/>
      <c r="AA211" s="81"/>
      <c r="AB211" s="106"/>
      <c r="AC211" s="107">
        <f t="shared" si="96"/>
        <v>3</v>
      </c>
      <c r="AD211" s="81">
        <f t="shared" si="97"/>
        <v>2</v>
      </c>
      <c r="AE211" s="103">
        <f t="shared" ref="AE211:AE230" si="98">AC211*AD211</f>
        <v>6</v>
      </c>
      <c r="AF211" s="98" t="str">
        <f t="shared" si="93"/>
        <v/>
      </c>
      <c r="AG211" s="97"/>
      <c r="AH211" s="97"/>
    </row>
    <row r="212" spans="1:34" s="27" customFormat="1" ht="57.6" hidden="1">
      <c r="A212" s="28"/>
      <c r="B212" s="29" t="s">
        <v>1285</v>
      </c>
      <c r="C212" s="81" t="s">
        <v>386</v>
      </c>
      <c r="D212" s="81" t="s">
        <v>1286</v>
      </c>
      <c r="E212" s="81" t="s">
        <v>1282</v>
      </c>
      <c r="F212" s="81" t="s">
        <v>121</v>
      </c>
      <c r="G212" s="81" t="s">
        <v>1122</v>
      </c>
      <c r="H212" s="98">
        <v>3</v>
      </c>
      <c r="I212" s="99" t="s">
        <v>1277</v>
      </c>
      <c r="J212" s="40" t="s">
        <v>1283</v>
      </c>
      <c r="K212" s="39" t="s">
        <v>1287</v>
      </c>
      <c r="L212" s="102">
        <v>3</v>
      </c>
      <c r="M212" s="81">
        <v>3</v>
      </c>
      <c r="N212" s="81">
        <v>3</v>
      </c>
      <c r="O212" s="81">
        <v>3</v>
      </c>
      <c r="P212" s="100"/>
      <c r="Q212" s="101"/>
      <c r="R212" s="53">
        <f t="shared" si="94"/>
        <v>3</v>
      </c>
      <c r="S212" s="81">
        <v>2</v>
      </c>
      <c r="T212" s="103">
        <f t="shared" ref="T212:T230" si="99">R212*S212</f>
        <v>6</v>
      </c>
      <c r="U212" s="104" t="str">
        <f t="shared" si="95"/>
        <v>ACEPTAR</v>
      </c>
      <c r="V212" s="82"/>
      <c r="W212" s="105"/>
      <c r="X212" s="81"/>
      <c r="Y212" s="81"/>
      <c r="Z212" s="83"/>
      <c r="AA212" s="81"/>
      <c r="AB212" s="106"/>
      <c r="AC212" s="107">
        <f t="shared" si="96"/>
        <v>3</v>
      </c>
      <c r="AD212" s="81">
        <f t="shared" si="97"/>
        <v>2</v>
      </c>
      <c r="AE212" s="103">
        <f t="shared" si="98"/>
        <v>6</v>
      </c>
      <c r="AF212" s="98" t="str">
        <f t="shared" si="93"/>
        <v/>
      </c>
      <c r="AG212" s="97"/>
      <c r="AH212" s="97"/>
    </row>
    <row r="213" spans="1:34" s="27" customFormat="1" ht="57.6" hidden="1">
      <c r="A213" s="28"/>
      <c r="B213" s="29" t="s">
        <v>1288</v>
      </c>
      <c r="C213" s="81" t="s">
        <v>386</v>
      </c>
      <c r="D213" s="81" t="s">
        <v>1289</v>
      </c>
      <c r="E213" s="81" t="s">
        <v>1282</v>
      </c>
      <c r="F213" s="81" t="s">
        <v>121</v>
      </c>
      <c r="G213" s="81" t="s">
        <v>1122</v>
      </c>
      <c r="H213" s="98">
        <v>3</v>
      </c>
      <c r="I213" s="99" t="s">
        <v>1277</v>
      </c>
      <c r="J213" s="40" t="s">
        <v>1283</v>
      </c>
      <c r="K213" s="39" t="s">
        <v>1290</v>
      </c>
      <c r="L213" s="102">
        <v>3</v>
      </c>
      <c r="M213" s="81">
        <v>3</v>
      </c>
      <c r="N213" s="81">
        <v>3</v>
      </c>
      <c r="O213" s="81">
        <v>3</v>
      </c>
      <c r="P213" s="100"/>
      <c r="Q213" s="101"/>
      <c r="R213" s="53">
        <f t="shared" si="94"/>
        <v>3</v>
      </c>
      <c r="S213" s="81">
        <v>2</v>
      </c>
      <c r="T213" s="103">
        <f t="shared" si="99"/>
        <v>6</v>
      </c>
      <c r="U213" s="104" t="str">
        <f t="shared" si="95"/>
        <v>ACEPTAR</v>
      </c>
      <c r="V213" s="82"/>
      <c r="W213" s="105"/>
      <c r="X213" s="81"/>
      <c r="Y213" s="81"/>
      <c r="Z213" s="83"/>
      <c r="AA213" s="81"/>
      <c r="AB213" s="106"/>
      <c r="AC213" s="107">
        <f t="shared" si="96"/>
        <v>3</v>
      </c>
      <c r="AD213" s="81">
        <f t="shared" si="97"/>
        <v>2</v>
      </c>
      <c r="AE213" s="103">
        <f t="shared" si="98"/>
        <v>6</v>
      </c>
      <c r="AF213" s="98" t="str">
        <f t="shared" si="93"/>
        <v/>
      </c>
      <c r="AG213" s="97"/>
      <c r="AH213" s="97"/>
    </row>
    <row r="214" spans="1:34" s="27" customFormat="1" ht="93.15" hidden="1" customHeight="1">
      <c r="A214" s="28"/>
      <c r="B214" s="29" t="s">
        <v>1291</v>
      </c>
      <c r="C214" s="81" t="s">
        <v>285</v>
      </c>
      <c r="D214" s="81" t="s">
        <v>1292</v>
      </c>
      <c r="E214" s="81" t="s">
        <v>1293</v>
      </c>
      <c r="F214" s="81" t="s">
        <v>536</v>
      </c>
      <c r="G214" s="81" t="s">
        <v>929</v>
      </c>
      <c r="H214" s="98">
        <v>3</v>
      </c>
      <c r="I214" s="99"/>
      <c r="J214" s="40" t="s">
        <v>1294</v>
      </c>
      <c r="K214" s="39" t="s">
        <v>1295</v>
      </c>
      <c r="L214" s="102">
        <v>3</v>
      </c>
      <c r="M214" s="81">
        <v>3</v>
      </c>
      <c r="N214" s="81">
        <v>3</v>
      </c>
      <c r="O214" s="81"/>
      <c r="P214" s="100">
        <v>3</v>
      </c>
      <c r="Q214" s="101"/>
      <c r="R214" s="53">
        <f t="shared" si="94"/>
        <v>3</v>
      </c>
      <c r="S214" s="81">
        <v>2</v>
      </c>
      <c r="T214" s="103">
        <f t="shared" si="99"/>
        <v>6</v>
      </c>
      <c r="U214" s="104" t="str">
        <f t="shared" si="95"/>
        <v>ACEPTAR</v>
      </c>
      <c r="V214" s="82"/>
      <c r="W214" s="105"/>
      <c r="X214" s="81"/>
      <c r="Y214" s="81"/>
      <c r="Z214" s="83"/>
      <c r="AA214" s="81"/>
      <c r="AB214" s="106"/>
      <c r="AC214" s="107">
        <f t="shared" si="96"/>
        <v>3</v>
      </c>
      <c r="AD214" s="81">
        <f t="shared" si="97"/>
        <v>2</v>
      </c>
      <c r="AE214" s="103">
        <f t="shared" si="98"/>
        <v>6</v>
      </c>
      <c r="AF214" s="98" t="str">
        <f t="shared" si="93"/>
        <v/>
      </c>
      <c r="AG214" s="97"/>
      <c r="AH214" s="97"/>
    </row>
    <row r="215" spans="1:34" s="27" customFormat="1" ht="72" hidden="1">
      <c r="A215" s="28"/>
      <c r="B215" s="29" t="s">
        <v>1296</v>
      </c>
      <c r="C215" s="81" t="s">
        <v>285</v>
      </c>
      <c r="D215" s="81" t="s">
        <v>1297</v>
      </c>
      <c r="E215" s="81" t="s">
        <v>1293</v>
      </c>
      <c r="F215" s="81" t="s">
        <v>1109</v>
      </c>
      <c r="G215" s="81" t="s">
        <v>929</v>
      </c>
      <c r="H215" s="98">
        <v>3</v>
      </c>
      <c r="I215" s="99"/>
      <c r="J215" s="40" t="s">
        <v>1294</v>
      </c>
      <c r="K215" s="39" t="s">
        <v>1298</v>
      </c>
      <c r="L215" s="102">
        <v>3</v>
      </c>
      <c r="M215" s="81">
        <v>3</v>
      </c>
      <c r="N215" s="81">
        <v>3</v>
      </c>
      <c r="O215" s="81"/>
      <c r="P215" s="100">
        <v>3</v>
      </c>
      <c r="Q215" s="101"/>
      <c r="R215" s="53">
        <f t="shared" si="94"/>
        <v>3</v>
      </c>
      <c r="S215" s="81">
        <v>2</v>
      </c>
      <c r="T215" s="103">
        <f t="shared" si="99"/>
        <v>6</v>
      </c>
      <c r="U215" s="104" t="str">
        <f t="shared" si="95"/>
        <v>ACEPTAR</v>
      </c>
      <c r="V215" s="82"/>
      <c r="W215" s="105"/>
      <c r="X215" s="81"/>
      <c r="Y215" s="81"/>
      <c r="Z215" s="83"/>
      <c r="AA215" s="81"/>
      <c r="AB215" s="106"/>
      <c r="AC215" s="107">
        <f t="shared" si="96"/>
        <v>3</v>
      </c>
      <c r="AD215" s="81">
        <f t="shared" si="97"/>
        <v>2</v>
      </c>
      <c r="AE215" s="103">
        <f t="shared" si="98"/>
        <v>6</v>
      </c>
      <c r="AF215" s="98" t="str">
        <f t="shared" si="93"/>
        <v/>
      </c>
      <c r="AG215" s="97"/>
      <c r="AH215" s="97"/>
    </row>
    <row r="216" spans="1:34" s="27" customFormat="1" ht="57.6" hidden="1">
      <c r="A216" s="28"/>
      <c r="B216" s="29" t="s">
        <v>1299</v>
      </c>
      <c r="C216" s="81" t="s">
        <v>285</v>
      </c>
      <c r="D216" s="81" t="s">
        <v>1300</v>
      </c>
      <c r="E216" s="81" t="s">
        <v>1293</v>
      </c>
      <c r="F216" s="81" t="s">
        <v>536</v>
      </c>
      <c r="G216" s="81" t="s">
        <v>929</v>
      </c>
      <c r="H216" s="98">
        <v>3</v>
      </c>
      <c r="I216" s="99"/>
      <c r="J216" s="40" t="s">
        <v>1294</v>
      </c>
      <c r="K216" s="39" t="s">
        <v>1298</v>
      </c>
      <c r="L216" s="102">
        <v>3</v>
      </c>
      <c r="M216" s="81">
        <v>3</v>
      </c>
      <c r="N216" s="81">
        <v>3</v>
      </c>
      <c r="O216" s="81"/>
      <c r="P216" s="100">
        <v>3</v>
      </c>
      <c r="Q216" s="101"/>
      <c r="R216" s="53">
        <f t="shared" si="94"/>
        <v>3</v>
      </c>
      <c r="S216" s="81">
        <v>2</v>
      </c>
      <c r="T216" s="103">
        <f t="shared" si="99"/>
        <v>6</v>
      </c>
      <c r="U216" s="104" t="str">
        <f t="shared" si="95"/>
        <v>ACEPTAR</v>
      </c>
      <c r="V216" s="82"/>
      <c r="W216" s="105"/>
      <c r="X216" s="81"/>
      <c r="Y216" s="81"/>
      <c r="Z216" s="83"/>
      <c r="AA216" s="81"/>
      <c r="AB216" s="106"/>
      <c r="AC216" s="107">
        <f t="shared" si="96"/>
        <v>3</v>
      </c>
      <c r="AD216" s="81">
        <f t="shared" si="97"/>
        <v>2</v>
      </c>
      <c r="AE216" s="103">
        <f t="shared" si="98"/>
        <v>6</v>
      </c>
      <c r="AF216" s="98" t="str">
        <f t="shared" si="93"/>
        <v/>
      </c>
      <c r="AG216" s="97"/>
      <c r="AH216" s="97"/>
    </row>
    <row r="217" spans="1:34" s="27" customFormat="1" ht="86.4" hidden="1">
      <c r="A217" s="28"/>
      <c r="B217" s="29" t="s">
        <v>1301</v>
      </c>
      <c r="C217" s="81" t="s">
        <v>215</v>
      </c>
      <c r="D217" s="81" t="s">
        <v>1302</v>
      </c>
      <c r="E217" s="81" t="s">
        <v>1303</v>
      </c>
      <c r="F217" s="81" t="s">
        <v>1304</v>
      </c>
      <c r="G217" s="81" t="s">
        <v>1250</v>
      </c>
      <c r="H217" s="98">
        <v>3</v>
      </c>
      <c r="I217" s="99" t="s">
        <v>1305</v>
      </c>
      <c r="J217" s="40" t="s">
        <v>1306</v>
      </c>
      <c r="K217" s="39" t="s">
        <v>1307</v>
      </c>
      <c r="L217" s="102"/>
      <c r="M217" s="81"/>
      <c r="N217" s="81"/>
      <c r="O217" s="81"/>
      <c r="P217" s="100"/>
      <c r="Q217" s="101">
        <v>4</v>
      </c>
      <c r="R217" s="53">
        <f t="shared" si="94"/>
        <v>4</v>
      </c>
      <c r="S217" s="81">
        <v>1</v>
      </c>
      <c r="T217" s="103">
        <f t="shared" si="99"/>
        <v>4</v>
      </c>
      <c r="U217" s="104" t="str">
        <f t="shared" si="95"/>
        <v>ACEPTAR</v>
      </c>
      <c r="V217" s="82"/>
      <c r="W217" s="105"/>
      <c r="X217" s="81"/>
      <c r="Y217" s="81"/>
      <c r="Z217" s="83"/>
      <c r="AA217" s="81"/>
      <c r="AB217" s="106"/>
      <c r="AC217" s="107">
        <f t="shared" si="96"/>
        <v>4</v>
      </c>
      <c r="AD217" s="81">
        <f t="shared" si="97"/>
        <v>1</v>
      </c>
      <c r="AE217" s="103">
        <f t="shared" si="98"/>
        <v>4</v>
      </c>
      <c r="AF217" s="98" t="str">
        <f t="shared" si="93"/>
        <v/>
      </c>
      <c r="AG217" s="97"/>
      <c r="AH217" s="97"/>
    </row>
    <row r="218" spans="1:34" s="27" customFormat="1" ht="57.6" hidden="1">
      <c r="A218" s="28"/>
      <c r="B218" s="29" t="s">
        <v>1308</v>
      </c>
      <c r="C218" s="81" t="s">
        <v>285</v>
      </c>
      <c r="D218" s="81" t="s">
        <v>1309</v>
      </c>
      <c r="E218" s="81" t="s">
        <v>1310</v>
      </c>
      <c r="F218" s="81" t="s">
        <v>1311</v>
      </c>
      <c r="G218" s="81" t="s">
        <v>1079</v>
      </c>
      <c r="H218" s="98">
        <v>3</v>
      </c>
      <c r="I218" s="99" t="s">
        <v>1067</v>
      </c>
      <c r="J218" s="40" t="s">
        <v>1312</v>
      </c>
      <c r="K218" s="39" t="s">
        <v>1062</v>
      </c>
      <c r="L218" s="102"/>
      <c r="M218" s="81"/>
      <c r="N218" s="81">
        <v>3</v>
      </c>
      <c r="O218" s="81"/>
      <c r="P218" s="100"/>
      <c r="Q218" s="101">
        <v>3</v>
      </c>
      <c r="R218" s="53">
        <f t="shared" si="94"/>
        <v>3</v>
      </c>
      <c r="S218" s="81">
        <v>1</v>
      </c>
      <c r="T218" s="103">
        <f t="shared" si="99"/>
        <v>3</v>
      </c>
      <c r="U218" s="104" t="str">
        <f t="shared" si="95"/>
        <v>ACEPTAR</v>
      </c>
      <c r="V218" s="82"/>
      <c r="W218" s="105"/>
      <c r="X218" s="81"/>
      <c r="Y218" s="81"/>
      <c r="Z218" s="83"/>
      <c r="AA218" s="81"/>
      <c r="AB218" s="106"/>
      <c r="AC218" s="107">
        <f t="shared" si="96"/>
        <v>3</v>
      </c>
      <c r="AD218" s="81">
        <f t="shared" si="97"/>
        <v>1</v>
      </c>
      <c r="AE218" s="103">
        <f t="shared" si="98"/>
        <v>3</v>
      </c>
      <c r="AF218" s="98" t="str">
        <f t="shared" si="93"/>
        <v/>
      </c>
      <c r="AG218" s="97"/>
      <c r="AH218" s="97"/>
    </row>
    <row r="219" spans="1:34" s="27" customFormat="1" ht="53.7" hidden="1" customHeight="1">
      <c r="A219" s="28"/>
      <c r="B219" s="29" t="s">
        <v>1313</v>
      </c>
      <c r="C219" s="81" t="s">
        <v>285</v>
      </c>
      <c r="D219" s="81" t="s">
        <v>1314</v>
      </c>
      <c r="E219" s="81" t="s">
        <v>1315</v>
      </c>
      <c r="F219" s="81" t="s">
        <v>1311</v>
      </c>
      <c r="G219" s="81" t="s">
        <v>1316</v>
      </c>
      <c r="H219" s="98">
        <v>2</v>
      </c>
      <c r="I219" s="99" t="s">
        <v>1317</v>
      </c>
      <c r="J219" s="40" t="s">
        <v>1318</v>
      </c>
      <c r="K219" s="39" t="s">
        <v>263</v>
      </c>
      <c r="L219" s="102"/>
      <c r="M219" s="81"/>
      <c r="N219" s="81">
        <v>3</v>
      </c>
      <c r="O219" s="81"/>
      <c r="P219" s="100"/>
      <c r="Q219" s="101"/>
      <c r="R219" s="53">
        <f t="shared" si="94"/>
        <v>3</v>
      </c>
      <c r="S219" s="81">
        <v>2</v>
      </c>
      <c r="T219" s="103">
        <f t="shared" si="99"/>
        <v>6</v>
      </c>
      <c r="U219" s="104" t="str">
        <f t="shared" si="95"/>
        <v>ACEPTAR</v>
      </c>
      <c r="V219" s="82"/>
      <c r="W219" s="105"/>
      <c r="X219" s="81"/>
      <c r="Y219" s="81"/>
      <c r="Z219" s="83"/>
      <c r="AA219" s="81"/>
      <c r="AB219" s="106"/>
      <c r="AC219" s="107">
        <f t="shared" si="96"/>
        <v>3</v>
      </c>
      <c r="AD219" s="81">
        <f t="shared" si="97"/>
        <v>2</v>
      </c>
      <c r="AE219" s="103">
        <f t="shared" si="98"/>
        <v>6</v>
      </c>
      <c r="AF219" s="98" t="str">
        <f t="shared" si="93"/>
        <v/>
      </c>
      <c r="AG219" s="97"/>
      <c r="AH219" s="97"/>
    </row>
    <row r="220" spans="1:34" s="27" customFormat="1" ht="110.1" hidden="1" customHeight="1">
      <c r="A220" s="28"/>
      <c r="B220" s="29" t="s">
        <v>1319</v>
      </c>
      <c r="C220" s="81" t="s">
        <v>1320</v>
      </c>
      <c r="D220" s="81" t="s">
        <v>1321</v>
      </c>
      <c r="E220" s="81" t="s">
        <v>1322</v>
      </c>
      <c r="F220" s="81" t="s">
        <v>1311</v>
      </c>
      <c r="G220" s="81" t="s">
        <v>1316</v>
      </c>
      <c r="H220" s="98">
        <v>2</v>
      </c>
      <c r="I220" s="99" t="s">
        <v>1323</v>
      </c>
      <c r="J220" s="40" t="s">
        <v>1324</v>
      </c>
      <c r="K220" s="39" t="s">
        <v>263</v>
      </c>
      <c r="L220" s="102"/>
      <c r="M220" s="81"/>
      <c r="N220" s="81">
        <v>3</v>
      </c>
      <c r="O220" s="81"/>
      <c r="P220" s="100"/>
      <c r="Q220" s="101"/>
      <c r="R220" s="53">
        <f t="shared" si="94"/>
        <v>3</v>
      </c>
      <c r="S220" s="81">
        <v>2</v>
      </c>
      <c r="T220" s="103">
        <f t="shared" si="99"/>
        <v>6</v>
      </c>
      <c r="U220" s="104" t="str">
        <f t="shared" si="95"/>
        <v>ACEPTAR</v>
      </c>
      <c r="V220" s="82"/>
      <c r="W220" s="105"/>
      <c r="X220" s="81"/>
      <c r="Y220" s="81"/>
      <c r="Z220" s="83"/>
      <c r="AA220" s="81"/>
      <c r="AB220" s="106"/>
      <c r="AC220" s="107">
        <f t="shared" si="96"/>
        <v>3</v>
      </c>
      <c r="AD220" s="81">
        <f t="shared" si="97"/>
        <v>2</v>
      </c>
      <c r="AE220" s="103">
        <f t="shared" si="98"/>
        <v>6</v>
      </c>
      <c r="AF220" s="98" t="str">
        <f t="shared" si="93"/>
        <v/>
      </c>
      <c r="AG220" s="97"/>
      <c r="AH220" s="97"/>
    </row>
    <row r="221" spans="1:34" s="27" customFormat="1" ht="78" hidden="1" customHeight="1">
      <c r="A221" s="28"/>
      <c r="B221" s="29" t="s">
        <v>1325</v>
      </c>
      <c r="C221" s="81" t="s">
        <v>111</v>
      </c>
      <c r="D221" s="81" t="s">
        <v>1326</v>
      </c>
      <c r="E221" s="81" t="s">
        <v>1327</v>
      </c>
      <c r="F221" s="81" t="s">
        <v>1311</v>
      </c>
      <c r="G221" s="81" t="s">
        <v>236</v>
      </c>
      <c r="H221" s="98">
        <v>3</v>
      </c>
      <c r="I221" s="99" t="s">
        <v>1328</v>
      </c>
      <c r="J221" s="40" t="s">
        <v>1329</v>
      </c>
      <c r="K221" s="39" t="s">
        <v>239</v>
      </c>
      <c r="L221" s="102"/>
      <c r="M221" s="81"/>
      <c r="N221" s="81">
        <v>3</v>
      </c>
      <c r="O221" s="81"/>
      <c r="P221" s="100"/>
      <c r="Q221" s="101">
        <v>4</v>
      </c>
      <c r="R221" s="53">
        <f t="shared" si="94"/>
        <v>4</v>
      </c>
      <c r="S221" s="81">
        <v>1</v>
      </c>
      <c r="T221" s="103">
        <f t="shared" si="99"/>
        <v>4</v>
      </c>
      <c r="U221" s="104" t="str">
        <f t="shared" si="95"/>
        <v>ACEPTAR</v>
      </c>
      <c r="V221" s="82"/>
      <c r="W221" s="105"/>
      <c r="X221" s="81"/>
      <c r="Y221" s="81"/>
      <c r="Z221" s="83"/>
      <c r="AA221" s="81"/>
      <c r="AB221" s="106"/>
      <c r="AC221" s="107">
        <f t="shared" si="96"/>
        <v>4</v>
      </c>
      <c r="AD221" s="81">
        <f t="shared" si="97"/>
        <v>1</v>
      </c>
      <c r="AE221" s="103">
        <f t="shared" si="98"/>
        <v>4</v>
      </c>
      <c r="AF221" s="98" t="str">
        <f t="shared" si="93"/>
        <v/>
      </c>
      <c r="AG221" s="97"/>
      <c r="AH221" s="97"/>
    </row>
    <row r="222" spans="1:34" s="27" customFormat="1" ht="43.2" hidden="1">
      <c r="A222" s="28"/>
      <c r="B222" s="29" t="s">
        <v>1330</v>
      </c>
      <c r="C222" s="81" t="s">
        <v>111</v>
      </c>
      <c r="D222" s="81" t="s">
        <v>1331</v>
      </c>
      <c r="E222" s="81" t="s">
        <v>1327</v>
      </c>
      <c r="F222" s="81" t="s">
        <v>1311</v>
      </c>
      <c r="G222" s="81" t="s">
        <v>236</v>
      </c>
      <c r="H222" s="98">
        <v>3</v>
      </c>
      <c r="I222" s="99" t="s">
        <v>1332</v>
      </c>
      <c r="J222" s="40" t="s">
        <v>1333</v>
      </c>
      <c r="K222" s="39" t="s">
        <v>239</v>
      </c>
      <c r="L222" s="102"/>
      <c r="M222" s="81"/>
      <c r="N222" s="81">
        <v>3</v>
      </c>
      <c r="O222" s="81"/>
      <c r="P222" s="100"/>
      <c r="Q222" s="101">
        <v>4</v>
      </c>
      <c r="R222" s="53">
        <f t="shared" si="94"/>
        <v>4</v>
      </c>
      <c r="S222" s="81">
        <v>1</v>
      </c>
      <c r="T222" s="103">
        <f t="shared" si="99"/>
        <v>4</v>
      </c>
      <c r="U222" s="104" t="str">
        <f t="shared" si="95"/>
        <v>ACEPTAR</v>
      </c>
      <c r="V222" s="82"/>
      <c r="W222" s="105"/>
      <c r="X222" s="81"/>
      <c r="Y222" s="81"/>
      <c r="Z222" s="83"/>
      <c r="AA222" s="81"/>
      <c r="AB222" s="106"/>
      <c r="AC222" s="107">
        <f t="shared" si="96"/>
        <v>4</v>
      </c>
      <c r="AD222" s="81">
        <f t="shared" si="97"/>
        <v>1</v>
      </c>
      <c r="AE222" s="103">
        <f t="shared" si="98"/>
        <v>4</v>
      </c>
      <c r="AF222" s="98" t="str">
        <f t="shared" si="93"/>
        <v/>
      </c>
      <c r="AG222" s="97"/>
      <c r="AH222" s="97"/>
    </row>
    <row r="223" spans="1:34" s="27" customFormat="1" ht="43.2" hidden="1">
      <c r="A223" s="28"/>
      <c r="B223" s="29" t="s">
        <v>1334</v>
      </c>
      <c r="C223" s="81" t="s">
        <v>1335</v>
      </c>
      <c r="D223" s="81" t="s">
        <v>1336</v>
      </c>
      <c r="E223" s="81" t="s">
        <v>1337</v>
      </c>
      <c r="F223" s="81" t="s">
        <v>1311</v>
      </c>
      <c r="G223" s="81" t="s">
        <v>236</v>
      </c>
      <c r="H223" s="98">
        <v>3</v>
      </c>
      <c r="I223" s="99" t="s">
        <v>1332</v>
      </c>
      <c r="J223" s="40" t="s">
        <v>1338</v>
      </c>
      <c r="K223" s="39" t="s">
        <v>1339</v>
      </c>
      <c r="L223" s="102"/>
      <c r="M223" s="81"/>
      <c r="N223" s="81">
        <v>3</v>
      </c>
      <c r="O223" s="81"/>
      <c r="P223" s="100"/>
      <c r="Q223" s="101"/>
      <c r="R223" s="53">
        <f t="shared" si="94"/>
        <v>3</v>
      </c>
      <c r="S223" s="81">
        <v>2</v>
      </c>
      <c r="T223" s="103">
        <f t="shared" si="99"/>
        <v>6</v>
      </c>
      <c r="U223" s="104" t="str">
        <f t="shared" si="95"/>
        <v>ACEPTAR</v>
      </c>
      <c r="V223" s="82"/>
      <c r="W223" s="105"/>
      <c r="X223" s="81"/>
      <c r="Y223" s="81"/>
      <c r="Z223" s="83"/>
      <c r="AA223" s="81"/>
      <c r="AB223" s="106"/>
      <c r="AC223" s="107">
        <f t="shared" si="96"/>
        <v>3</v>
      </c>
      <c r="AD223" s="81">
        <f t="shared" si="97"/>
        <v>2</v>
      </c>
      <c r="AE223" s="103">
        <f t="shared" si="98"/>
        <v>6</v>
      </c>
      <c r="AF223" s="98" t="str">
        <f t="shared" si="93"/>
        <v/>
      </c>
      <c r="AG223" s="97"/>
      <c r="AH223" s="97"/>
    </row>
    <row r="224" spans="1:34" s="27" customFormat="1" ht="43.2" hidden="1">
      <c r="A224" s="28"/>
      <c r="B224" s="29" t="s">
        <v>1340</v>
      </c>
      <c r="C224" s="81" t="s">
        <v>1335</v>
      </c>
      <c r="D224" s="81" t="s">
        <v>1341</v>
      </c>
      <c r="E224" s="81" t="s">
        <v>1337</v>
      </c>
      <c r="F224" s="81" t="s">
        <v>1311</v>
      </c>
      <c r="G224" s="81" t="s">
        <v>236</v>
      </c>
      <c r="H224" s="98">
        <v>3</v>
      </c>
      <c r="I224" s="99" t="s">
        <v>1332</v>
      </c>
      <c r="J224" s="40" t="s">
        <v>1338</v>
      </c>
      <c r="K224" s="39" t="s">
        <v>239</v>
      </c>
      <c r="L224" s="102"/>
      <c r="M224" s="81"/>
      <c r="N224" s="81">
        <v>4</v>
      </c>
      <c r="O224" s="81"/>
      <c r="P224" s="100"/>
      <c r="Q224" s="101"/>
      <c r="R224" s="53">
        <f t="shared" si="94"/>
        <v>4</v>
      </c>
      <c r="S224" s="81">
        <v>1</v>
      </c>
      <c r="T224" s="103">
        <f t="shared" si="99"/>
        <v>4</v>
      </c>
      <c r="U224" s="104" t="str">
        <f t="shared" si="95"/>
        <v>ACEPTAR</v>
      </c>
      <c r="V224" s="82"/>
      <c r="W224" s="105"/>
      <c r="X224" s="81"/>
      <c r="Y224" s="81"/>
      <c r="Z224" s="83"/>
      <c r="AA224" s="81"/>
      <c r="AB224" s="106"/>
      <c r="AC224" s="107">
        <f t="shared" si="96"/>
        <v>4</v>
      </c>
      <c r="AD224" s="81">
        <f t="shared" si="97"/>
        <v>1</v>
      </c>
      <c r="AE224" s="103">
        <f t="shared" si="98"/>
        <v>4</v>
      </c>
      <c r="AF224" s="98" t="str">
        <f t="shared" si="93"/>
        <v/>
      </c>
      <c r="AG224" s="97"/>
      <c r="AH224" s="97"/>
    </row>
    <row r="225" spans="1:34" s="27" customFormat="1" ht="122.25" hidden="1" customHeight="1">
      <c r="A225" s="28"/>
      <c r="B225" s="29" t="s">
        <v>1342</v>
      </c>
      <c r="C225" s="81" t="s">
        <v>1343</v>
      </c>
      <c r="D225" s="81" t="s">
        <v>1344</v>
      </c>
      <c r="E225" s="81" t="s">
        <v>1345</v>
      </c>
      <c r="F225" s="81" t="s">
        <v>678</v>
      </c>
      <c r="G225" s="81" t="s">
        <v>1346</v>
      </c>
      <c r="H225" s="98">
        <v>3</v>
      </c>
      <c r="I225" s="99" t="s">
        <v>1347</v>
      </c>
      <c r="J225" s="40" t="s">
        <v>1348</v>
      </c>
      <c r="K225" s="39" t="s">
        <v>1349</v>
      </c>
      <c r="L225" s="102">
        <v>4</v>
      </c>
      <c r="M225" s="81">
        <v>4</v>
      </c>
      <c r="N225" s="81">
        <v>4</v>
      </c>
      <c r="O225" s="81">
        <v>4</v>
      </c>
      <c r="P225" s="100">
        <v>4</v>
      </c>
      <c r="Q225" s="101"/>
      <c r="R225" s="53">
        <f t="shared" si="94"/>
        <v>4</v>
      </c>
      <c r="S225" s="81">
        <v>1</v>
      </c>
      <c r="T225" s="103">
        <f t="shared" si="99"/>
        <v>4</v>
      </c>
      <c r="U225" s="104" t="str">
        <f t="shared" si="95"/>
        <v>ACEPTAR</v>
      </c>
      <c r="V225" s="82"/>
      <c r="W225" s="105"/>
      <c r="X225" s="81"/>
      <c r="Y225" s="81"/>
      <c r="Z225" s="83"/>
      <c r="AA225" s="81"/>
      <c r="AB225" s="106"/>
      <c r="AC225" s="107">
        <f t="shared" si="96"/>
        <v>4</v>
      </c>
      <c r="AD225" s="81">
        <f t="shared" si="97"/>
        <v>1</v>
      </c>
      <c r="AE225" s="103">
        <f t="shared" si="98"/>
        <v>4</v>
      </c>
      <c r="AF225" s="98" t="str">
        <f t="shared" si="93"/>
        <v/>
      </c>
      <c r="AG225" s="97"/>
      <c r="AH225" s="97"/>
    </row>
    <row r="226" spans="1:34" s="27" customFormat="1" ht="57.6" hidden="1">
      <c r="A226" s="28"/>
      <c r="B226" s="29" t="s">
        <v>1350</v>
      </c>
      <c r="C226" s="81" t="s">
        <v>111</v>
      </c>
      <c r="D226" s="81" t="s">
        <v>1351</v>
      </c>
      <c r="E226" s="81" t="s">
        <v>1352</v>
      </c>
      <c r="F226" s="81" t="s">
        <v>536</v>
      </c>
      <c r="G226" s="81" t="s">
        <v>1353</v>
      </c>
      <c r="H226" s="98">
        <v>2</v>
      </c>
      <c r="I226" s="99" t="s">
        <v>186</v>
      </c>
      <c r="J226" s="40" t="s">
        <v>1354</v>
      </c>
      <c r="K226" s="39" t="s">
        <v>1355</v>
      </c>
      <c r="L226" s="102">
        <v>4</v>
      </c>
      <c r="M226" s="81">
        <v>4</v>
      </c>
      <c r="N226" s="81">
        <v>4</v>
      </c>
      <c r="O226" s="81">
        <v>4</v>
      </c>
      <c r="P226" s="100">
        <v>4</v>
      </c>
      <c r="Q226" s="101"/>
      <c r="R226" s="53">
        <f t="shared" si="94"/>
        <v>4</v>
      </c>
      <c r="S226" s="81">
        <v>1</v>
      </c>
      <c r="T226" s="103">
        <f t="shared" si="99"/>
        <v>4</v>
      </c>
      <c r="U226" s="104" t="str">
        <f t="shared" si="95"/>
        <v>ACEPTAR</v>
      </c>
      <c r="V226" s="82"/>
      <c r="W226" s="105"/>
      <c r="X226" s="81"/>
      <c r="Y226" s="81"/>
      <c r="Z226" s="83"/>
      <c r="AA226" s="81"/>
      <c r="AB226" s="106"/>
      <c r="AC226" s="107">
        <f t="shared" si="96"/>
        <v>4</v>
      </c>
      <c r="AD226" s="81">
        <f t="shared" si="97"/>
        <v>1</v>
      </c>
      <c r="AE226" s="103">
        <f t="shared" si="98"/>
        <v>4</v>
      </c>
      <c r="AF226" s="98" t="str">
        <f t="shared" si="93"/>
        <v/>
      </c>
      <c r="AG226" s="97"/>
      <c r="AH226" s="97"/>
    </row>
    <row r="227" spans="1:34" s="27" customFormat="1" ht="86.4" hidden="1">
      <c r="A227" s="28"/>
      <c r="B227" s="29" t="s">
        <v>1356</v>
      </c>
      <c r="C227" s="81" t="s">
        <v>1320</v>
      </c>
      <c r="D227" s="81" t="s">
        <v>1357</v>
      </c>
      <c r="E227" s="81" t="s">
        <v>1358</v>
      </c>
      <c r="F227" s="81" t="s">
        <v>1359</v>
      </c>
      <c r="G227" s="81" t="s">
        <v>1353</v>
      </c>
      <c r="H227" s="98">
        <v>3</v>
      </c>
      <c r="I227" s="99" t="s">
        <v>699</v>
      </c>
      <c r="J227" s="40" t="s">
        <v>1360</v>
      </c>
      <c r="K227" s="39" t="s">
        <v>1361</v>
      </c>
      <c r="L227" s="102">
        <v>3</v>
      </c>
      <c r="M227" s="81">
        <v>3</v>
      </c>
      <c r="N227" s="81">
        <v>3</v>
      </c>
      <c r="O227" s="81">
        <v>3</v>
      </c>
      <c r="P227" s="100"/>
      <c r="Q227" s="101"/>
      <c r="R227" s="53">
        <f t="shared" si="94"/>
        <v>3</v>
      </c>
      <c r="S227" s="81">
        <v>1</v>
      </c>
      <c r="T227" s="103">
        <f t="shared" si="99"/>
        <v>3</v>
      </c>
      <c r="U227" s="104" t="str">
        <f t="shared" si="95"/>
        <v>ACEPTAR</v>
      </c>
      <c r="V227" s="82"/>
      <c r="W227" s="105"/>
      <c r="X227" s="81"/>
      <c r="Y227" s="81"/>
      <c r="Z227" s="83"/>
      <c r="AA227" s="81"/>
      <c r="AB227" s="106"/>
      <c r="AC227" s="107">
        <f t="shared" si="96"/>
        <v>3</v>
      </c>
      <c r="AD227" s="81">
        <f t="shared" si="97"/>
        <v>1</v>
      </c>
      <c r="AE227" s="103">
        <f t="shared" si="98"/>
        <v>3</v>
      </c>
      <c r="AF227" s="98" t="str">
        <f t="shared" si="93"/>
        <v/>
      </c>
      <c r="AG227" s="97"/>
      <c r="AH227" s="97"/>
    </row>
    <row r="228" spans="1:34" s="27" customFormat="1" ht="57.6" hidden="1">
      <c r="A228" s="28"/>
      <c r="B228" s="29" t="s">
        <v>1362</v>
      </c>
      <c r="C228" s="81" t="s">
        <v>1268</v>
      </c>
      <c r="D228" s="81" t="s">
        <v>1363</v>
      </c>
      <c r="E228" s="81" t="s">
        <v>1364</v>
      </c>
      <c r="F228" s="81" t="s">
        <v>536</v>
      </c>
      <c r="G228" s="81" t="s">
        <v>1365</v>
      </c>
      <c r="H228" s="98">
        <v>3</v>
      </c>
      <c r="I228" s="99" t="s">
        <v>1366</v>
      </c>
      <c r="J228" s="40" t="s">
        <v>1367</v>
      </c>
      <c r="K228" s="39" t="s">
        <v>1368</v>
      </c>
      <c r="L228" s="102">
        <v>3</v>
      </c>
      <c r="M228" s="81">
        <v>3</v>
      </c>
      <c r="N228" s="81">
        <v>3</v>
      </c>
      <c r="O228" s="81">
        <v>3</v>
      </c>
      <c r="P228" s="100">
        <v>3</v>
      </c>
      <c r="Q228" s="101"/>
      <c r="R228" s="53">
        <f t="shared" si="94"/>
        <v>3</v>
      </c>
      <c r="S228" s="81">
        <v>2</v>
      </c>
      <c r="T228" s="103">
        <f t="shared" si="99"/>
        <v>6</v>
      </c>
      <c r="U228" s="104" t="str">
        <f t="shared" si="95"/>
        <v>ACEPTAR</v>
      </c>
      <c r="V228" s="82"/>
      <c r="W228" s="105"/>
      <c r="X228" s="81"/>
      <c r="Y228" s="81"/>
      <c r="Z228" s="83"/>
      <c r="AA228" s="81"/>
      <c r="AB228" s="106"/>
      <c r="AC228" s="107">
        <f t="shared" si="96"/>
        <v>3</v>
      </c>
      <c r="AD228" s="81">
        <f t="shared" si="97"/>
        <v>2</v>
      </c>
      <c r="AE228" s="103">
        <f t="shared" si="98"/>
        <v>6</v>
      </c>
      <c r="AF228" s="98" t="str">
        <f t="shared" si="93"/>
        <v/>
      </c>
      <c r="AG228" s="97"/>
      <c r="AH228" s="97"/>
    </row>
    <row r="229" spans="1:34" s="27" customFormat="1" ht="57.6" hidden="1">
      <c r="A229" s="28"/>
      <c r="B229" s="29" t="s">
        <v>1362</v>
      </c>
      <c r="C229" s="81" t="s">
        <v>285</v>
      </c>
      <c r="D229" s="31" t="s">
        <v>1369</v>
      </c>
      <c r="E229" s="81" t="s">
        <v>1370</v>
      </c>
      <c r="F229" s="81" t="s">
        <v>536</v>
      </c>
      <c r="G229" s="81" t="s">
        <v>1371</v>
      </c>
      <c r="H229" s="98">
        <v>3</v>
      </c>
      <c r="I229" s="99" t="s">
        <v>1366</v>
      </c>
      <c r="J229" s="40" t="s">
        <v>1367</v>
      </c>
      <c r="K229" s="39" t="s">
        <v>1368</v>
      </c>
      <c r="L229" s="102">
        <v>3</v>
      </c>
      <c r="M229" s="81">
        <v>3</v>
      </c>
      <c r="N229" s="81">
        <v>3</v>
      </c>
      <c r="O229" s="81">
        <v>3</v>
      </c>
      <c r="P229" s="100">
        <v>3</v>
      </c>
      <c r="Q229" s="101"/>
      <c r="R229" s="53">
        <f t="shared" si="94"/>
        <v>3</v>
      </c>
      <c r="S229" s="81">
        <v>2</v>
      </c>
      <c r="T229" s="103">
        <f t="shared" ref="T229" si="100">R229*S229</f>
        <v>6</v>
      </c>
      <c r="U229" s="104" t="str">
        <f t="shared" ref="U229" si="101">IF(T229&lt;8,"ACEPTAR","MITIGAR")</f>
        <v>ACEPTAR</v>
      </c>
      <c r="V229" s="82"/>
      <c r="W229" s="105"/>
      <c r="X229" s="81"/>
      <c r="Y229" s="81"/>
      <c r="Z229" s="83"/>
      <c r="AA229" s="81"/>
      <c r="AB229" s="106"/>
      <c r="AC229" s="107">
        <f t="shared" si="96"/>
        <v>3</v>
      </c>
      <c r="AD229" s="81">
        <f t="shared" si="97"/>
        <v>2</v>
      </c>
      <c r="AE229" s="103">
        <f t="shared" ref="AE229" si="102">AC229*AD229</f>
        <v>6</v>
      </c>
      <c r="AF229" s="98" t="str">
        <f t="shared" si="93"/>
        <v/>
      </c>
      <c r="AG229" s="97"/>
      <c r="AH229" s="97"/>
    </row>
    <row r="230" spans="1:34" s="27" customFormat="1" ht="72" hidden="1">
      <c r="A230" s="28"/>
      <c r="B230" s="29" t="s">
        <v>1372</v>
      </c>
      <c r="C230" s="81" t="s">
        <v>1268</v>
      </c>
      <c r="D230" s="81" t="s">
        <v>1373</v>
      </c>
      <c r="E230" s="81" t="s">
        <v>1364</v>
      </c>
      <c r="F230" s="81" t="s">
        <v>536</v>
      </c>
      <c r="G230" s="81" t="s">
        <v>1374</v>
      </c>
      <c r="H230" s="98">
        <v>3</v>
      </c>
      <c r="I230" s="99" t="s">
        <v>1375</v>
      </c>
      <c r="J230" s="40" t="s">
        <v>1376</v>
      </c>
      <c r="K230" s="39" t="s">
        <v>1284</v>
      </c>
      <c r="L230" s="102">
        <v>3</v>
      </c>
      <c r="M230" s="81">
        <v>3</v>
      </c>
      <c r="N230" s="81">
        <v>3</v>
      </c>
      <c r="O230" s="81">
        <v>3</v>
      </c>
      <c r="P230" s="100">
        <v>3</v>
      </c>
      <c r="Q230" s="101"/>
      <c r="R230" s="53">
        <f t="shared" si="94"/>
        <v>3</v>
      </c>
      <c r="S230" s="81">
        <v>2</v>
      </c>
      <c r="T230" s="103">
        <f t="shared" si="99"/>
        <v>6</v>
      </c>
      <c r="U230" s="104" t="str">
        <f t="shared" si="95"/>
        <v>ACEPTAR</v>
      </c>
      <c r="V230" s="82"/>
      <c r="W230" s="105"/>
      <c r="X230" s="81"/>
      <c r="Y230" s="81"/>
      <c r="Z230" s="83"/>
      <c r="AA230" s="81"/>
      <c r="AB230" s="106"/>
      <c r="AC230" s="107">
        <f t="shared" si="96"/>
        <v>3</v>
      </c>
      <c r="AD230" s="81">
        <f t="shared" si="97"/>
        <v>2</v>
      </c>
      <c r="AE230" s="103">
        <f t="shared" si="98"/>
        <v>6</v>
      </c>
      <c r="AF230" s="98" t="str">
        <f t="shared" si="93"/>
        <v/>
      </c>
      <c r="AG230" s="97"/>
      <c r="AH230" s="97"/>
    </row>
    <row r="231" spans="1:34" s="27" customFormat="1" ht="86.4" hidden="1">
      <c r="A231" s="28"/>
      <c r="B231" s="29" t="s">
        <v>1377</v>
      </c>
      <c r="C231" s="81" t="s">
        <v>111</v>
      </c>
      <c r="D231" s="81" t="s">
        <v>1378</v>
      </c>
      <c r="E231" s="81" t="s">
        <v>1379</v>
      </c>
      <c r="F231" s="81" t="s">
        <v>1380</v>
      </c>
      <c r="G231" s="81" t="s">
        <v>1381</v>
      </c>
      <c r="H231" s="98">
        <v>3</v>
      </c>
      <c r="I231" s="99" t="s">
        <v>1382</v>
      </c>
      <c r="J231" s="40" t="s">
        <v>1383</v>
      </c>
      <c r="K231" s="39" t="s">
        <v>1384</v>
      </c>
      <c r="L231" s="102">
        <v>3</v>
      </c>
      <c r="M231" s="81">
        <v>3</v>
      </c>
      <c r="N231" s="81">
        <v>3</v>
      </c>
      <c r="O231" s="81">
        <v>3</v>
      </c>
      <c r="P231" s="100"/>
      <c r="Q231" s="101">
        <v>3</v>
      </c>
      <c r="R231" s="53">
        <f t="shared" si="94"/>
        <v>3</v>
      </c>
      <c r="S231" s="81">
        <v>2</v>
      </c>
      <c r="T231" s="103">
        <f t="shared" ref="T231:T297" si="103">R231*S231</f>
        <v>6</v>
      </c>
      <c r="U231" s="104" t="str">
        <f t="shared" ref="U231:U297" si="104">IF(T231&lt;8,"ACEPTAR","MITIGAR")</f>
        <v>ACEPTAR</v>
      </c>
      <c r="V231" s="82"/>
      <c r="W231" s="105"/>
      <c r="X231" s="81"/>
      <c r="Y231" s="81"/>
      <c r="Z231" s="83"/>
      <c r="AA231" s="81"/>
      <c r="AB231" s="106"/>
      <c r="AC231" s="107">
        <f t="shared" si="96"/>
        <v>3</v>
      </c>
      <c r="AD231" s="81">
        <f t="shared" si="97"/>
        <v>2</v>
      </c>
      <c r="AE231" s="103">
        <f t="shared" ref="AE231:AE297" si="105">AC231*AD231</f>
        <v>6</v>
      </c>
      <c r="AF231" s="98" t="str">
        <f t="shared" si="93"/>
        <v/>
      </c>
      <c r="AG231" s="97"/>
      <c r="AH231" s="97"/>
    </row>
    <row r="232" spans="1:34" s="27" customFormat="1" ht="100.8" hidden="1">
      <c r="A232" s="28"/>
      <c r="B232" s="29" t="s">
        <v>1385</v>
      </c>
      <c r="C232" s="81" t="s">
        <v>86</v>
      </c>
      <c r="D232" s="81" t="s">
        <v>1386</v>
      </c>
      <c r="E232" s="81" t="s">
        <v>1387</v>
      </c>
      <c r="F232" s="81" t="s">
        <v>1388</v>
      </c>
      <c r="G232" s="81" t="s">
        <v>1389</v>
      </c>
      <c r="H232" s="98">
        <v>3</v>
      </c>
      <c r="I232" s="99" t="s">
        <v>1390</v>
      </c>
      <c r="J232" s="40" t="s">
        <v>92</v>
      </c>
      <c r="K232" s="39" t="s">
        <v>1209</v>
      </c>
      <c r="L232" s="102"/>
      <c r="M232" s="81"/>
      <c r="N232" s="81"/>
      <c r="O232" s="81"/>
      <c r="P232" s="100"/>
      <c r="Q232" s="101">
        <v>3</v>
      </c>
      <c r="R232" s="53">
        <f t="shared" si="94"/>
        <v>3</v>
      </c>
      <c r="S232" s="81">
        <v>2</v>
      </c>
      <c r="T232" s="103">
        <f t="shared" si="103"/>
        <v>6</v>
      </c>
      <c r="U232" s="104" t="str">
        <f t="shared" si="104"/>
        <v>ACEPTAR</v>
      </c>
      <c r="V232" s="82"/>
      <c r="W232" s="105"/>
      <c r="X232" s="81"/>
      <c r="Y232" s="81"/>
      <c r="Z232" s="83"/>
      <c r="AA232" s="81"/>
      <c r="AB232" s="106"/>
      <c r="AC232" s="107">
        <f t="shared" si="96"/>
        <v>3</v>
      </c>
      <c r="AD232" s="81">
        <f t="shared" si="97"/>
        <v>2</v>
      </c>
      <c r="AE232" s="103">
        <f t="shared" si="105"/>
        <v>6</v>
      </c>
      <c r="AF232" s="98" t="str">
        <f t="shared" si="93"/>
        <v/>
      </c>
      <c r="AG232" s="97"/>
      <c r="AH232" s="97"/>
    </row>
    <row r="233" spans="1:34" s="27" customFormat="1" ht="57.6" hidden="1">
      <c r="A233" s="28" t="s">
        <v>1391</v>
      </c>
      <c r="B233" s="29" t="s">
        <v>1392</v>
      </c>
      <c r="C233" s="81" t="s">
        <v>1393</v>
      </c>
      <c r="D233" s="81" t="s">
        <v>1394</v>
      </c>
      <c r="E233" s="81" t="s">
        <v>1395</v>
      </c>
      <c r="F233" s="81" t="s">
        <v>1396</v>
      </c>
      <c r="G233" s="81" t="s">
        <v>1397</v>
      </c>
      <c r="H233" s="98">
        <v>3</v>
      </c>
      <c r="I233" s="99" t="s">
        <v>1398</v>
      </c>
      <c r="J233" s="40" t="s">
        <v>100</v>
      </c>
      <c r="K233" s="39" t="s">
        <v>1209</v>
      </c>
      <c r="L233" s="102"/>
      <c r="M233" s="81">
        <v>3</v>
      </c>
      <c r="N233" s="81">
        <v>3</v>
      </c>
      <c r="O233" s="81">
        <v>3</v>
      </c>
      <c r="P233" s="100"/>
      <c r="Q233" s="101">
        <v>3</v>
      </c>
      <c r="R233" s="53">
        <f t="shared" si="94"/>
        <v>3</v>
      </c>
      <c r="S233" s="81">
        <v>1</v>
      </c>
      <c r="T233" s="103">
        <f t="shared" si="103"/>
        <v>3</v>
      </c>
      <c r="U233" s="104" t="str">
        <f t="shared" si="104"/>
        <v>ACEPTAR</v>
      </c>
      <c r="V233" s="82"/>
      <c r="W233" s="105"/>
      <c r="X233" s="81"/>
      <c r="Y233" s="81"/>
      <c r="Z233" s="83"/>
      <c r="AA233" s="81"/>
      <c r="AB233" s="106"/>
      <c r="AC233" s="107">
        <f t="shared" si="96"/>
        <v>3</v>
      </c>
      <c r="AD233" s="81">
        <f t="shared" si="97"/>
        <v>1</v>
      </c>
      <c r="AE233" s="103">
        <f t="shared" si="105"/>
        <v>3</v>
      </c>
      <c r="AF233" s="98" t="str">
        <f t="shared" si="93"/>
        <v/>
      </c>
      <c r="AG233" s="97"/>
      <c r="AH233" s="97"/>
    </row>
    <row r="234" spans="1:34" s="27" customFormat="1" ht="74.099999999999994" customHeight="1">
      <c r="A234" s="28" t="s">
        <v>1391</v>
      </c>
      <c r="B234" s="29" t="s">
        <v>1399</v>
      </c>
      <c r="C234" s="81" t="s">
        <v>86</v>
      </c>
      <c r="D234" s="81" t="s">
        <v>1400</v>
      </c>
      <c r="E234" s="81" t="s">
        <v>1401</v>
      </c>
      <c r="F234" s="81" t="s">
        <v>1402</v>
      </c>
      <c r="G234" s="81" t="s">
        <v>1403</v>
      </c>
      <c r="H234" s="98">
        <v>3</v>
      </c>
      <c r="I234" s="99" t="s">
        <v>1404</v>
      </c>
      <c r="J234" s="40" t="s">
        <v>100</v>
      </c>
      <c r="K234" s="39" t="s">
        <v>1209</v>
      </c>
      <c r="L234" s="102">
        <v>4</v>
      </c>
      <c r="M234" s="81">
        <v>4</v>
      </c>
      <c r="N234" s="81">
        <v>4</v>
      </c>
      <c r="O234" s="81"/>
      <c r="P234" s="100"/>
      <c r="Q234" s="101"/>
      <c r="R234" s="53">
        <f t="shared" si="94"/>
        <v>4</v>
      </c>
      <c r="S234" s="81">
        <v>2</v>
      </c>
      <c r="T234" s="103">
        <f t="shared" si="103"/>
        <v>8</v>
      </c>
      <c r="U234" s="104" t="str">
        <f t="shared" si="104"/>
        <v>MITIGAR</v>
      </c>
      <c r="V234" s="82" t="s">
        <v>1405</v>
      </c>
      <c r="W234" s="105"/>
      <c r="X234" s="81" t="s">
        <v>1406</v>
      </c>
      <c r="Y234" s="81" t="s">
        <v>782</v>
      </c>
      <c r="Z234" s="83" t="s">
        <v>739</v>
      </c>
      <c r="AA234" s="81"/>
      <c r="AB234" s="106"/>
      <c r="AC234" s="107">
        <f t="shared" si="96"/>
        <v>4</v>
      </c>
      <c r="AD234" s="81">
        <f t="shared" si="97"/>
        <v>2</v>
      </c>
      <c r="AE234" s="103">
        <f t="shared" si="105"/>
        <v>8</v>
      </c>
      <c r="AF234" s="98" t="str">
        <f t="shared" si="93"/>
        <v>INSUFICIENTE</v>
      </c>
      <c r="AG234" s="97"/>
      <c r="AH234" s="97"/>
    </row>
    <row r="235" spans="1:34" s="27" customFormat="1" ht="62.7" hidden="1" customHeight="1">
      <c r="A235" s="28" t="s">
        <v>1407</v>
      </c>
      <c r="B235" s="29" t="s">
        <v>1408</v>
      </c>
      <c r="C235" s="81" t="s">
        <v>879</v>
      </c>
      <c r="D235" s="81" t="s">
        <v>1409</v>
      </c>
      <c r="E235" s="81" t="s">
        <v>1410</v>
      </c>
      <c r="F235" s="81" t="s">
        <v>1411</v>
      </c>
      <c r="G235" s="81" t="s">
        <v>1381</v>
      </c>
      <c r="H235" s="98">
        <v>3</v>
      </c>
      <c r="I235" s="99" t="s">
        <v>1412</v>
      </c>
      <c r="J235" s="100" t="s">
        <v>116</v>
      </c>
      <c r="K235" s="101" t="s">
        <v>1413</v>
      </c>
      <c r="L235" s="102"/>
      <c r="M235" s="81">
        <v>1</v>
      </c>
      <c r="N235" s="81">
        <v>1</v>
      </c>
      <c r="O235" s="81">
        <v>1</v>
      </c>
      <c r="P235" s="100"/>
      <c r="Q235" s="101">
        <v>1</v>
      </c>
      <c r="R235" s="53">
        <f t="shared" si="94"/>
        <v>1</v>
      </c>
      <c r="S235" s="81">
        <v>2</v>
      </c>
      <c r="T235" s="103">
        <f t="shared" si="103"/>
        <v>2</v>
      </c>
      <c r="U235" s="104" t="str">
        <f t="shared" si="104"/>
        <v>ACEPTAR</v>
      </c>
      <c r="V235" s="82"/>
      <c r="W235" s="105"/>
      <c r="X235" s="81"/>
      <c r="Y235" s="81"/>
      <c r="Z235" s="83"/>
      <c r="AA235" s="81"/>
      <c r="AB235" s="106"/>
      <c r="AC235" s="107">
        <f t="shared" si="96"/>
        <v>1</v>
      </c>
      <c r="AD235" s="81">
        <f t="shared" si="97"/>
        <v>2</v>
      </c>
      <c r="AE235" s="103">
        <f t="shared" si="105"/>
        <v>2</v>
      </c>
      <c r="AF235" s="98" t="str">
        <f t="shared" si="93"/>
        <v/>
      </c>
      <c r="AG235" s="97"/>
      <c r="AH235" s="97"/>
    </row>
    <row r="236" spans="1:34" s="27" customFormat="1" ht="85.65" hidden="1" customHeight="1">
      <c r="A236" s="28" t="s">
        <v>1407</v>
      </c>
      <c r="B236" s="29" t="s">
        <v>1414</v>
      </c>
      <c r="C236" s="81" t="s">
        <v>86</v>
      </c>
      <c r="D236" s="81" t="s">
        <v>1415</v>
      </c>
      <c r="E236" s="81" t="s">
        <v>1416</v>
      </c>
      <c r="F236" s="81" t="s">
        <v>1417</v>
      </c>
      <c r="G236" s="81" t="s">
        <v>1403</v>
      </c>
      <c r="H236" s="98">
        <v>3</v>
      </c>
      <c r="I236" s="99" t="s">
        <v>1418</v>
      </c>
      <c r="J236" s="100" t="s">
        <v>116</v>
      </c>
      <c r="K236" s="39" t="s">
        <v>1253</v>
      </c>
      <c r="L236" s="102"/>
      <c r="M236" s="81"/>
      <c r="N236" s="81"/>
      <c r="O236" s="81"/>
      <c r="P236" s="100"/>
      <c r="Q236" s="101">
        <v>3</v>
      </c>
      <c r="R236" s="53">
        <f t="shared" si="94"/>
        <v>3</v>
      </c>
      <c r="S236" s="81">
        <v>2</v>
      </c>
      <c r="T236" s="103">
        <f t="shared" si="103"/>
        <v>6</v>
      </c>
      <c r="U236" s="104" t="str">
        <f t="shared" si="104"/>
        <v>ACEPTAR</v>
      </c>
      <c r="V236" s="82"/>
      <c r="W236" s="105"/>
      <c r="X236" s="81"/>
      <c r="Y236" s="81"/>
      <c r="Z236" s="83"/>
      <c r="AA236" s="81"/>
      <c r="AB236" s="106"/>
      <c r="AC236" s="107">
        <f t="shared" si="96"/>
        <v>3</v>
      </c>
      <c r="AD236" s="81">
        <f t="shared" si="97"/>
        <v>2</v>
      </c>
      <c r="AE236" s="103">
        <f t="shared" si="105"/>
        <v>6</v>
      </c>
      <c r="AF236" s="98" t="str">
        <f t="shared" si="93"/>
        <v/>
      </c>
      <c r="AG236" s="97"/>
      <c r="AH236" s="97"/>
    </row>
    <row r="237" spans="1:34" s="27" customFormat="1" ht="72" hidden="1">
      <c r="A237" s="28"/>
      <c r="B237" s="29" t="s">
        <v>1419</v>
      </c>
      <c r="C237" s="81" t="s">
        <v>386</v>
      </c>
      <c r="D237" s="81" t="s">
        <v>1420</v>
      </c>
      <c r="E237" s="81" t="s">
        <v>1421</v>
      </c>
      <c r="F237" s="81" t="s">
        <v>1422</v>
      </c>
      <c r="G237" s="81" t="s">
        <v>1381</v>
      </c>
      <c r="H237" s="98">
        <v>3</v>
      </c>
      <c r="I237" s="99" t="s">
        <v>1423</v>
      </c>
      <c r="J237" s="40" t="s">
        <v>1424</v>
      </c>
      <c r="K237" s="39" t="s">
        <v>1425</v>
      </c>
      <c r="L237" s="102">
        <v>3</v>
      </c>
      <c r="M237" s="81">
        <v>3</v>
      </c>
      <c r="N237" s="81">
        <v>3</v>
      </c>
      <c r="O237" s="81">
        <v>3</v>
      </c>
      <c r="P237" s="100">
        <v>3</v>
      </c>
      <c r="Q237" s="101">
        <v>3</v>
      </c>
      <c r="R237" s="53">
        <f t="shared" si="94"/>
        <v>3</v>
      </c>
      <c r="S237" s="81">
        <v>1</v>
      </c>
      <c r="T237" s="103">
        <f t="shared" si="103"/>
        <v>3</v>
      </c>
      <c r="U237" s="104" t="str">
        <f t="shared" si="104"/>
        <v>ACEPTAR</v>
      </c>
      <c r="V237" s="82"/>
      <c r="W237" s="105"/>
      <c r="X237" s="81"/>
      <c r="Y237" s="81"/>
      <c r="Z237" s="83"/>
      <c r="AA237" s="81"/>
      <c r="AB237" s="106"/>
      <c r="AC237" s="107">
        <f t="shared" si="96"/>
        <v>3</v>
      </c>
      <c r="AD237" s="81">
        <f t="shared" si="97"/>
        <v>1</v>
      </c>
      <c r="AE237" s="103">
        <f t="shared" si="105"/>
        <v>3</v>
      </c>
      <c r="AF237" s="98" t="str">
        <f t="shared" si="93"/>
        <v/>
      </c>
      <c r="AG237" s="97"/>
      <c r="AH237" s="97"/>
    </row>
    <row r="238" spans="1:34" s="27" customFormat="1" ht="100.8">
      <c r="A238" s="28"/>
      <c r="B238" s="29" t="s">
        <v>1426</v>
      </c>
      <c r="C238" s="81" t="s">
        <v>86</v>
      </c>
      <c r="D238" s="81" t="s">
        <v>1427</v>
      </c>
      <c r="E238" s="81" t="s">
        <v>1421</v>
      </c>
      <c r="F238" s="81" t="s">
        <v>1428</v>
      </c>
      <c r="G238" s="81" t="s">
        <v>1389</v>
      </c>
      <c r="H238" s="98">
        <v>3</v>
      </c>
      <c r="I238" s="99" t="s">
        <v>1429</v>
      </c>
      <c r="J238" s="40" t="s">
        <v>1430</v>
      </c>
      <c r="K238" s="39" t="s">
        <v>1209</v>
      </c>
      <c r="L238" s="102"/>
      <c r="M238" s="81"/>
      <c r="N238" s="81"/>
      <c r="O238" s="81"/>
      <c r="P238" s="100"/>
      <c r="Q238" s="101">
        <v>4</v>
      </c>
      <c r="R238" s="53">
        <f t="shared" si="94"/>
        <v>4</v>
      </c>
      <c r="S238" s="81">
        <v>2</v>
      </c>
      <c r="T238" s="103">
        <f>R238*S238</f>
        <v>8</v>
      </c>
      <c r="U238" s="104" t="str">
        <f t="shared" si="104"/>
        <v>MITIGAR</v>
      </c>
      <c r="V238" s="82" t="s">
        <v>1405</v>
      </c>
      <c r="W238" s="105"/>
      <c r="X238" s="81" t="s">
        <v>1406</v>
      </c>
      <c r="Y238" s="81" t="s">
        <v>782</v>
      </c>
      <c r="Z238" s="83" t="s">
        <v>739</v>
      </c>
      <c r="AA238" s="81"/>
      <c r="AB238" s="106"/>
      <c r="AC238" s="107">
        <f t="shared" si="96"/>
        <v>4</v>
      </c>
      <c r="AD238" s="81">
        <f t="shared" si="97"/>
        <v>2</v>
      </c>
      <c r="AE238" s="103">
        <f t="shared" si="105"/>
        <v>8</v>
      </c>
      <c r="AF238" s="98" t="str">
        <f t="shared" si="93"/>
        <v>INSUFICIENTE</v>
      </c>
      <c r="AG238" s="97"/>
      <c r="AH238" s="97"/>
    </row>
    <row r="239" spans="1:34" s="27" customFormat="1" ht="57.6" hidden="1">
      <c r="A239" s="28"/>
      <c r="B239" s="29" t="s">
        <v>1431</v>
      </c>
      <c r="C239" s="81" t="s">
        <v>170</v>
      </c>
      <c r="D239" s="81" t="s">
        <v>1432</v>
      </c>
      <c r="E239" s="81" t="s">
        <v>185</v>
      </c>
      <c r="F239" s="81" t="s">
        <v>1433</v>
      </c>
      <c r="G239" s="81" t="s">
        <v>1381</v>
      </c>
      <c r="H239" s="98">
        <v>3</v>
      </c>
      <c r="I239" s="99" t="s">
        <v>1434</v>
      </c>
      <c r="J239" s="40" t="s">
        <v>187</v>
      </c>
      <c r="K239" s="39" t="s">
        <v>1435</v>
      </c>
      <c r="L239" s="102">
        <v>3</v>
      </c>
      <c r="M239" s="81">
        <v>3</v>
      </c>
      <c r="N239" s="81">
        <v>3</v>
      </c>
      <c r="O239" s="81">
        <v>3</v>
      </c>
      <c r="P239" s="100">
        <v>3</v>
      </c>
      <c r="Q239" s="101">
        <v>3</v>
      </c>
      <c r="R239" s="53">
        <f t="shared" si="94"/>
        <v>3</v>
      </c>
      <c r="S239" s="81">
        <v>1</v>
      </c>
      <c r="T239" s="103">
        <f t="shared" si="103"/>
        <v>3</v>
      </c>
      <c r="U239" s="104" t="str">
        <f t="shared" si="104"/>
        <v>ACEPTAR</v>
      </c>
      <c r="V239" s="82"/>
      <c r="W239" s="105"/>
      <c r="X239" s="81"/>
      <c r="Y239" s="81"/>
      <c r="Z239" s="83"/>
      <c r="AA239" s="81"/>
      <c r="AB239" s="106"/>
      <c r="AC239" s="107">
        <f t="shared" si="96"/>
        <v>3</v>
      </c>
      <c r="AD239" s="81">
        <f t="shared" si="97"/>
        <v>1</v>
      </c>
      <c r="AE239" s="103">
        <f t="shared" si="105"/>
        <v>3</v>
      </c>
      <c r="AF239" s="98" t="str">
        <f t="shared" si="93"/>
        <v/>
      </c>
      <c r="AG239" s="97"/>
      <c r="AH239" s="97"/>
    </row>
    <row r="240" spans="1:34" s="27" customFormat="1" ht="57.6" hidden="1">
      <c r="A240" s="28"/>
      <c r="B240" s="29" t="s">
        <v>1436</v>
      </c>
      <c r="C240" s="81" t="s">
        <v>170</v>
      </c>
      <c r="D240" s="81" t="s">
        <v>1437</v>
      </c>
      <c r="E240" s="81" t="s">
        <v>185</v>
      </c>
      <c r="F240" s="81" t="s">
        <v>1438</v>
      </c>
      <c r="G240" s="81" t="s">
        <v>1403</v>
      </c>
      <c r="H240" s="98">
        <v>3</v>
      </c>
      <c r="I240" s="99" t="s">
        <v>1439</v>
      </c>
      <c r="J240" s="40" t="s">
        <v>187</v>
      </c>
      <c r="K240" s="39" t="s">
        <v>1435</v>
      </c>
      <c r="L240" s="102">
        <v>3</v>
      </c>
      <c r="M240" s="81">
        <v>3</v>
      </c>
      <c r="N240" s="81">
        <v>3</v>
      </c>
      <c r="O240" s="81">
        <v>3</v>
      </c>
      <c r="P240" s="100">
        <v>3</v>
      </c>
      <c r="Q240" s="101">
        <v>3</v>
      </c>
      <c r="R240" s="53">
        <f t="shared" si="94"/>
        <v>3</v>
      </c>
      <c r="S240" s="81">
        <v>2</v>
      </c>
      <c r="T240" s="103">
        <f t="shared" si="103"/>
        <v>6</v>
      </c>
      <c r="U240" s="104" t="str">
        <f t="shared" si="104"/>
        <v>ACEPTAR</v>
      </c>
      <c r="V240" s="82"/>
      <c r="W240" s="105"/>
      <c r="X240" s="81"/>
      <c r="Y240" s="81"/>
      <c r="Z240" s="83"/>
      <c r="AA240" s="81"/>
      <c r="AB240" s="106"/>
      <c r="AC240" s="107">
        <f t="shared" si="96"/>
        <v>3</v>
      </c>
      <c r="AD240" s="81">
        <f t="shared" si="97"/>
        <v>2</v>
      </c>
      <c r="AE240" s="103">
        <f t="shared" si="105"/>
        <v>6</v>
      </c>
      <c r="AF240" s="98" t="str">
        <f t="shared" si="93"/>
        <v/>
      </c>
      <c r="AG240" s="97"/>
      <c r="AH240" s="97"/>
    </row>
    <row r="241" spans="1:34" s="27" customFormat="1" ht="74.7" hidden="1" customHeight="1">
      <c r="A241" s="28" t="s">
        <v>1440</v>
      </c>
      <c r="B241" s="29" t="s">
        <v>1441</v>
      </c>
      <c r="C241" s="81" t="s">
        <v>386</v>
      </c>
      <c r="D241" s="81" t="s">
        <v>1442</v>
      </c>
      <c r="E241" s="81" t="s">
        <v>222</v>
      </c>
      <c r="F241" s="81" t="s">
        <v>218</v>
      </c>
      <c r="G241" s="81" t="s">
        <v>1443</v>
      </c>
      <c r="H241" s="98">
        <v>3</v>
      </c>
      <c r="I241" s="99" t="s">
        <v>1444</v>
      </c>
      <c r="J241" s="40" t="s">
        <v>212</v>
      </c>
      <c r="K241" s="39" t="s">
        <v>213</v>
      </c>
      <c r="L241" s="102">
        <v>2</v>
      </c>
      <c r="M241" s="81">
        <v>2</v>
      </c>
      <c r="N241" s="81">
        <v>2</v>
      </c>
      <c r="O241" s="81"/>
      <c r="P241" s="100"/>
      <c r="Q241" s="101"/>
      <c r="R241" s="53">
        <f t="shared" si="94"/>
        <v>2</v>
      </c>
      <c r="S241" s="81">
        <v>1</v>
      </c>
      <c r="T241" s="103">
        <f t="shared" si="103"/>
        <v>2</v>
      </c>
      <c r="U241" s="104" t="str">
        <f t="shared" si="104"/>
        <v>ACEPTAR</v>
      </c>
      <c r="V241" s="82"/>
      <c r="W241" s="105"/>
      <c r="X241" s="81"/>
      <c r="Y241" s="81"/>
      <c r="Z241" s="83"/>
      <c r="AA241" s="81"/>
      <c r="AB241" s="106"/>
      <c r="AC241" s="107">
        <f t="shared" si="96"/>
        <v>2</v>
      </c>
      <c r="AD241" s="81">
        <f t="shared" si="97"/>
        <v>1</v>
      </c>
      <c r="AE241" s="103">
        <f t="shared" si="105"/>
        <v>2</v>
      </c>
      <c r="AF241" s="98" t="str">
        <f t="shared" si="93"/>
        <v/>
      </c>
      <c r="AG241" s="97"/>
      <c r="AH241" s="97"/>
    </row>
    <row r="242" spans="1:34" s="27" customFormat="1" ht="87.6" hidden="1" customHeight="1">
      <c r="A242" s="28" t="s">
        <v>1440</v>
      </c>
      <c r="B242" s="29" t="s">
        <v>1445</v>
      </c>
      <c r="C242" s="81" t="s">
        <v>386</v>
      </c>
      <c r="D242" s="81" t="s">
        <v>1446</v>
      </c>
      <c r="E242" s="81" t="s">
        <v>222</v>
      </c>
      <c r="F242" s="81" t="s">
        <v>218</v>
      </c>
      <c r="G242" s="81" t="s">
        <v>1403</v>
      </c>
      <c r="H242" s="98">
        <v>3</v>
      </c>
      <c r="I242" s="99" t="s">
        <v>1447</v>
      </c>
      <c r="J242" s="40" t="s">
        <v>212</v>
      </c>
      <c r="K242" s="39" t="s">
        <v>1448</v>
      </c>
      <c r="L242" s="102">
        <v>3</v>
      </c>
      <c r="M242" s="81">
        <v>3</v>
      </c>
      <c r="N242" s="81">
        <v>3</v>
      </c>
      <c r="O242" s="81"/>
      <c r="P242" s="100"/>
      <c r="Q242" s="101"/>
      <c r="R242" s="53">
        <f t="shared" si="94"/>
        <v>3</v>
      </c>
      <c r="S242" s="81">
        <v>2</v>
      </c>
      <c r="T242" s="103">
        <f t="shared" si="103"/>
        <v>6</v>
      </c>
      <c r="U242" s="104" t="str">
        <f t="shared" si="104"/>
        <v>ACEPTAR</v>
      </c>
      <c r="V242" s="82"/>
      <c r="W242" s="105"/>
      <c r="X242" s="81"/>
      <c r="Y242" s="81"/>
      <c r="Z242" s="83"/>
      <c r="AA242" s="81"/>
      <c r="AB242" s="106"/>
      <c r="AC242" s="107">
        <f t="shared" si="96"/>
        <v>3</v>
      </c>
      <c r="AD242" s="81">
        <f t="shared" si="97"/>
        <v>2</v>
      </c>
      <c r="AE242" s="103">
        <f t="shared" si="105"/>
        <v>6</v>
      </c>
      <c r="AF242" s="98" t="str">
        <f t="shared" si="93"/>
        <v/>
      </c>
      <c r="AG242" s="97"/>
      <c r="AH242" s="97"/>
    </row>
    <row r="243" spans="1:34" s="27" customFormat="1" ht="106.95" hidden="1" customHeight="1">
      <c r="A243" s="28" t="s">
        <v>1440</v>
      </c>
      <c r="B243" s="29" t="s">
        <v>1449</v>
      </c>
      <c r="C243" s="81" t="s">
        <v>386</v>
      </c>
      <c r="D243" s="81" t="s">
        <v>1450</v>
      </c>
      <c r="E243" s="81" t="s">
        <v>1451</v>
      </c>
      <c r="F243" s="81" t="s">
        <v>1452</v>
      </c>
      <c r="G243" s="81" t="s">
        <v>1397</v>
      </c>
      <c r="H243" s="98">
        <v>3</v>
      </c>
      <c r="I243" s="99" t="s">
        <v>1453</v>
      </c>
      <c r="J243" s="40" t="s">
        <v>1454</v>
      </c>
      <c r="K243" s="39" t="s">
        <v>1455</v>
      </c>
      <c r="L243" s="102"/>
      <c r="M243" s="81"/>
      <c r="N243" s="81">
        <v>3</v>
      </c>
      <c r="O243" s="81"/>
      <c r="P243" s="100"/>
      <c r="Q243" s="101">
        <v>3</v>
      </c>
      <c r="R243" s="53">
        <f t="shared" si="94"/>
        <v>3</v>
      </c>
      <c r="S243" s="81">
        <v>1</v>
      </c>
      <c r="T243" s="103">
        <f t="shared" si="103"/>
        <v>3</v>
      </c>
      <c r="U243" s="104" t="str">
        <f t="shared" si="104"/>
        <v>ACEPTAR</v>
      </c>
      <c r="V243" s="82"/>
      <c r="W243" s="105"/>
      <c r="X243" s="81"/>
      <c r="Y243" s="81"/>
      <c r="Z243" s="83"/>
      <c r="AA243" s="81"/>
      <c r="AB243" s="106"/>
      <c r="AC243" s="107">
        <f t="shared" si="96"/>
        <v>3</v>
      </c>
      <c r="AD243" s="81">
        <f t="shared" si="97"/>
        <v>1</v>
      </c>
      <c r="AE243" s="103">
        <f t="shared" si="105"/>
        <v>3</v>
      </c>
      <c r="AF243" s="98" t="str">
        <f t="shared" si="93"/>
        <v/>
      </c>
      <c r="AG243" s="97"/>
      <c r="AH243" s="97"/>
    </row>
    <row r="244" spans="1:34" s="27" customFormat="1" ht="93.45" customHeight="1">
      <c r="A244" s="28" t="s">
        <v>1440</v>
      </c>
      <c r="B244" s="29" t="s">
        <v>1449</v>
      </c>
      <c r="C244" s="81" t="s">
        <v>86</v>
      </c>
      <c r="D244" s="81" t="s">
        <v>1456</v>
      </c>
      <c r="E244" s="81" t="s">
        <v>1451</v>
      </c>
      <c r="F244" s="81" t="s">
        <v>1457</v>
      </c>
      <c r="G244" s="81" t="s">
        <v>1403</v>
      </c>
      <c r="H244" s="98">
        <v>3</v>
      </c>
      <c r="I244" s="99" t="s">
        <v>1458</v>
      </c>
      <c r="J244" s="40" t="s">
        <v>225</v>
      </c>
      <c r="K244" s="39"/>
      <c r="L244" s="102"/>
      <c r="M244" s="81"/>
      <c r="N244" s="81">
        <v>3</v>
      </c>
      <c r="O244" s="81"/>
      <c r="P244" s="100"/>
      <c r="Q244" s="101">
        <v>3</v>
      </c>
      <c r="R244" s="53">
        <f t="shared" si="94"/>
        <v>3</v>
      </c>
      <c r="S244" s="81">
        <v>3</v>
      </c>
      <c r="T244" s="103">
        <f t="shared" ref="T244" si="106">R244*S244</f>
        <v>9</v>
      </c>
      <c r="U244" s="104" t="str">
        <f t="shared" ref="U244" si="107">IF(T244&lt;8,"ACEPTAR","MITIGAR")</f>
        <v>MITIGAR</v>
      </c>
      <c r="V244" s="82" t="s">
        <v>1405</v>
      </c>
      <c r="W244" s="105"/>
      <c r="X244" s="81" t="s">
        <v>1406</v>
      </c>
      <c r="Y244" s="81" t="s">
        <v>782</v>
      </c>
      <c r="Z244" s="83" t="s">
        <v>739</v>
      </c>
      <c r="AA244" s="81"/>
      <c r="AB244" s="106"/>
      <c r="AC244" s="107">
        <f t="shared" si="96"/>
        <v>3</v>
      </c>
      <c r="AD244" s="81">
        <f t="shared" si="97"/>
        <v>3</v>
      </c>
      <c r="AE244" s="103">
        <f t="shared" ref="AE244" si="108">AC244*AD244</f>
        <v>9</v>
      </c>
      <c r="AF244" s="98" t="str">
        <f t="shared" si="93"/>
        <v>INSUFICIENTE</v>
      </c>
      <c r="AG244" s="97"/>
      <c r="AH244" s="97"/>
    </row>
    <row r="245" spans="1:34" s="27" customFormat="1" ht="72" hidden="1">
      <c r="A245" s="28" t="s">
        <v>1440</v>
      </c>
      <c r="B245" s="29" t="s">
        <v>1459</v>
      </c>
      <c r="C245" s="81" t="s">
        <v>386</v>
      </c>
      <c r="D245" s="81" t="s">
        <v>1460</v>
      </c>
      <c r="E245" s="81" t="s">
        <v>234</v>
      </c>
      <c r="F245" s="81" t="s">
        <v>1461</v>
      </c>
      <c r="G245" s="81" t="s">
        <v>1462</v>
      </c>
      <c r="H245" s="98">
        <v>3</v>
      </c>
      <c r="I245" s="99" t="s">
        <v>1463</v>
      </c>
      <c r="J245" s="40" t="s">
        <v>243</v>
      </c>
      <c r="K245" s="39" t="s">
        <v>250</v>
      </c>
      <c r="L245" s="102"/>
      <c r="M245" s="81">
        <v>4</v>
      </c>
      <c r="N245" s="81"/>
      <c r="O245" s="81"/>
      <c r="P245" s="100"/>
      <c r="Q245" s="101"/>
      <c r="R245" s="53">
        <f t="shared" si="94"/>
        <v>4</v>
      </c>
      <c r="S245" s="81">
        <v>1</v>
      </c>
      <c r="T245" s="103">
        <f t="shared" si="103"/>
        <v>4</v>
      </c>
      <c r="U245" s="104" t="str">
        <f t="shared" si="104"/>
        <v>ACEPTAR</v>
      </c>
      <c r="V245" s="82"/>
      <c r="W245" s="105"/>
      <c r="X245" s="81"/>
      <c r="Y245" s="81"/>
      <c r="Z245" s="83"/>
      <c r="AA245" s="81"/>
      <c r="AB245" s="106"/>
      <c r="AC245" s="107">
        <f t="shared" si="96"/>
        <v>4</v>
      </c>
      <c r="AD245" s="81">
        <f t="shared" si="97"/>
        <v>1</v>
      </c>
      <c r="AE245" s="103">
        <f t="shared" si="105"/>
        <v>4</v>
      </c>
      <c r="AF245" s="98" t="str">
        <f t="shared" si="93"/>
        <v/>
      </c>
      <c r="AG245" s="97"/>
      <c r="AH245" s="97"/>
    </row>
    <row r="246" spans="1:34" s="27" customFormat="1" ht="86.4" hidden="1">
      <c r="A246" s="28" t="s">
        <v>1464</v>
      </c>
      <c r="B246" s="29" t="s">
        <v>1465</v>
      </c>
      <c r="C246" s="81" t="s">
        <v>285</v>
      </c>
      <c r="D246" s="81" t="s">
        <v>1466</v>
      </c>
      <c r="E246" s="81" t="s">
        <v>278</v>
      </c>
      <c r="F246" s="81" t="s">
        <v>279</v>
      </c>
      <c r="G246" s="81" t="s">
        <v>1467</v>
      </c>
      <c r="H246" s="98">
        <v>3</v>
      </c>
      <c r="I246" s="99" t="s">
        <v>1468</v>
      </c>
      <c r="J246" s="40" t="s">
        <v>282</v>
      </c>
      <c r="K246" s="39" t="s">
        <v>340</v>
      </c>
      <c r="L246" s="102"/>
      <c r="M246" s="81">
        <v>3</v>
      </c>
      <c r="N246" s="81">
        <v>3</v>
      </c>
      <c r="O246" s="81">
        <v>3</v>
      </c>
      <c r="P246" s="100"/>
      <c r="Q246" s="101"/>
      <c r="R246" s="53">
        <f t="shared" si="94"/>
        <v>3</v>
      </c>
      <c r="S246" s="81">
        <v>1</v>
      </c>
      <c r="T246" s="103">
        <f t="shared" si="103"/>
        <v>3</v>
      </c>
      <c r="U246" s="104" t="str">
        <f t="shared" si="104"/>
        <v>ACEPTAR</v>
      </c>
      <c r="V246" s="82"/>
      <c r="W246" s="105"/>
      <c r="X246" s="81"/>
      <c r="Y246" s="81"/>
      <c r="Z246" s="83"/>
      <c r="AA246" s="81"/>
      <c r="AB246" s="106"/>
      <c r="AC246" s="107">
        <f t="shared" si="96"/>
        <v>3</v>
      </c>
      <c r="AD246" s="81">
        <f t="shared" si="97"/>
        <v>1</v>
      </c>
      <c r="AE246" s="103">
        <f t="shared" si="105"/>
        <v>3</v>
      </c>
      <c r="AF246" s="98" t="str">
        <f t="shared" si="93"/>
        <v/>
      </c>
      <c r="AG246" s="97"/>
      <c r="AH246" s="97"/>
    </row>
    <row r="247" spans="1:34" s="27" customFormat="1" ht="72.75" hidden="1" customHeight="1">
      <c r="A247" s="28" t="s">
        <v>1464</v>
      </c>
      <c r="B247" s="29" t="s">
        <v>1469</v>
      </c>
      <c r="C247" s="81" t="s">
        <v>86</v>
      </c>
      <c r="D247" s="81" t="s">
        <v>1470</v>
      </c>
      <c r="E247" s="81" t="s">
        <v>1471</v>
      </c>
      <c r="F247" s="81" t="s">
        <v>1472</v>
      </c>
      <c r="G247" s="81" t="s">
        <v>1403</v>
      </c>
      <c r="H247" s="98">
        <v>3</v>
      </c>
      <c r="I247" s="99" t="s">
        <v>1473</v>
      </c>
      <c r="J247" s="40" t="s">
        <v>1474</v>
      </c>
      <c r="K247" s="39" t="s">
        <v>1475</v>
      </c>
      <c r="L247" s="102"/>
      <c r="M247" s="81">
        <v>3</v>
      </c>
      <c r="N247" s="81">
        <v>3</v>
      </c>
      <c r="O247" s="81">
        <v>3</v>
      </c>
      <c r="P247" s="100"/>
      <c r="Q247" s="101"/>
      <c r="R247" s="53">
        <f t="shared" si="94"/>
        <v>3</v>
      </c>
      <c r="S247" s="81">
        <v>1</v>
      </c>
      <c r="T247" s="103">
        <f t="shared" si="103"/>
        <v>3</v>
      </c>
      <c r="U247" s="104" t="str">
        <f t="shared" si="104"/>
        <v>ACEPTAR</v>
      </c>
      <c r="V247" s="82"/>
      <c r="W247" s="105"/>
      <c r="X247" s="81"/>
      <c r="Y247" s="81"/>
      <c r="Z247" s="83"/>
      <c r="AA247" s="81"/>
      <c r="AB247" s="106"/>
      <c r="AC247" s="107">
        <f t="shared" si="96"/>
        <v>3</v>
      </c>
      <c r="AD247" s="81">
        <f t="shared" si="97"/>
        <v>1</v>
      </c>
      <c r="AE247" s="103">
        <f t="shared" si="105"/>
        <v>3</v>
      </c>
      <c r="AF247" s="98" t="str">
        <f t="shared" si="93"/>
        <v/>
      </c>
      <c r="AG247" s="97"/>
      <c r="AH247" s="97"/>
    </row>
    <row r="248" spans="1:34" s="27" customFormat="1" ht="86.4" hidden="1">
      <c r="A248" s="28"/>
      <c r="B248" s="29" t="s">
        <v>1476</v>
      </c>
      <c r="C248" s="81" t="s">
        <v>86</v>
      </c>
      <c r="D248" s="81" t="s">
        <v>1477</v>
      </c>
      <c r="E248" s="81" t="s">
        <v>278</v>
      </c>
      <c r="F248" s="81" t="s">
        <v>279</v>
      </c>
      <c r="G248" s="81" t="s">
        <v>1403</v>
      </c>
      <c r="H248" s="98">
        <v>3</v>
      </c>
      <c r="I248" s="99" t="s">
        <v>1478</v>
      </c>
      <c r="J248" s="40" t="s">
        <v>1474</v>
      </c>
      <c r="K248" s="39" t="s">
        <v>1475</v>
      </c>
      <c r="L248" s="102"/>
      <c r="M248" s="81"/>
      <c r="N248" s="81"/>
      <c r="O248" s="81"/>
      <c r="P248" s="100"/>
      <c r="Q248" s="101">
        <v>3</v>
      </c>
      <c r="R248" s="53">
        <f t="shared" si="94"/>
        <v>3</v>
      </c>
      <c r="S248" s="81">
        <v>1</v>
      </c>
      <c r="T248" s="103">
        <f t="shared" si="103"/>
        <v>3</v>
      </c>
      <c r="U248" s="104" t="str">
        <f t="shared" si="104"/>
        <v>ACEPTAR</v>
      </c>
      <c r="V248" s="82"/>
      <c r="W248" s="105"/>
      <c r="X248" s="81"/>
      <c r="Y248" s="81"/>
      <c r="Z248" s="83"/>
      <c r="AA248" s="81"/>
      <c r="AB248" s="106"/>
      <c r="AC248" s="107">
        <f t="shared" si="96"/>
        <v>3</v>
      </c>
      <c r="AD248" s="81">
        <f t="shared" si="97"/>
        <v>1</v>
      </c>
      <c r="AE248" s="103">
        <f t="shared" si="105"/>
        <v>3</v>
      </c>
      <c r="AF248" s="98" t="str">
        <f t="shared" si="93"/>
        <v/>
      </c>
      <c r="AG248" s="97"/>
      <c r="AH248" s="97"/>
    </row>
    <row r="249" spans="1:34" s="27" customFormat="1" ht="115.2" hidden="1">
      <c r="A249" s="28"/>
      <c r="B249" s="29" t="s">
        <v>1479</v>
      </c>
      <c r="C249" s="81" t="s">
        <v>285</v>
      </c>
      <c r="D249" s="81" t="s">
        <v>1480</v>
      </c>
      <c r="E249" s="81" t="s">
        <v>278</v>
      </c>
      <c r="F249" s="81" t="s">
        <v>302</v>
      </c>
      <c r="G249" s="81" t="s">
        <v>1381</v>
      </c>
      <c r="H249" s="98">
        <v>3</v>
      </c>
      <c r="I249" s="99" t="s">
        <v>1481</v>
      </c>
      <c r="J249" s="40" t="s">
        <v>1482</v>
      </c>
      <c r="K249" s="39" t="s">
        <v>1483</v>
      </c>
      <c r="L249" s="102">
        <v>4</v>
      </c>
      <c r="M249" s="81">
        <v>4</v>
      </c>
      <c r="N249" s="81">
        <v>4</v>
      </c>
      <c r="O249" s="81">
        <v>4</v>
      </c>
      <c r="P249" s="100">
        <v>4</v>
      </c>
      <c r="Q249" s="101"/>
      <c r="R249" s="53">
        <f t="shared" si="94"/>
        <v>4</v>
      </c>
      <c r="S249" s="81">
        <v>1</v>
      </c>
      <c r="T249" s="103">
        <f t="shared" si="103"/>
        <v>4</v>
      </c>
      <c r="U249" s="104" t="str">
        <f t="shared" si="104"/>
        <v>ACEPTAR</v>
      </c>
      <c r="V249" s="82"/>
      <c r="W249" s="105"/>
      <c r="X249" s="81"/>
      <c r="Y249" s="81"/>
      <c r="Z249" s="83"/>
      <c r="AA249" s="81"/>
      <c r="AB249" s="106"/>
      <c r="AC249" s="107">
        <f t="shared" si="96"/>
        <v>4</v>
      </c>
      <c r="AD249" s="81">
        <f t="shared" si="97"/>
        <v>1</v>
      </c>
      <c r="AE249" s="103">
        <f t="shared" si="105"/>
        <v>4</v>
      </c>
      <c r="AF249" s="98" t="str">
        <f t="shared" si="93"/>
        <v/>
      </c>
      <c r="AG249" s="97"/>
      <c r="AH249" s="97"/>
    </row>
    <row r="250" spans="1:34" s="27" customFormat="1" ht="115.2" hidden="1">
      <c r="A250" s="28"/>
      <c r="B250" s="29" t="s">
        <v>1484</v>
      </c>
      <c r="C250" s="81" t="s">
        <v>86</v>
      </c>
      <c r="D250" s="81" t="s">
        <v>1485</v>
      </c>
      <c r="E250" s="81" t="s">
        <v>278</v>
      </c>
      <c r="F250" s="81" t="s">
        <v>302</v>
      </c>
      <c r="G250" s="81" t="s">
        <v>1403</v>
      </c>
      <c r="H250" s="98">
        <v>3</v>
      </c>
      <c r="I250" s="99" t="s">
        <v>1486</v>
      </c>
      <c r="J250" s="40" t="s">
        <v>1487</v>
      </c>
      <c r="K250" s="39" t="s">
        <v>1488</v>
      </c>
      <c r="L250" s="102">
        <v>4</v>
      </c>
      <c r="M250" s="81"/>
      <c r="N250" s="81"/>
      <c r="O250" s="81"/>
      <c r="P250" s="100"/>
      <c r="Q250" s="101">
        <v>4</v>
      </c>
      <c r="R250" s="53">
        <f t="shared" si="94"/>
        <v>4</v>
      </c>
      <c r="S250" s="81">
        <v>1</v>
      </c>
      <c r="T250" s="103">
        <f t="shared" si="103"/>
        <v>4</v>
      </c>
      <c r="U250" s="104" t="str">
        <f t="shared" si="104"/>
        <v>ACEPTAR</v>
      </c>
      <c r="V250" s="82"/>
      <c r="W250" s="105"/>
      <c r="X250" s="81"/>
      <c r="Y250" s="81"/>
      <c r="Z250" s="83"/>
      <c r="AA250" s="81"/>
      <c r="AB250" s="106"/>
      <c r="AC250" s="107">
        <f t="shared" si="96"/>
        <v>4</v>
      </c>
      <c r="AD250" s="81">
        <f t="shared" si="97"/>
        <v>1</v>
      </c>
      <c r="AE250" s="103">
        <f t="shared" si="105"/>
        <v>4</v>
      </c>
      <c r="AF250" s="98" t="str">
        <f t="shared" si="93"/>
        <v/>
      </c>
      <c r="AG250" s="97"/>
      <c r="AH250" s="97"/>
    </row>
    <row r="251" spans="1:34" s="27" customFormat="1" ht="57.6" hidden="1">
      <c r="A251" s="28"/>
      <c r="B251" s="29" t="s">
        <v>1489</v>
      </c>
      <c r="C251" s="81" t="s">
        <v>285</v>
      </c>
      <c r="D251" s="81" t="s">
        <v>1490</v>
      </c>
      <c r="E251" s="81" t="s">
        <v>317</v>
      </c>
      <c r="F251" s="81" t="s">
        <v>1491</v>
      </c>
      <c r="G251" s="81" t="s">
        <v>1381</v>
      </c>
      <c r="H251" s="98">
        <v>3</v>
      </c>
      <c r="I251" s="99" t="s">
        <v>1492</v>
      </c>
      <c r="J251" s="40" t="s">
        <v>320</v>
      </c>
      <c r="K251" s="39" t="s">
        <v>1493</v>
      </c>
      <c r="L251" s="102">
        <v>4</v>
      </c>
      <c r="M251" s="81">
        <v>4</v>
      </c>
      <c r="N251" s="81">
        <v>4</v>
      </c>
      <c r="O251" s="81">
        <v>4</v>
      </c>
      <c r="P251" s="100">
        <v>4</v>
      </c>
      <c r="Q251" s="101"/>
      <c r="R251" s="53">
        <f t="shared" si="94"/>
        <v>4</v>
      </c>
      <c r="S251" s="81">
        <v>1</v>
      </c>
      <c r="T251" s="103">
        <f t="shared" si="103"/>
        <v>4</v>
      </c>
      <c r="U251" s="104" t="str">
        <f t="shared" si="104"/>
        <v>ACEPTAR</v>
      </c>
      <c r="V251" s="82"/>
      <c r="W251" s="105"/>
      <c r="X251" s="81"/>
      <c r="Y251" s="81"/>
      <c r="Z251" s="83"/>
      <c r="AA251" s="81"/>
      <c r="AB251" s="106"/>
      <c r="AC251" s="107">
        <f t="shared" si="96"/>
        <v>4</v>
      </c>
      <c r="AD251" s="81">
        <f t="shared" si="97"/>
        <v>1</v>
      </c>
      <c r="AE251" s="103">
        <f t="shared" si="105"/>
        <v>4</v>
      </c>
      <c r="AF251" s="98" t="str">
        <f t="shared" si="93"/>
        <v/>
      </c>
      <c r="AG251" s="97"/>
      <c r="AH251" s="97"/>
    </row>
    <row r="252" spans="1:34" s="27" customFormat="1" ht="57.6" hidden="1">
      <c r="A252" s="28"/>
      <c r="B252" s="29" t="s">
        <v>1494</v>
      </c>
      <c r="C252" s="81" t="s">
        <v>86</v>
      </c>
      <c r="D252" s="81" t="s">
        <v>1495</v>
      </c>
      <c r="E252" s="81" t="s">
        <v>317</v>
      </c>
      <c r="F252" s="81" t="s">
        <v>1491</v>
      </c>
      <c r="G252" s="81" t="s">
        <v>1403</v>
      </c>
      <c r="H252" s="98">
        <v>3</v>
      </c>
      <c r="I252" s="99" t="s">
        <v>1496</v>
      </c>
      <c r="J252" s="40" t="s">
        <v>1497</v>
      </c>
      <c r="K252" s="39" t="s">
        <v>1475</v>
      </c>
      <c r="L252" s="102"/>
      <c r="M252" s="81"/>
      <c r="N252" s="81"/>
      <c r="O252" s="81"/>
      <c r="P252" s="100"/>
      <c r="Q252" s="101">
        <v>4</v>
      </c>
      <c r="R252" s="53">
        <f t="shared" si="94"/>
        <v>4</v>
      </c>
      <c r="S252" s="81">
        <v>1</v>
      </c>
      <c r="T252" s="103">
        <f t="shared" si="103"/>
        <v>4</v>
      </c>
      <c r="U252" s="104" t="str">
        <f t="shared" si="104"/>
        <v>ACEPTAR</v>
      </c>
      <c r="V252" s="82"/>
      <c r="W252" s="105"/>
      <c r="X252" s="81"/>
      <c r="Y252" s="81"/>
      <c r="Z252" s="83"/>
      <c r="AA252" s="81"/>
      <c r="AB252" s="106"/>
      <c r="AC252" s="107">
        <f t="shared" si="96"/>
        <v>4</v>
      </c>
      <c r="AD252" s="81">
        <f t="shared" si="97"/>
        <v>1</v>
      </c>
      <c r="AE252" s="103">
        <f t="shared" si="105"/>
        <v>4</v>
      </c>
      <c r="AF252" s="98" t="str">
        <f t="shared" si="93"/>
        <v/>
      </c>
      <c r="AG252" s="97"/>
      <c r="AH252" s="97"/>
    </row>
    <row r="253" spans="1:34" s="27" customFormat="1" ht="57.6" hidden="1">
      <c r="A253" s="28"/>
      <c r="B253" s="29" t="s">
        <v>1498</v>
      </c>
      <c r="C253" s="81" t="s">
        <v>86</v>
      </c>
      <c r="D253" s="81" t="s">
        <v>1499</v>
      </c>
      <c r="E253" s="81" t="s">
        <v>317</v>
      </c>
      <c r="F253" s="81" t="s">
        <v>1491</v>
      </c>
      <c r="G253" s="81" t="s">
        <v>1403</v>
      </c>
      <c r="H253" s="98">
        <v>3</v>
      </c>
      <c r="I253" s="99" t="s">
        <v>1500</v>
      </c>
      <c r="J253" s="40" t="s">
        <v>320</v>
      </c>
      <c r="K253" s="39" t="s">
        <v>1501</v>
      </c>
      <c r="L253" s="102"/>
      <c r="M253" s="81"/>
      <c r="N253" s="81">
        <v>3</v>
      </c>
      <c r="O253" s="81"/>
      <c r="P253" s="100"/>
      <c r="Q253" s="101">
        <v>3</v>
      </c>
      <c r="R253" s="53">
        <f t="shared" si="94"/>
        <v>3</v>
      </c>
      <c r="S253" s="81">
        <v>1</v>
      </c>
      <c r="T253" s="103">
        <f t="shared" si="103"/>
        <v>3</v>
      </c>
      <c r="U253" s="104" t="str">
        <f t="shared" si="104"/>
        <v>ACEPTAR</v>
      </c>
      <c r="V253" s="82"/>
      <c r="W253" s="105"/>
      <c r="X253" s="81"/>
      <c r="Y253" s="81"/>
      <c r="Z253" s="83"/>
      <c r="AA253" s="81"/>
      <c r="AB253" s="106"/>
      <c r="AC253" s="107">
        <f t="shared" si="96"/>
        <v>3</v>
      </c>
      <c r="AD253" s="81">
        <f t="shared" si="97"/>
        <v>1</v>
      </c>
      <c r="AE253" s="103">
        <f t="shared" si="105"/>
        <v>3</v>
      </c>
      <c r="AF253" s="98" t="str">
        <f t="shared" si="93"/>
        <v/>
      </c>
      <c r="AG253" s="97"/>
      <c r="AH253" s="97"/>
    </row>
    <row r="254" spans="1:34" s="27" customFormat="1" ht="67.95" hidden="1" customHeight="1">
      <c r="A254" s="28" t="s">
        <v>1464</v>
      </c>
      <c r="B254" s="29" t="s">
        <v>1502</v>
      </c>
      <c r="C254" s="81" t="s">
        <v>285</v>
      </c>
      <c r="D254" s="81" t="s">
        <v>1503</v>
      </c>
      <c r="E254" s="81" t="s">
        <v>324</v>
      </c>
      <c r="F254" s="81" t="s">
        <v>318</v>
      </c>
      <c r="G254" s="81" t="s">
        <v>1397</v>
      </c>
      <c r="H254" s="98">
        <v>3</v>
      </c>
      <c r="I254" s="99" t="s">
        <v>1504</v>
      </c>
      <c r="J254" s="40" t="s">
        <v>288</v>
      </c>
      <c r="K254" s="39" t="s">
        <v>330</v>
      </c>
      <c r="L254" s="102">
        <v>4</v>
      </c>
      <c r="M254" s="81">
        <v>4</v>
      </c>
      <c r="N254" s="81">
        <v>4</v>
      </c>
      <c r="O254" s="81"/>
      <c r="P254" s="100"/>
      <c r="Q254" s="101"/>
      <c r="R254" s="53">
        <f t="shared" si="94"/>
        <v>4</v>
      </c>
      <c r="S254" s="81">
        <v>1</v>
      </c>
      <c r="T254" s="103">
        <f t="shared" si="103"/>
        <v>4</v>
      </c>
      <c r="U254" s="104" t="str">
        <f t="shared" si="104"/>
        <v>ACEPTAR</v>
      </c>
      <c r="V254" s="82"/>
      <c r="W254" s="105"/>
      <c r="X254" s="81"/>
      <c r="Y254" s="81"/>
      <c r="Z254" s="83"/>
      <c r="AA254" s="81"/>
      <c r="AB254" s="106"/>
      <c r="AC254" s="107">
        <f t="shared" si="96"/>
        <v>4</v>
      </c>
      <c r="AD254" s="81">
        <f t="shared" si="97"/>
        <v>1</v>
      </c>
      <c r="AE254" s="103">
        <f t="shared" si="105"/>
        <v>4</v>
      </c>
      <c r="AF254" s="98" t="str">
        <f t="shared" si="93"/>
        <v/>
      </c>
      <c r="AG254" s="97"/>
      <c r="AH254" s="97"/>
    </row>
    <row r="255" spans="1:34" s="27" customFormat="1" ht="57.6" hidden="1">
      <c r="A255" s="28"/>
      <c r="B255" s="29" t="s">
        <v>1505</v>
      </c>
      <c r="C255" s="81" t="s">
        <v>86</v>
      </c>
      <c r="D255" s="81" t="s">
        <v>1506</v>
      </c>
      <c r="E255" s="81" t="s">
        <v>324</v>
      </c>
      <c r="F255" s="81" t="s">
        <v>1491</v>
      </c>
      <c r="G255" s="81" t="s">
        <v>1403</v>
      </c>
      <c r="H255" s="98">
        <v>3</v>
      </c>
      <c r="I255" s="99" t="s">
        <v>1507</v>
      </c>
      <c r="J255" s="40" t="s">
        <v>1508</v>
      </c>
      <c r="K255" s="39" t="s">
        <v>1475</v>
      </c>
      <c r="L255" s="102"/>
      <c r="M255" s="81"/>
      <c r="N255" s="81"/>
      <c r="O255" s="81"/>
      <c r="P255" s="100"/>
      <c r="Q255" s="101">
        <v>3</v>
      </c>
      <c r="R255" s="53">
        <f t="shared" si="94"/>
        <v>3</v>
      </c>
      <c r="S255" s="81">
        <v>1</v>
      </c>
      <c r="T255" s="103">
        <f t="shared" si="103"/>
        <v>3</v>
      </c>
      <c r="U255" s="104" t="str">
        <f t="shared" si="104"/>
        <v>ACEPTAR</v>
      </c>
      <c r="V255" s="82"/>
      <c r="W255" s="105"/>
      <c r="X255" s="81"/>
      <c r="Y255" s="81"/>
      <c r="Z255" s="83"/>
      <c r="AA255" s="81"/>
      <c r="AB255" s="106"/>
      <c r="AC255" s="107">
        <f t="shared" si="96"/>
        <v>3</v>
      </c>
      <c r="AD255" s="81">
        <f t="shared" si="97"/>
        <v>1</v>
      </c>
      <c r="AE255" s="103">
        <f t="shared" si="105"/>
        <v>3</v>
      </c>
      <c r="AF255" s="98" t="str">
        <f t="shared" si="93"/>
        <v/>
      </c>
      <c r="AG255" s="97"/>
      <c r="AH255" s="97"/>
    </row>
    <row r="256" spans="1:34" s="27" customFormat="1" ht="99.15" hidden="1" customHeight="1">
      <c r="A256" s="28"/>
      <c r="B256" s="29" t="s">
        <v>1509</v>
      </c>
      <c r="C256" s="81" t="s">
        <v>1343</v>
      </c>
      <c r="D256" s="81" t="s">
        <v>1510</v>
      </c>
      <c r="E256" s="81" t="s">
        <v>278</v>
      </c>
      <c r="F256" s="81" t="s">
        <v>302</v>
      </c>
      <c r="G256" s="81" t="s">
        <v>1403</v>
      </c>
      <c r="H256" s="98">
        <v>3</v>
      </c>
      <c r="I256" s="99" t="s">
        <v>1511</v>
      </c>
      <c r="J256" s="40" t="s">
        <v>1508</v>
      </c>
      <c r="K256" s="39" t="s">
        <v>1488</v>
      </c>
      <c r="L256" s="102">
        <v>4</v>
      </c>
      <c r="M256" s="81">
        <v>4</v>
      </c>
      <c r="N256" s="81">
        <v>4</v>
      </c>
      <c r="O256" s="81">
        <v>4</v>
      </c>
      <c r="P256" s="100">
        <v>4</v>
      </c>
      <c r="Q256" s="101">
        <v>3</v>
      </c>
      <c r="R256" s="53">
        <f t="shared" si="94"/>
        <v>4</v>
      </c>
      <c r="S256" s="81">
        <v>1</v>
      </c>
      <c r="T256" s="103">
        <f t="shared" si="103"/>
        <v>4</v>
      </c>
      <c r="U256" s="104" t="str">
        <f t="shared" si="104"/>
        <v>ACEPTAR</v>
      </c>
      <c r="V256" s="82"/>
      <c r="W256" s="105"/>
      <c r="X256" s="81"/>
      <c r="Y256" s="81"/>
      <c r="Z256" s="83"/>
      <c r="AA256" s="81"/>
      <c r="AB256" s="106"/>
      <c r="AC256" s="107">
        <f t="shared" si="96"/>
        <v>4</v>
      </c>
      <c r="AD256" s="81">
        <f t="shared" si="97"/>
        <v>1</v>
      </c>
      <c r="AE256" s="103">
        <f t="shared" si="105"/>
        <v>4</v>
      </c>
      <c r="AF256" s="98" t="str">
        <f t="shared" si="93"/>
        <v/>
      </c>
      <c r="AG256" s="97"/>
      <c r="AH256" s="97"/>
    </row>
    <row r="257" spans="1:34" s="27" customFormat="1" ht="115.2" hidden="1">
      <c r="A257" s="28"/>
      <c r="B257" s="29" t="s">
        <v>1512</v>
      </c>
      <c r="C257" s="81" t="s">
        <v>285</v>
      </c>
      <c r="D257" s="81" t="s">
        <v>1513</v>
      </c>
      <c r="E257" s="81" t="s">
        <v>1514</v>
      </c>
      <c r="F257" s="81" t="s">
        <v>302</v>
      </c>
      <c r="G257" s="81" t="s">
        <v>1403</v>
      </c>
      <c r="H257" s="98">
        <v>3</v>
      </c>
      <c r="I257" s="99" t="s">
        <v>1515</v>
      </c>
      <c r="J257" s="40" t="s">
        <v>1516</v>
      </c>
      <c r="K257" s="39" t="s">
        <v>1517</v>
      </c>
      <c r="L257" s="102"/>
      <c r="M257" s="81"/>
      <c r="N257" s="81">
        <v>4</v>
      </c>
      <c r="O257" s="81"/>
      <c r="P257" s="100"/>
      <c r="Q257" s="101">
        <v>3</v>
      </c>
      <c r="R257" s="53">
        <f t="shared" si="94"/>
        <v>4</v>
      </c>
      <c r="S257" s="81">
        <v>1</v>
      </c>
      <c r="T257" s="103">
        <f t="shared" si="103"/>
        <v>4</v>
      </c>
      <c r="U257" s="104" t="str">
        <f t="shared" si="104"/>
        <v>ACEPTAR</v>
      </c>
      <c r="V257" s="82"/>
      <c r="W257" s="105"/>
      <c r="X257" s="81"/>
      <c r="Y257" s="81"/>
      <c r="Z257" s="83"/>
      <c r="AA257" s="81"/>
      <c r="AB257" s="106"/>
      <c r="AC257" s="107">
        <f t="shared" si="96"/>
        <v>4</v>
      </c>
      <c r="AD257" s="81">
        <f t="shared" si="97"/>
        <v>1</v>
      </c>
      <c r="AE257" s="103">
        <f t="shared" si="105"/>
        <v>4</v>
      </c>
      <c r="AF257" s="98" t="str">
        <f t="shared" si="93"/>
        <v/>
      </c>
      <c r="AG257" s="97"/>
      <c r="AH257" s="97"/>
    </row>
    <row r="258" spans="1:34" s="27" customFormat="1" ht="94.65" hidden="1" customHeight="1">
      <c r="A258" s="28"/>
      <c r="B258" s="29" t="s">
        <v>1518</v>
      </c>
      <c r="C258" s="81" t="s">
        <v>285</v>
      </c>
      <c r="D258" s="81" t="s">
        <v>1519</v>
      </c>
      <c r="E258" s="81" t="s">
        <v>1520</v>
      </c>
      <c r="F258" s="81" t="s">
        <v>1521</v>
      </c>
      <c r="G258" s="81" t="s">
        <v>1403</v>
      </c>
      <c r="H258" s="98">
        <v>3</v>
      </c>
      <c r="I258" s="99" t="s">
        <v>1522</v>
      </c>
      <c r="J258" s="40" t="s">
        <v>650</v>
      </c>
      <c r="K258" s="39" t="s">
        <v>1523</v>
      </c>
      <c r="L258" s="102">
        <v>4</v>
      </c>
      <c r="M258" s="81"/>
      <c r="N258" s="81"/>
      <c r="O258" s="81"/>
      <c r="P258" s="100"/>
      <c r="Q258" s="101">
        <v>3</v>
      </c>
      <c r="R258" s="53">
        <f t="shared" si="94"/>
        <v>4</v>
      </c>
      <c r="S258" s="81">
        <v>1</v>
      </c>
      <c r="T258" s="103">
        <f t="shared" si="103"/>
        <v>4</v>
      </c>
      <c r="U258" s="104" t="str">
        <f t="shared" si="104"/>
        <v>ACEPTAR</v>
      </c>
      <c r="V258" s="82"/>
      <c r="W258" s="105"/>
      <c r="X258" s="81"/>
      <c r="Y258" s="81"/>
      <c r="Z258" s="83"/>
      <c r="AA258" s="81"/>
      <c r="AB258" s="106"/>
      <c r="AC258" s="107">
        <f t="shared" si="96"/>
        <v>4</v>
      </c>
      <c r="AD258" s="81">
        <f t="shared" si="97"/>
        <v>1</v>
      </c>
      <c r="AE258" s="103">
        <f t="shared" si="105"/>
        <v>4</v>
      </c>
      <c r="AF258" s="98" t="str">
        <f t="shared" ref="AF258:AF297" si="109">IF(U258="MITIGAR",IF(AE258&lt;8,"SI",IF(AE258&lt;=T258,"INSUFICIENTE","NO")),"")</f>
        <v/>
      </c>
      <c r="AG258" s="97"/>
      <c r="AH258" s="97"/>
    </row>
    <row r="259" spans="1:34" s="27" customFormat="1" ht="86.4" hidden="1">
      <c r="A259" s="28" t="s">
        <v>1524</v>
      </c>
      <c r="B259" s="29" t="s">
        <v>1525</v>
      </c>
      <c r="C259" s="81" t="s">
        <v>285</v>
      </c>
      <c r="D259" s="81" t="s">
        <v>1526</v>
      </c>
      <c r="E259" s="81" t="s">
        <v>1527</v>
      </c>
      <c r="F259" s="81" t="s">
        <v>1528</v>
      </c>
      <c r="G259" s="81" t="s">
        <v>1529</v>
      </c>
      <c r="H259" s="98">
        <v>3</v>
      </c>
      <c r="I259" s="99" t="s">
        <v>1530</v>
      </c>
      <c r="J259" s="40" t="s">
        <v>1531</v>
      </c>
      <c r="K259" s="39" t="s">
        <v>1532</v>
      </c>
      <c r="L259" s="102"/>
      <c r="M259" s="81">
        <v>3</v>
      </c>
      <c r="N259" s="81">
        <v>3</v>
      </c>
      <c r="O259" s="81"/>
      <c r="P259" s="100"/>
      <c r="Q259" s="101"/>
      <c r="R259" s="53">
        <f t="shared" si="94"/>
        <v>3</v>
      </c>
      <c r="S259" s="81">
        <v>1</v>
      </c>
      <c r="T259" s="103">
        <f t="shared" si="103"/>
        <v>3</v>
      </c>
      <c r="U259" s="104" t="str">
        <f t="shared" si="104"/>
        <v>ACEPTAR</v>
      </c>
      <c r="V259" s="82"/>
      <c r="W259" s="105"/>
      <c r="X259" s="81"/>
      <c r="Y259" s="81"/>
      <c r="Z259" s="83"/>
      <c r="AA259" s="81"/>
      <c r="AB259" s="106"/>
      <c r="AC259" s="107">
        <f t="shared" si="96"/>
        <v>3</v>
      </c>
      <c r="AD259" s="81">
        <f t="shared" si="97"/>
        <v>1</v>
      </c>
      <c r="AE259" s="103">
        <f t="shared" si="105"/>
        <v>3</v>
      </c>
      <c r="AF259" s="98" t="str">
        <f t="shared" si="109"/>
        <v/>
      </c>
      <c r="AG259" s="97"/>
      <c r="AH259" s="97"/>
    </row>
    <row r="260" spans="1:34" s="27" customFormat="1" ht="57.6" hidden="1">
      <c r="A260" s="28" t="s">
        <v>1524</v>
      </c>
      <c r="B260" s="29" t="s">
        <v>1533</v>
      </c>
      <c r="C260" s="81" t="s">
        <v>285</v>
      </c>
      <c r="D260" s="81" t="s">
        <v>1534</v>
      </c>
      <c r="E260" s="81" t="s">
        <v>278</v>
      </c>
      <c r="F260" s="81" t="s">
        <v>663</v>
      </c>
      <c r="G260" s="81" t="s">
        <v>1535</v>
      </c>
      <c r="H260" s="98">
        <v>3</v>
      </c>
      <c r="I260" s="99" t="s">
        <v>1536</v>
      </c>
      <c r="J260" s="40" t="s">
        <v>1531</v>
      </c>
      <c r="K260" s="39" t="s">
        <v>1532</v>
      </c>
      <c r="L260" s="102"/>
      <c r="M260" s="81">
        <v>3</v>
      </c>
      <c r="N260" s="81">
        <v>3</v>
      </c>
      <c r="O260" s="81"/>
      <c r="P260" s="100"/>
      <c r="Q260" s="101"/>
      <c r="R260" s="53">
        <f t="shared" si="94"/>
        <v>3</v>
      </c>
      <c r="S260" s="81">
        <v>1</v>
      </c>
      <c r="T260" s="103">
        <f t="shared" si="103"/>
        <v>3</v>
      </c>
      <c r="U260" s="104" t="str">
        <f t="shared" si="104"/>
        <v>ACEPTAR</v>
      </c>
      <c r="V260" s="82"/>
      <c r="W260" s="105"/>
      <c r="X260" s="81"/>
      <c r="Y260" s="81"/>
      <c r="Z260" s="83"/>
      <c r="AA260" s="81"/>
      <c r="AB260" s="106"/>
      <c r="AC260" s="107">
        <f t="shared" si="96"/>
        <v>3</v>
      </c>
      <c r="AD260" s="81">
        <f t="shared" si="97"/>
        <v>1</v>
      </c>
      <c r="AE260" s="103">
        <f t="shared" si="105"/>
        <v>3</v>
      </c>
      <c r="AF260" s="98" t="str">
        <f t="shared" si="109"/>
        <v/>
      </c>
      <c r="AG260" s="97"/>
      <c r="AH260" s="97"/>
    </row>
    <row r="261" spans="1:34" s="27" customFormat="1" ht="56.4" hidden="1" customHeight="1">
      <c r="A261" s="28"/>
      <c r="B261" s="29" t="s">
        <v>1537</v>
      </c>
      <c r="C261" s="81" t="s">
        <v>285</v>
      </c>
      <c r="D261" s="81" t="s">
        <v>1538</v>
      </c>
      <c r="E261" s="81" t="s">
        <v>489</v>
      </c>
      <c r="F261" s="81" t="s">
        <v>565</v>
      </c>
      <c r="G261" s="81" t="s">
        <v>1381</v>
      </c>
      <c r="H261" s="98">
        <v>3</v>
      </c>
      <c r="I261" s="99" t="s">
        <v>1539</v>
      </c>
      <c r="J261" s="40" t="s">
        <v>1540</v>
      </c>
      <c r="K261" s="39" t="s">
        <v>1541</v>
      </c>
      <c r="L261" s="102"/>
      <c r="M261" s="81"/>
      <c r="N261" s="81">
        <v>4</v>
      </c>
      <c r="O261" s="81"/>
      <c r="P261" s="100"/>
      <c r="Q261" s="101"/>
      <c r="R261" s="53">
        <f t="shared" ref="R261:R297" si="110">MAX(L261:Q261)</f>
        <v>4</v>
      </c>
      <c r="S261" s="81">
        <v>1</v>
      </c>
      <c r="T261" s="103">
        <f t="shared" si="103"/>
        <v>4</v>
      </c>
      <c r="U261" s="104" t="str">
        <f t="shared" si="104"/>
        <v>ACEPTAR</v>
      </c>
      <c r="V261" s="82"/>
      <c r="W261" s="105"/>
      <c r="X261" s="81"/>
      <c r="Y261" s="81"/>
      <c r="Z261" s="83"/>
      <c r="AA261" s="81"/>
      <c r="AB261" s="106"/>
      <c r="AC261" s="107">
        <f t="shared" ref="AC261:AC297" si="111">R261</f>
        <v>4</v>
      </c>
      <c r="AD261" s="81">
        <f t="shared" ref="AD261:AD297" si="112">S261</f>
        <v>1</v>
      </c>
      <c r="AE261" s="103">
        <f t="shared" si="105"/>
        <v>4</v>
      </c>
      <c r="AF261" s="98" t="str">
        <f t="shared" si="109"/>
        <v/>
      </c>
      <c r="AG261" s="97"/>
      <c r="AH261" s="97"/>
    </row>
    <row r="262" spans="1:34" s="27" customFormat="1" ht="79.5" hidden="1" customHeight="1">
      <c r="A262" s="28"/>
      <c r="B262" s="29" t="s">
        <v>1542</v>
      </c>
      <c r="C262" s="81" t="s">
        <v>86</v>
      </c>
      <c r="D262" s="81" t="s">
        <v>1543</v>
      </c>
      <c r="E262" s="81" t="s">
        <v>1544</v>
      </c>
      <c r="F262" s="81" t="s">
        <v>1545</v>
      </c>
      <c r="G262" s="81" t="s">
        <v>1403</v>
      </c>
      <c r="H262" s="98">
        <v>3</v>
      </c>
      <c r="I262" s="99" t="s">
        <v>1546</v>
      </c>
      <c r="J262" s="40" t="s">
        <v>1540</v>
      </c>
      <c r="K262" s="39" t="s">
        <v>1547</v>
      </c>
      <c r="L262" s="102"/>
      <c r="M262" s="81"/>
      <c r="N262" s="81">
        <v>3</v>
      </c>
      <c r="O262" s="81"/>
      <c r="P262" s="100"/>
      <c r="Q262" s="101">
        <v>3</v>
      </c>
      <c r="R262" s="53">
        <f t="shared" si="110"/>
        <v>3</v>
      </c>
      <c r="S262" s="81">
        <v>2</v>
      </c>
      <c r="T262" s="103">
        <f t="shared" si="103"/>
        <v>6</v>
      </c>
      <c r="U262" s="104" t="str">
        <f t="shared" si="104"/>
        <v>ACEPTAR</v>
      </c>
      <c r="V262" s="82"/>
      <c r="W262" s="105"/>
      <c r="X262" s="81"/>
      <c r="Y262" s="81"/>
      <c r="Z262" s="83"/>
      <c r="AA262" s="81"/>
      <c r="AB262" s="106"/>
      <c r="AC262" s="107">
        <f t="shared" si="111"/>
        <v>3</v>
      </c>
      <c r="AD262" s="81">
        <f t="shared" si="112"/>
        <v>2</v>
      </c>
      <c r="AE262" s="103">
        <f t="shared" si="105"/>
        <v>6</v>
      </c>
      <c r="AF262" s="98" t="str">
        <f t="shared" si="109"/>
        <v/>
      </c>
      <c r="AG262" s="97"/>
      <c r="AH262" s="97"/>
    </row>
    <row r="263" spans="1:34" s="27" customFormat="1" ht="64.5" hidden="1" customHeight="1">
      <c r="A263" s="28"/>
      <c r="B263" s="29" t="s">
        <v>1548</v>
      </c>
      <c r="C263" s="81" t="s">
        <v>285</v>
      </c>
      <c r="D263" s="81" t="s">
        <v>1549</v>
      </c>
      <c r="E263" s="81" t="s">
        <v>1550</v>
      </c>
      <c r="F263" s="81" t="s">
        <v>536</v>
      </c>
      <c r="G263" s="81" t="s">
        <v>1381</v>
      </c>
      <c r="H263" s="98">
        <v>3</v>
      </c>
      <c r="I263" s="99" t="s">
        <v>1551</v>
      </c>
      <c r="J263" s="40" t="s">
        <v>643</v>
      </c>
      <c r="K263" s="39" t="s">
        <v>1552</v>
      </c>
      <c r="L263" s="102">
        <v>3</v>
      </c>
      <c r="M263" s="81">
        <v>3</v>
      </c>
      <c r="N263" s="81">
        <v>3</v>
      </c>
      <c r="O263" s="81">
        <v>3</v>
      </c>
      <c r="P263" s="100">
        <v>3</v>
      </c>
      <c r="Q263" s="101"/>
      <c r="R263" s="53">
        <f t="shared" si="110"/>
        <v>3</v>
      </c>
      <c r="S263" s="81">
        <v>1</v>
      </c>
      <c r="T263" s="103">
        <f t="shared" si="103"/>
        <v>3</v>
      </c>
      <c r="U263" s="104" t="str">
        <f t="shared" si="104"/>
        <v>ACEPTAR</v>
      </c>
      <c r="V263" s="82"/>
      <c r="W263" s="105"/>
      <c r="X263" s="81"/>
      <c r="Y263" s="81"/>
      <c r="Z263" s="83"/>
      <c r="AA263" s="81"/>
      <c r="AB263" s="106"/>
      <c r="AC263" s="107">
        <f t="shared" si="111"/>
        <v>3</v>
      </c>
      <c r="AD263" s="81">
        <f t="shared" si="112"/>
        <v>1</v>
      </c>
      <c r="AE263" s="103">
        <f t="shared" si="105"/>
        <v>3</v>
      </c>
      <c r="AF263" s="98" t="str">
        <f t="shared" si="109"/>
        <v/>
      </c>
      <c r="AG263" s="97"/>
      <c r="AH263" s="97"/>
    </row>
    <row r="264" spans="1:34" s="27" customFormat="1" ht="123" hidden="1" customHeight="1">
      <c r="A264" s="28"/>
      <c r="B264" s="29" t="s">
        <v>1553</v>
      </c>
      <c r="C264" s="81" t="s">
        <v>86</v>
      </c>
      <c r="D264" s="81" t="s">
        <v>1554</v>
      </c>
      <c r="E264" s="81" t="s">
        <v>1555</v>
      </c>
      <c r="F264" s="81" t="s">
        <v>1556</v>
      </c>
      <c r="G264" s="81" t="s">
        <v>1403</v>
      </c>
      <c r="H264" s="98">
        <v>3</v>
      </c>
      <c r="I264" s="99" t="s">
        <v>1557</v>
      </c>
      <c r="J264" s="40" t="s">
        <v>643</v>
      </c>
      <c r="K264" s="39" t="s">
        <v>644</v>
      </c>
      <c r="L264" s="102"/>
      <c r="M264" s="81"/>
      <c r="N264" s="81"/>
      <c r="O264" s="81"/>
      <c r="P264" s="100"/>
      <c r="Q264" s="101">
        <v>3</v>
      </c>
      <c r="R264" s="53">
        <f t="shared" si="110"/>
        <v>3</v>
      </c>
      <c r="S264" s="81">
        <v>2</v>
      </c>
      <c r="T264" s="103">
        <f t="shared" si="103"/>
        <v>6</v>
      </c>
      <c r="U264" s="104" t="str">
        <f t="shared" si="104"/>
        <v>ACEPTAR</v>
      </c>
      <c r="V264" s="82"/>
      <c r="W264" s="105"/>
      <c r="X264" s="81"/>
      <c r="Y264" s="81"/>
      <c r="Z264" s="83"/>
      <c r="AA264" s="111"/>
      <c r="AB264" s="106"/>
      <c r="AC264" s="107">
        <f t="shared" si="111"/>
        <v>3</v>
      </c>
      <c r="AD264" s="81">
        <f t="shared" si="112"/>
        <v>2</v>
      </c>
      <c r="AE264" s="103">
        <f t="shared" si="105"/>
        <v>6</v>
      </c>
      <c r="AF264" s="98" t="str">
        <f t="shared" si="109"/>
        <v/>
      </c>
      <c r="AG264" s="97"/>
      <c r="AH264" s="97"/>
    </row>
    <row r="265" spans="1:34" s="27" customFormat="1" ht="44.1" hidden="1" customHeight="1">
      <c r="A265" s="28" t="s">
        <v>1558</v>
      </c>
      <c r="B265" s="29" t="s">
        <v>1559</v>
      </c>
      <c r="C265" s="81" t="s">
        <v>285</v>
      </c>
      <c r="D265" s="81" t="s">
        <v>1560</v>
      </c>
      <c r="E265" s="81" t="s">
        <v>647</v>
      </c>
      <c r="F265" s="81" t="s">
        <v>648</v>
      </c>
      <c r="G265" s="81" t="s">
        <v>1381</v>
      </c>
      <c r="H265" s="98">
        <v>3</v>
      </c>
      <c r="I265" s="99" t="s">
        <v>1561</v>
      </c>
      <c r="J265" s="40" t="s">
        <v>650</v>
      </c>
      <c r="K265" s="39" t="s">
        <v>1562</v>
      </c>
      <c r="L265" s="102">
        <v>3</v>
      </c>
      <c r="M265" s="81"/>
      <c r="N265" s="81"/>
      <c r="O265" s="81"/>
      <c r="P265" s="100"/>
      <c r="Q265" s="101">
        <v>3</v>
      </c>
      <c r="R265" s="53">
        <f t="shared" si="110"/>
        <v>3</v>
      </c>
      <c r="S265" s="81">
        <v>1</v>
      </c>
      <c r="T265" s="103">
        <f t="shared" si="103"/>
        <v>3</v>
      </c>
      <c r="U265" s="104" t="str">
        <f t="shared" si="104"/>
        <v>ACEPTAR</v>
      </c>
      <c r="V265" s="82"/>
      <c r="W265" s="105"/>
      <c r="X265" s="81"/>
      <c r="Y265" s="81"/>
      <c r="Z265" s="83"/>
      <c r="AA265" s="81"/>
      <c r="AB265" s="106"/>
      <c r="AC265" s="107">
        <f t="shared" si="111"/>
        <v>3</v>
      </c>
      <c r="AD265" s="81">
        <f t="shared" si="112"/>
        <v>1</v>
      </c>
      <c r="AE265" s="103">
        <f t="shared" si="105"/>
        <v>3</v>
      </c>
      <c r="AF265" s="98" t="str">
        <f t="shared" si="109"/>
        <v/>
      </c>
      <c r="AG265" s="97"/>
      <c r="AH265" s="97"/>
    </row>
    <row r="266" spans="1:34" s="27" customFormat="1" ht="67.2" hidden="1" customHeight="1">
      <c r="A266" s="28"/>
      <c r="B266" s="29" t="s">
        <v>1563</v>
      </c>
      <c r="C266" s="81" t="s">
        <v>285</v>
      </c>
      <c r="D266" s="81" t="s">
        <v>1564</v>
      </c>
      <c r="E266" s="81" t="s">
        <v>1565</v>
      </c>
      <c r="F266" s="81" t="s">
        <v>608</v>
      </c>
      <c r="G266" s="81" t="s">
        <v>1381</v>
      </c>
      <c r="H266" s="98">
        <v>3</v>
      </c>
      <c r="I266" s="99" t="s">
        <v>1566</v>
      </c>
      <c r="J266" s="40" t="s">
        <v>1567</v>
      </c>
      <c r="K266" s="39" t="s">
        <v>1568</v>
      </c>
      <c r="L266" s="102">
        <v>3</v>
      </c>
      <c r="M266" s="81">
        <v>3</v>
      </c>
      <c r="N266" s="81"/>
      <c r="O266" s="81"/>
      <c r="P266" s="100"/>
      <c r="Q266" s="101"/>
      <c r="R266" s="53">
        <f t="shared" si="110"/>
        <v>3</v>
      </c>
      <c r="S266" s="81">
        <v>1</v>
      </c>
      <c r="T266" s="103">
        <f t="shared" si="103"/>
        <v>3</v>
      </c>
      <c r="U266" s="104" t="str">
        <f t="shared" si="104"/>
        <v>ACEPTAR</v>
      </c>
      <c r="V266" s="82"/>
      <c r="W266" s="105"/>
      <c r="X266" s="81"/>
      <c r="Y266" s="81"/>
      <c r="Z266" s="83"/>
      <c r="AA266" s="81"/>
      <c r="AB266" s="106"/>
      <c r="AC266" s="107">
        <f t="shared" si="111"/>
        <v>3</v>
      </c>
      <c r="AD266" s="81">
        <f t="shared" si="112"/>
        <v>1</v>
      </c>
      <c r="AE266" s="103">
        <f t="shared" si="105"/>
        <v>3</v>
      </c>
      <c r="AF266" s="98" t="str">
        <f t="shared" si="109"/>
        <v/>
      </c>
      <c r="AG266" s="97"/>
      <c r="AH266" s="97"/>
    </row>
    <row r="267" spans="1:34" s="27" customFormat="1" ht="74.099999999999994" hidden="1" customHeight="1">
      <c r="A267" s="28"/>
      <c r="B267" s="29" t="s">
        <v>1569</v>
      </c>
      <c r="C267" s="81" t="s">
        <v>285</v>
      </c>
      <c r="D267" s="81" t="s">
        <v>1570</v>
      </c>
      <c r="E267" s="81" t="s">
        <v>720</v>
      </c>
      <c r="F267" s="81" t="s">
        <v>708</v>
      </c>
      <c r="G267" s="81" t="s">
        <v>1381</v>
      </c>
      <c r="H267" s="98">
        <v>3</v>
      </c>
      <c r="I267" s="99" t="s">
        <v>1571</v>
      </c>
      <c r="J267" s="40" t="s">
        <v>1572</v>
      </c>
      <c r="K267" s="39" t="s">
        <v>1455</v>
      </c>
      <c r="L267" s="102"/>
      <c r="M267" s="81">
        <v>3</v>
      </c>
      <c r="N267" s="81"/>
      <c r="O267" s="81"/>
      <c r="P267" s="100"/>
      <c r="Q267" s="101"/>
      <c r="R267" s="53">
        <f t="shared" si="110"/>
        <v>3</v>
      </c>
      <c r="S267" s="81">
        <v>1</v>
      </c>
      <c r="T267" s="103">
        <f t="shared" si="103"/>
        <v>3</v>
      </c>
      <c r="U267" s="104" t="str">
        <f t="shared" si="104"/>
        <v>ACEPTAR</v>
      </c>
      <c r="V267" s="82"/>
      <c r="W267" s="105"/>
      <c r="X267" s="81"/>
      <c r="Y267" s="81"/>
      <c r="Z267" s="83"/>
      <c r="AA267" s="81"/>
      <c r="AB267" s="106"/>
      <c r="AC267" s="107">
        <f t="shared" si="111"/>
        <v>3</v>
      </c>
      <c r="AD267" s="81">
        <f t="shared" si="112"/>
        <v>1</v>
      </c>
      <c r="AE267" s="103">
        <f t="shared" si="105"/>
        <v>3</v>
      </c>
      <c r="AF267" s="98" t="str">
        <f t="shared" si="109"/>
        <v/>
      </c>
      <c r="AG267" s="97"/>
      <c r="AH267" s="97"/>
    </row>
    <row r="268" spans="1:34" s="27" customFormat="1" ht="66.599999999999994" hidden="1" customHeight="1">
      <c r="A268" s="28"/>
      <c r="B268" s="29" t="s">
        <v>1573</v>
      </c>
      <c r="C268" s="81" t="s">
        <v>285</v>
      </c>
      <c r="D268" s="81" t="s">
        <v>1574</v>
      </c>
      <c r="E268" s="81" t="s">
        <v>1575</v>
      </c>
      <c r="F268" s="81" t="s">
        <v>708</v>
      </c>
      <c r="G268" s="81" t="s">
        <v>1576</v>
      </c>
      <c r="H268" s="98">
        <v>3</v>
      </c>
      <c r="I268" s="99" t="s">
        <v>1577</v>
      </c>
      <c r="J268" s="40" t="s">
        <v>1572</v>
      </c>
      <c r="K268" s="39" t="s">
        <v>1578</v>
      </c>
      <c r="L268" s="102"/>
      <c r="M268" s="81">
        <v>3</v>
      </c>
      <c r="N268" s="81"/>
      <c r="O268" s="81"/>
      <c r="P268" s="100"/>
      <c r="Q268" s="101"/>
      <c r="R268" s="53">
        <f t="shared" si="110"/>
        <v>3</v>
      </c>
      <c r="S268" s="81">
        <v>2</v>
      </c>
      <c r="T268" s="103">
        <f t="shared" si="103"/>
        <v>6</v>
      </c>
      <c r="U268" s="104" t="str">
        <f t="shared" si="104"/>
        <v>ACEPTAR</v>
      </c>
      <c r="V268" s="82"/>
      <c r="W268" s="105"/>
      <c r="X268" s="81"/>
      <c r="Y268" s="81"/>
      <c r="Z268" s="83"/>
      <c r="AA268" s="81"/>
      <c r="AB268" s="106"/>
      <c r="AC268" s="107">
        <f t="shared" si="111"/>
        <v>3</v>
      </c>
      <c r="AD268" s="81">
        <f t="shared" si="112"/>
        <v>2</v>
      </c>
      <c r="AE268" s="103">
        <f t="shared" si="105"/>
        <v>6</v>
      </c>
      <c r="AF268" s="98" t="str">
        <f t="shared" si="109"/>
        <v/>
      </c>
      <c r="AG268" s="97"/>
      <c r="AH268" s="97"/>
    </row>
    <row r="269" spans="1:34" s="27" customFormat="1" ht="125.7" customHeight="1">
      <c r="A269" s="28"/>
      <c r="B269" s="29" t="s">
        <v>1579</v>
      </c>
      <c r="C269" s="81" t="s">
        <v>86</v>
      </c>
      <c r="D269" s="81" t="s">
        <v>1580</v>
      </c>
      <c r="E269" s="81" t="s">
        <v>1581</v>
      </c>
      <c r="F269" s="81" t="s">
        <v>1582</v>
      </c>
      <c r="G269" s="81" t="s">
        <v>1403</v>
      </c>
      <c r="H269" s="98">
        <v>3</v>
      </c>
      <c r="I269" s="99" t="s">
        <v>1583</v>
      </c>
      <c r="J269" s="40" t="s">
        <v>1584</v>
      </c>
      <c r="K269" s="39" t="s">
        <v>1585</v>
      </c>
      <c r="L269" s="102"/>
      <c r="M269" s="81"/>
      <c r="N269" s="81"/>
      <c r="O269" s="81"/>
      <c r="P269" s="100"/>
      <c r="Q269" s="101">
        <v>3</v>
      </c>
      <c r="R269" s="53">
        <f t="shared" si="110"/>
        <v>3</v>
      </c>
      <c r="S269" s="81">
        <v>3</v>
      </c>
      <c r="T269" s="103">
        <f t="shared" si="103"/>
        <v>9</v>
      </c>
      <c r="U269" s="104" t="str">
        <f t="shared" si="104"/>
        <v>MITIGAR</v>
      </c>
      <c r="V269" s="82" t="s">
        <v>1405</v>
      </c>
      <c r="W269" s="105"/>
      <c r="X269" s="81" t="s">
        <v>1406</v>
      </c>
      <c r="Y269" s="81" t="s">
        <v>782</v>
      </c>
      <c r="Z269" s="83" t="s">
        <v>739</v>
      </c>
      <c r="AA269" s="81"/>
      <c r="AB269" s="106"/>
      <c r="AC269" s="107">
        <f t="shared" si="111"/>
        <v>3</v>
      </c>
      <c r="AD269" s="81">
        <f t="shared" si="112"/>
        <v>3</v>
      </c>
      <c r="AE269" s="103">
        <f t="shared" si="105"/>
        <v>9</v>
      </c>
      <c r="AF269" s="98" t="str">
        <f t="shared" si="109"/>
        <v>INSUFICIENTE</v>
      </c>
      <c r="AG269" s="97"/>
      <c r="AH269" s="97"/>
    </row>
    <row r="270" spans="1:34" s="27" customFormat="1" ht="86.4" hidden="1">
      <c r="A270" s="28"/>
      <c r="B270" s="29" t="s">
        <v>1586</v>
      </c>
      <c r="C270" s="81" t="s">
        <v>285</v>
      </c>
      <c r="D270" s="81" t="s">
        <v>1587</v>
      </c>
      <c r="E270" s="81" t="s">
        <v>1588</v>
      </c>
      <c r="F270" s="81" t="s">
        <v>1589</v>
      </c>
      <c r="G270" s="81" t="s">
        <v>1381</v>
      </c>
      <c r="H270" s="98">
        <v>3</v>
      </c>
      <c r="I270" s="99" t="s">
        <v>1590</v>
      </c>
      <c r="J270" s="40" t="s">
        <v>1591</v>
      </c>
      <c r="K270" s="39" t="s">
        <v>1592</v>
      </c>
      <c r="L270" s="102">
        <v>3</v>
      </c>
      <c r="M270" s="81">
        <v>3</v>
      </c>
      <c r="N270" s="81">
        <v>3</v>
      </c>
      <c r="O270" s="81">
        <v>3</v>
      </c>
      <c r="P270" s="100">
        <v>3</v>
      </c>
      <c r="Q270" s="101"/>
      <c r="R270" s="53">
        <f t="shared" si="110"/>
        <v>3</v>
      </c>
      <c r="S270" s="81">
        <v>1</v>
      </c>
      <c r="T270" s="103">
        <f t="shared" si="103"/>
        <v>3</v>
      </c>
      <c r="U270" s="104" t="str">
        <f t="shared" si="104"/>
        <v>ACEPTAR</v>
      </c>
      <c r="V270" s="82"/>
      <c r="W270" s="105"/>
      <c r="X270" s="81"/>
      <c r="Y270" s="81"/>
      <c r="Z270" s="83"/>
      <c r="AA270" s="81"/>
      <c r="AB270" s="106"/>
      <c r="AC270" s="107">
        <f t="shared" si="111"/>
        <v>3</v>
      </c>
      <c r="AD270" s="81">
        <f t="shared" si="112"/>
        <v>1</v>
      </c>
      <c r="AE270" s="103">
        <f t="shared" si="105"/>
        <v>3</v>
      </c>
      <c r="AF270" s="98" t="str">
        <f t="shared" si="109"/>
        <v/>
      </c>
      <c r="AG270" s="97"/>
      <c r="AH270" s="97"/>
    </row>
    <row r="271" spans="1:34" s="27" customFormat="1" ht="72" hidden="1">
      <c r="A271" s="28" t="s">
        <v>1558</v>
      </c>
      <c r="B271" s="29" t="s">
        <v>1593</v>
      </c>
      <c r="C271" s="81" t="s">
        <v>285</v>
      </c>
      <c r="D271" s="81" t="s">
        <v>1594</v>
      </c>
      <c r="E271" s="81" t="s">
        <v>1595</v>
      </c>
      <c r="F271" s="81" t="s">
        <v>730</v>
      </c>
      <c r="G271" s="81" t="s">
        <v>1596</v>
      </c>
      <c r="H271" s="98">
        <v>3</v>
      </c>
      <c r="I271" s="99" t="s">
        <v>1597</v>
      </c>
      <c r="J271" s="40" t="s">
        <v>749</v>
      </c>
      <c r="K271" s="39" t="s">
        <v>1592</v>
      </c>
      <c r="L271" s="102">
        <v>3</v>
      </c>
      <c r="M271" s="81">
        <v>3</v>
      </c>
      <c r="N271" s="81">
        <v>3</v>
      </c>
      <c r="O271" s="81"/>
      <c r="P271" s="100">
        <v>3</v>
      </c>
      <c r="Q271" s="101"/>
      <c r="R271" s="53">
        <f t="shared" si="110"/>
        <v>3</v>
      </c>
      <c r="S271" s="81">
        <v>2</v>
      </c>
      <c r="T271" s="103">
        <f t="shared" si="103"/>
        <v>6</v>
      </c>
      <c r="U271" s="104" t="str">
        <f t="shared" si="104"/>
        <v>ACEPTAR</v>
      </c>
      <c r="V271" s="82"/>
      <c r="W271" s="105"/>
      <c r="X271" s="81"/>
      <c r="Y271" s="81"/>
      <c r="Z271" s="83"/>
      <c r="AA271" s="81"/>
      <c r="AB271" s="106"/>
      <c r="AC271" s="107">
        <f t="shared" si="111"/>
        <v>3</v>
      </c>
      <c r="AD271" s="81">
        <f t="shared" si="112"/>
        <v>2</v>
      </c>
      <c r="AE271" s="103">
        <f t="shared" si="105"/>
        <v>6</v>
      </c>
      <c r="AF271" s="98" t="str">
        <f t="shared" si="109"/>
        <v/>
      </c>
      <c r="AG271" s="97"/>
      <c r="AH271" s="97"/>
    </row>
    <row r="272" spans="1:34" s="27" customFormat="1" ht="72" hidden="1">
      <c r="A272" s="28" t="s">
        <v>1558</v>
      </c>
      <c r="B272" s="29" t="s">
        <v>1598</v>
      </c>
      <c r="C272" s="81" t="s">
        <v>285</v>
      </c>
      <c r="D272" s="81" t="s">
        <v>1599</v>
      </c>
      <c r="E272" s="81" t="s">
        <v>755</v>
      </c>
      <c r="F272" s="81" t="s">
        <v>756</v>
      </c>
      <c r="G272" s="81" t="s">
        <v>1596</v>
      </c>
      <c r="H272" s="98">
        <v>3</v>
      </c>
      <c r="I272" s="99" t="s">
        <v>1600</v>
      </c>
      <c r="J272" s="40" t="s">
        <v>1601</v>
      </c>
      <c r="K272" s="39" t="s">
        <v>1592</v>
      </c>
      <c r="L272" s="102"/>
      <c r="M272" s="81"/>
      <c r="N272" s="81">
        <v>2</v>
      </c>
      <c r="O272" s="81"/>
      <c r="P272" s="100"/>
      <c r="Q272" s="101"/>
      <c r="R272" s="53">
        <f t="shared" si="110"/>
        <v>2</v>
      </c>
      <c r="S272" s="81">
        <v>1</v>
      </c>
      <c r="T272" s="103">
        <f t="shared" si="103"/>
        <v>2</v>
      </c>
      <c r="U272" s="104" t="str">
        <f t="shared" si="104"/>
        <v>ACEPTAR</v>
      </c>
      <c r="V272" s="82"/>
      <c r="W272" s="105"/>
      <c r="X272" s="81"/>
      <c r="Y272" s="81"/>
      <c r="Z272" s="83"/>
      <c r="AA272" s="81"/>
      <c r="AB272" s="106"/>
      <c r="AC272" s="107">
        <f t="shared" si="111"/>
        <v>2</v>
      </c>
      <c r="AD272" s="81">
        <f t="shared" si="112"/>
        <v>1</v>
      </c>
      <c r="AE272" s="103">
        <f t="shared" si="105"/>
        <v>2</v>
      </c>
      <c r="AF272" s="98" t="str">
        <f t="shared" si="109"/>
        <v/>
      </c>
      <c r="AG272" s="97"/>
      <c r="AH272" s="97"/>
    </row>
    <row r="273" spans="1:34" s="27" customFormat="1" ht="49.65" hidden="1" customHeight="1">
      <c r="A273" s="28"/>
      <c r="B273" s="29" t="s">
        <v>1602</v>
      </c>
      <c r="C273" s="81" t="s">
        <v>285</v>
      </c>
      <c r="D273" s="81" t="s">
        <v>1603</v>
      </c>
      <c r="E273" s="81" t="s">
        <v>1604</v>
      </c>
      <c r="F273" s="81" t="s">
        <v>648</v>
      </c>
      <c r="G273" s="81" t="s">
        <v>1381</v>
      </c>
      <c r="H273" s="98">
        <v>3</v>
      </c>
      <c r="I273" s="99" t="s">
        <v>1605</v>
      </c>
      <c r="J273" s="40" t="s">
        <v>749</v>
      </c>
      <c r="K273" s="39" t="s">
        <v>1578</v>
      </c>
      <c r="L273" s="102">
        <v>3</v>
      </c>
      <c r="M273" s="81"/>
      <c r="N273" s="81"/>
      <c r="O273" s="81"/>
      <c r="P273" s="100">
        <v>3</v>
      </c>
      <c r="Q273" s="101"/>
      <c r="R273" s="53">
        <f t="shared" si="110"/>
        <v>3</v>
      </c>
      <c r="S273" s="81">
        <v>1</v>
      </c>
      <c r="T273" s="103">
        <f t="shared" si="103"/>
        <v>3</v>
      </c>
      <c r="U273" s="104" t="str">
        <f t="shared" si="104"/>
        <v>ACEPTAR</v>
      </c>
      <c r="V273" s="82"/>
      <c r="W273" s="105"/>
      <c r="X273" s="81"/>
      <c r="Y273" s="81"/>
      <c r="Z273" s="83"/>
      <c r="AA273" s="81"/>
      <c r="AB273" s="106"/>
      <c r="AC273" s="107">
        <f t="shared" si="111"/>
        <v>3</v>
      </c>
      <c r="AD273" s="81">
        <f t="shared" si="112"/>
        <v>1</v>
      </c>
      <c r="AE273" s="103">
        <f t="shared" si="105"/>
        <v>3</v>
      </c>
      <c r="AF273" s="98" t="str">
        <f t="shared" si="109"/>
        <v/>
      </c>
      <c r="AG273" s="97"/>
      <c r="AH273" s="97"/>
    </row>
    <row r="274" spans="1:34" s="27" customFormat="1" ht="51.6" hidden="1" customHeight="1">
      <c r="A274" s="28"/>
      <c r="B274" s="29" t="s">
        <v>1606</v>
      </c>
      <c r="C274" s="81" t="s">
        <v>86</v>
      </c>
      <c r="D274" s="81" t="s">
        <v>1607</v>
      </c>
      <c r="E274" s="81" t="s">
        <v>1608</v>
      </c>
      <c r="F274" s="81" t="s">
        <v>648</v>
      </c>
      <c r="G274" s="81" t="s">
        <v>1381</v>
      </c>
      <c r="H274" s="98">
        <v>3</v>
      </c>
      <c r="I274" s="99" t="s">
        <v>1609</v>
      </c>
      <c r="J274" s="40" t="s">
        <v>953</v>
      </c>
      <c r="K274" s="39" t="s">
        <v>1610</v>
      </c>
      <c r="L274" s="102"/>
      <c r="M274" s="81"/>
      <c r="N274" s="81"/>
      <c r="O274" s="81"/>
      <c r="P274" s="100"/>
      <c r="Q274" s="101">
        <v>2</v>
      </c>
      <c r="R274" s="53">
        <f t="shared" si="110"/>
        <v>2</v>
      </c>
      <c r="S274" s="81">
        <v>1</v>
      </c>
      <c r="T274" s="103">
        <f t="shared" si="103"/>
        <v>2</v>
      </c>
      <c r="U274" s="104" t="str">
        <f t="shared" si="104"/>
        <v>ACEPTAR</v>
      </c>
      <c r="V274" s="82"/>
      <c r="W274" s="105"/>
      <c r="X274" s="81"/>
      <c r="Y274" s="81"/>
      <c r="Z274" s="83"/>
      <c r="AA274" s="81"/>
      <c r="AB274" s="106"/>
      <c r="AC274" s="107">
        <f t="shared" si="111"/>
        <v>2</v>
      </c>
      <c r="AD274" s="81">
        <f t="shared" si="112"/>
        <v>1</v>
      </c>
      <c r="AE274" s="103">
        <f t="shared" si="105"/>
        <v>2</v>
      </c>
      <c r="AF274" s="98" t="str">
        <f t="shared" si="109"/>
        <v/>
      </c>
      <c r="AG274" s="97"/>
      <c r="AH274" s="97"/>
    </row>
    <row r="275" spans="1:34" s="27" customFormat="1" ht="57.6" hidden="1">
      <c r="A275" s="28"/>
      <c r="B275" s="29" t="s">
        <v>1611</v>
      </c>
      <c r="C275" s="81" t="s">
        <v>285</v>
      </c>
      <c r="D275" s="81" t="s">
        <v>1612</v>
      </c>
      <c r="E275" s="81" t="s">
        <v>777</v>
      </c>
      <c r="F275" s="81" t="s">
        <v>536</v>
      </c>
      <c r="G275" s="81" t="s">
        <v>1381</v>
      </c>
      <c r="H275" s="98">
        <v>3</v>
      </c>
      <c r="I275" s="99" t="s">
        <v>1613</v>
      </c>
      <c r="J275" s="40" t="s">
        <v>1614</v>
      </c>
      <c r="K275" s="39" t="s">
        <v>1615</v>
      </c>
      <c r="L275" s="102">
        <v>4</v>
      </c>
      <c r="M275" s="81">
        <v>4</v>
      </c>
      <c r="N275" s="81">
        <v>4</v>
      </c>
      <c r="O275" s="81">
        <v>4</v>
      </c>
      <c r="P275" s="100">
        <v>4</v>
      </c>
      <c r="Q275" s="101">
        <v>2</v>
      </c>
      <c r="R275" s="53">
        <f t="shared" si="110"/>
        <v>4</v>
      </c>
      <c r="S275" s="81">
        <v>1</v>
      </c>
      <c r="T275" s="103">
        <f t="shared" si="103"/>
        <v>4</v>
      </c>
      <c r="U275" s="104" t="str">
        <f t="shared" si="104"/>
        <v>ACEPTAR</v>
      </c>
      <c r="V275" s="82"/>
      <c r="W275" s="105"/>
      <c r="X275" s="81"/>
      <c r="Y275" s="81"/>
      <c r="Z275" s="83"/>
      <c r="AA275" s="81"/>
      <c r="AB275" s="106"/>
      <c r="AC275" s="107">
        <f t="shared" si="111"/>
        <v>4</v>
      </c>
      <c r="AD275" s="81">
        <f t="shared" si="112"/>
        <v>1</v>
      </c>
      <c r="AE275" s="103">
        <f t="shared" si="105"/>
        <v>4</v>
      </c>
      <c r="AF275" s="98" t="str">
        <f t="shared" si="109"/>
        <v/>
      </c>
      <c r="AG275" s="97"/>
      <c r="AH275" s="97"/>
    </row>
    <row r="276" spans="1:34" s="27" customFormat="1" ht="67.2" hidden="1" customHeight="1">
      <c r="A276" s="28"/>
      <c r="B276" s="29" t="s">
        <v>1616</v>
      </c>
      <c r="C276" s="81" t="s">
        <v>86</v>
      </c>
      <c r="D276" s="81" t="s">
        <v>1617</v>
      </c>
      <c r="E276" s="81" t="s">
        <v>777</v>
      </c>
      <c r="F276" s="81" t="s">
        <v>536</v>
      </c>
      <c r="G276" s="81" t="s">
        <v>1403</v>
      </c>
      <c r="H276" s="98">
        <v>3</v>
      </c>
      <c r="I276" s="99" t="s">
        <v>1618</v>
      </c>
      <c r="J276" s="40" t="s">
        <v>1619</v>
      </c>
      <c r="K276" s="39" t="s">
        <v>1620</v>
      </c>
      <c r="L276" s="102"/>
      <c r="M276" s="81"/>
      <c r="N276" s="81">
        <v>3</v>
      </c>
      <c r="O276" s="81"/>
      <c r="P276" s="100"/>
      <c r="Q276" s="101">
        <v>3</v>
      </c>
      <c r="R276" s="53">
        <f t="shared" si="110"/>
        <v>3</v>
      </c>
      <c r="S276" s="81">
        <v>2</v>
      </c>
      <c r="T276" s="103">
        <f t="shared" si="103"/>
        <v>6</v>
      </c>
      <c r="U276" s="104" t="str">
        <f t="shared" si="104"/>
        <v>ACEPTAR</v>
      </c>
      <c r="V276" s="82"/>
      <c r="W276" s="105"/>
      <c r="X276" s="81"/>
      <c r="Y276" s="81"/>
      <c r="Z276" s="83"/>
      <c r="AA276" s="81"/>
      <c r="AB276" s="106"/>
      <c r="AC276" s="107">
        <f t="shared" si="111"/>
        <v>3</v>
      </c>
      <c r="AD276" s="81">
        <f t="shared" si="112"/>
        <v>2</v>
      </c>
      <c r="AE276" s="103">
        <f t="shared" si="105"/>
        <v>6</v>
      </c>
      <c r="AF276" s="98" t="str">
        <f t="shared" si="109"/>
        <v/>
      </c>
      <c r="AG276" s="97"/>
      <c r="AH276" s="97"/>
    </row>
    <row r="277" spans="1:34" s="27" customFormat="1" ht="59.1" hidden="1" customHeight="1">
      <c r="A277" s="28"/>
      <c r="B277" s="29" t="s">
        <v>1621</v>
      </c>
      <c r="C277" s="81" t="s">
        <v>285</v>
      </c>
      <c r="D277" s="81" t="s">
        <v>1622</v>
      </c>
      <c r="E277" s="81" t="s">
        <v>1623</v>
      </c>
      <c r="F277" s="81" t="s">
        <v>1624</v>
      </c>
      <c r="G277" s="81" t="s">
        <v>1403</v>
      </c>
      <c r="H277" s="98">
        <v>3</v>
      </c>
      <c r="I277" s="99" t="s">
        <v>1625</v>
      </c>
      <c r="J277" s="40" t="s">
        <v>1626</v>
      </c>
      <c r="K277" s="39" t="s">
        <v>1627</v>
      </c>
      <c r="L277" s="102"/>
      <c r="M277" s="81">
        <v>4</v>
      </c>
      <c r="N277" s="81">
        <v>4</v>
      </c>
      <c r="O277" s="81"/>
      <c r="P277" s="100"/>
      <c r="Q277" s="101">
        <v>4</v>
      </c>
      <c r="R277" s="53">
        <f t="shared" si="110"/>
        <v>4</v>
      </c>
      <c r="S277" s="81">
        <v>1</v>
      </c>
      <c r="T277" s="103">
        <f t="shared" si="103"/>
        <v>4</v>
      </c>
      <c r="U277" s="104" t="str">
        <f t="shared" si="104"/>
        <v>ACEPTAR</v>
      </c>
      <c r="V277" s="82"/>
      <c r="W277" s="105"/>
      <c r="X277" s="81"/>
      <c r="Y277" s="81"/>
      <c r="Z277" s="83"/>
      <c r="AA277" s="81"/>
      <c r="AB277" s="106"/>
      <c r="AC277" s="107">
        <f t="shared" si="111"/>
        <v>4</v>
      </c>
      <c r="AD277" s="81">
        <f t="shared" si="112"/>
        <v>1</v>
      </c>
      <c r="AE277" s="103">
        <f t="shared" si="105"/>
        <v>4</v>
      </c>
      <c r="AF277" s="98" t="str">
        <f t="shared" si="109"/>
        <v/>
      </c>
      <c r="AG277" s="97"/>
      <c r="AH277" s="97"/>
    </row>
    <row r="278" spans="1:34" s="27" customFormat="1" ht="43.2" hidden="1">
      <c r="A278" s="28"/>
      <c r="B278" s="29" t="s">
        <v>1628</v>
      </c>
      <c r="C278" s="81" t="s">
        <v>285</v>
      </c>
      <c r="D278" s="81" t="s">
        <v>1629</v>
      </c>
      <c r="E278" s="81" t="s">
        <v>1623</v>
      </c>
      <c r="F278" s="81" t="s">
        <v>1624</v>
      </c>
      <c r="G278" s="81" t="s">
        <v>1403</v>
      </c>
      <c r="H278" s="98">
        <v>3</v>
      </c>
      <c r="I278" s="99" t="s">
        <v>1625</v>
      </c>
      <c r="J278" s="40" t="s">
        <v>1626</v>
      </c>
      <c r="K278" s="39" t="s">
        <v>1630</v>
      </c>
      <c r="L278" s="102">
        <v>4</v>
      </c>
      <c r="M278" s="81">
        <v>4</v>
      </c>
      <c r="N278" s="81">
        <v>4</v>
      </c>
      <c r="O278" s="81">
        <v>4</v>
      </c>
      <c r="P278" s="100">
        <v>4</v>
      </c>
      <c r="Q278" s="101">
        <v>4</v>
      </c>
      <c r="R278" s="53">
        <f t="shared" si="110"/>
        <v>4</v>
      </c>
      <c r="S278" s="81">
        <v>1</v>
      </c>
      <c r="T278" s="103">
        <f t="shared" si="103"/>
        <v>4</v>
      </c>
      <c r="U278" s="104" t="str">
        <f t="shared" si="104"/>
        <v>ACEPTAR</v>
      </c>
      <c r="V278" s="82"/>
      <c r="W278" s="105"/>
      <c r="X278" s="81"/>
      <c r="Y278" s="81"/>
      <c r="Z278" s="83"/>
      <c r="AA278" s="81"/>
      <c r="AB278" s="106"/>
      <c r="AC278" s="107">
        <f t="shared" si="111"/>
        <v>4</v>
      </c>
      <c r="AD278" s="81">
        <f t="shared" si="112"/>
        <v>1</v>
      </c>
      <c r="AE278" s="103">
        <f t="shared" si="105"/>
        <v>4</v>
      </c>
      <c r="AF278" s="98" t="str">
        <f t="shared" si="109"/>
        <v/>
      </c>
      <c r="AG278" s="97"/>
      <c r="AH278" s="97"/>
    </row>
    <row r="279" spans="1:34" s="27" customFormat="1" ht="69.45" hidden="1" customHeight="1">
      <c r="A279" s="28"/>
      <c r="B279" s="29" t="s">
        <v>1631</v>
      </c>
      <c r="C279" s="81" t="s">
        <v>285</v>
      </c>
      <c r="D279" s="81" t="s">
        <v>1632</v>
      </c>
      <c r="E279" s="81" t="s">
        <v>1623</v>
      </c>
      <c r="F279" s="81" t="s">
        <v>1624</v>
      </c>
      <c r="G279" s="81" t="s">
        <v>1403</v>
      </c>
      <c r="H279" s="98">
        <v>3</v>
      </c>
      <c r="I279" s="99" t="s">
        <v>1633</v>
      </c>
      <c r="J279" s="40" t="s">
        <v>1626</v>
      </c>
      <c r="K279" s="39" t="s">
        <v>1634</v>
      </c>
      <c r="L279" s="102"/>
      <c r="M279" s="81"/>
      <c r="N279" s="81">
        <v>3</v>
      </c>
      <c r="O279" s="81"/>
      <c r="P279" s="100"/>
      <c r="Q279" s="101">
        <v>3</v>
      </c>
      <c r="R279" s="53">
        <f t="shared" si="110"/>
        <v>3</v>
      </c>
      <c r="S279" s="81">
        <v>2</v>
      </c>
      <c r="T279" s="103">
        <f t="shared" si="103"/>
        <v>6</v>
      </c>
      <c r="U279" s="104" t="str">
        <f t="shared" si="104"/>
        <v>ACEPTAR</v>
      </c>
      <c r="V279" s="82"/>
      <c r="W279" s="105"/>
      <c r="X279" s="81"/>
      <c r="Y279" s="81"/>
      <c r="Z279" s="83"/>
      <c r="AA279" s="81"/>
      <c r="AB279" s="106"/>
      <c r="AC279" s="107">
        <f t="shared" si="111"/>
        <v>3</v>
      </c>
      <c r="AD279" s="81">
        <f t="shared" si="112"/>
        <v>2</v>
      </c>
      <c r="AE279" s="103">
        <f t="shared" si="105"/>
        <v>6</v>
      </c>
      <c r="AF279" s="98" t="str">
        <f t="shared" si="109"/>
        <v/>
      </c>
      <c r="AG279" s="97"/>
      <c r="AH279" s="97"/>
    </row>
    <row r="280" spans="1:34" s="27" customFormat="1" ht="57.6">
      <c r="A280" s="28" t="s">
        <v>1635</v>
      </c>
      <c r="B280" s="29" t="s">
        <v>1636</v>
      </c>
      <c r="C280" s="81" t="s">
        <v>86</v>
      </c>
      <c r="D280" s="81" t="s">
        <v>1637</v>
      </c>
      <c r="E280" s="81" t="s">
        <v>1638</v>
      </c>
      <c r="F280" s="81" t="s">
        <v>536</v>
      </c>
      <c r="G280" s="81" t="s">
        <v>1403</v>
      </c>
      <c r="H280" s="98">
        <v>3</v>
      </c>
      <c r="I280" s="99" t="s">
        <v>1639</v>
      </c>
      <c r="J280" s="40" t="s">
        <v>1640</v>
      </c>
      <c r="K280" s="39" t="s">
        <v>1209</v>
      </c>
      <c r="L280" s="102">
        <v>3</v>
      </c>
      <c r="M280" s="81">
        <v>3</v>
      </c>
      <c r="N280" s="81">
        <v>3</v>
      </c>
      <c r="O280" s="81"/>
      <c r="P280" s="100"/>
      <c r="Q280" s="101">
        <v>3</v>
      </c>
      <c r="R280" s="53">
        <f t="shared" si="110"/>
        <v>3</v>
      </c>
      <c r="S280" s="81">
        <v>3</v>
      </c>
      <c r="T280" s="103">
        <f t="shared" si="103"/>
        <v>9</v>
      </c>
      <c r="U280" s="104" t="str">
        <f t="shared" si="104"/>
        <v>MITIGAR</v>
      </c>
      <c r="V280" s="82" t="s">
        <v>1405</v>
      </c>
      <c r="W280" s="105"/>
      <c r="X280" s="81" t="s">
        <v>1406</v>
      </c>
      <c r="Y280" s="81" t="s">
        <v>782</v>
      </c>
      <c r="Z280" s="83" t="s">
        <v>739</v>
      </c>
      <c r="AA280" s="81"/>
      <c r="AB280" s="106"/>
      <c r="AC280" s="107">
        <f t="shared" si="111"/>
        <v>3</v>
      </c>
      <c r="AD280" s="81">
        <f t="shared" si="112"/>
        <v>3</v>
      </c>
      <c r="AE280" s="103">
        <f t="shared" si="105"/>
        <v>9</v>
      </c>
      <c r="AF280" s="98" t="str">
        <f t="shared" si="109"/>
        <v>INSUFICIENTE</v>
      </c>
      <c r="AG280" s="97"/>
      <c r="AH280" s="97"/>
    </row>
    <row r="281" spans="1:34" s="27" customFormat="1" ht="43.2" hidden="1">
      <c r="A281" s="28" t="s">
        <v>1635</v>
      </c>
      <c r="B281" s="29" t="s">
        <v>1641</v>
      </c>
      <c r="C281" s="81" t="s">
        <v>86</v>
      </c>
      <c r="D281" s="81" t="s">
        <v>1642</v>
      </c>
      <c r="E281" s="81" t="s">
        <v>1643</v>
      </c>
      <c r="F281" s="81" t="s">
        <v>1644</v>
      </c>
      <c r="G281" s="81" t="s">
        <v>1403</v>
      </c>
      <c r="H281" s="98">
        <v>3</v>
      </c>
      <c r="I281" s="99" t="s">
        <v>1645</v>
      </c>
      <c r="J281" s="40" t="s">
        <v>1646</v>
      </c>
      <c r="K281" s="39" t="s">
        <v>1647</v>
      </c>
      <c r="L281" s="102"/>
      <c r="M281" s="81"/>
      <c r="N281" s="81"/>
      <c r="O281" s="81"/>
      <c r="P281" s="100"/>
      <c r="Q281" s="101">
        <v>2</v>
      </c>
      <c r="R281" s="53">
        <f t="shared" si="110"/>
        <v>2</v>
      </c>
      <c r="S281" s="81">
        <v>2</v>
      </c>
      <c r="T281" s="103">
        <f t="shared" si="103"/>
        <v>4</v>
      </c>
      <c r="U281" s="104" t="str">
        <f t="shared" si="104"/>
        <v>ACEPTAR</v>
      </c>
      <c r="V281" s="82"/>
      <c r="W281" s="105"/>
      <c r="X281" s="81"/>
      <c r="Y281" s="81"/>
      <c r="Z281" s="83"/>
      <c r="AA281" s="81"/>
      <c r="AB281" s="106"/>
      <c r="AC281" s="107">
        <f t="shared" si="111"/>
        <v>2</v>
      </c>
      <c r="AD281" s="81">
        <f t="shared" si="112"/>
        <v>2</v>
      </c>
      <c r="AE281" s="103">
        <f t="shared" si="105"/>
        <v>4</v>
      </c>
      <c r="AF281" s="98" t="str">
        <f t="shared" si="109"/>
        <v/>
      </c>
      <c r="AG281" s="97"/>
      <c r="AH281" s="97"/>
    </row>
    <row r="282" spans="1:34" s="27" customFormat="1" ht="86.4" hidden="1">
      <c r="A282" s="28" t="s">
        <v>1648</v>
      </c>
      <c r="B282" s="29" t="s">
        <v>1649</v>
      </c>
      <c r="C282" s="81" t="s">
        <v>1650</v>
      </c>
      <c r="D282" s="81" t="s">
        <v>1651</v>
      </c>
      <c r="E282" s="81" t="s">
        <v>1065</v>
      </c>
      <c r="F282" s="81" t="s">
        <v>279</v>
      </c>
      <c r="G282" s="81" t="s">
        <v>1397</v>
      </c>
      <c r="H282" s="98">
        <v>3</v>
      </c>
      <c r="I282" s="99" t="s">
        <v>1652</v>
      </c>
      <c r="J282" s="40" t="s">
        <v>1105</v>
      </c>
      <c r="K282" s="39" t="s">
        <v>1098</v>
      </c>
      <c r="L282" s="102">
        <v>4</v>
      </c>
      <c r="M282" s="81">
        <v>4</v>
      </c>
      <c r="N282" s="81">
        <v>4</v>
      </c>
      <c r="O282" s="81">
        <v>4</v>
      </c>
      <c r="P282" s="100">
        <v>4</v>
      </c>
      <c r="Q282" s="101">
        <v>3</v>
      </c>
      <c r="R282" s="53">
        <f t="shared" si="110"/>
        <v>4</v>
      </c>
      <c r="S282" s="81">
        <v>1</v>
      </c>
      <c r="T282" s="103">
        <f t="shared" si="103"/>
        <v>4</v>
      </c>
      <c r="U282" s="104" t="str">
        <f t="shared" si="104"/>
        <v>ACEPTAR</v>
      </c>
      <c r="V282" s="82"/>
      <c r="W282" s="105"/>
      <c r="X282" s="81"/>
      <c r="Y282" s="81"/>
      <c r="Z282" s="83"/>
      <c r="AA282" s="81"/>
      <c r="AB282" s="106"/>
      <c r="AC282" s="107">
        <f t="shared" si="111"/>
        <v>4</v>
      </c>
      <c r="AD282" s="81">
        <f t="shared" si="112"/>
        <v>1</v>
      </c>
      <c r="AE282" s="103">
        <f t="shared" si="105"/>
        <v>4</v>
      </c>
      <c r="AF282" s="98" t="str">
        <f t="shared" si="109"/>
        <v/>
      </c>
      <c r="AG282" s="97"/>
      <c r="AH282" s="97"/>
    </row>
    <row r="283" spans="1:34" s="27" customFormat="1" ht="72">
      <c r="A283" s="28" t="s">
        <v>1648</v>
      </c>
      <c r="B283" s="29" t="s">
        <v>1653</v>
      </c>
      <c r="C283" s="81" t="s">
        <v>86</v>
      </c>
      <c r="D283" s="81" t="s">
        <v>1654</v>
      </c>
      <c r="E283" s="81" t="s">
        <v>1655</v>
      </c>
      <c r="F283" s="81" t="s">
        <v>1656</v>
      </c>
      <c r="G283" s="81" t="s">
        <v>1403</v>
      </c>
      <c r="H283" s="98">
        <v>3</v>
      </c>
      <c r="I283" s="99" t="s">
        <v>1657</v>
      </c>
      <c r="J283" s="40" t="s">
        <v>92</v>
      </c>
      <c r="K283" s="39" t="s">
        <v>1209</v>
      </c>
      <c r="L283" s="102"/>
      <c r="M283" s="81"/>
      <c r="N283" s="81"/>
      <c r="O283" s="81"/>
      <c r="P283" s="100"/>
      <c r="Q283" s="101">
        <v>3</v>
      </c>
      <c r="R283" s="53">
        <f t="shared" si="110"/>
        <v>3</v>
      </c>
      <c r="S283" s="81">
        <v>3</v>
      </c>
      <c r="T283" s="103">
        <f t="shared" si="103"/>
        <v>9</v>
      </c>
      <c r="U283" s="104" t="str">
        <f t="shared" si="104"/>
        <v>MITIGAR</v>
      </c>
      <c r="V283" s="82" t="s">
        <v>1405</v>
      </c>
      <c r="W283" s="105"/>
      <c r="X283" s="81" t="s">
        <v>1406</v>
      </c>
      <c r="Y283" s="81" t="s">
        <v>782</v>
      </c>
      <c r="Z283" s="83" t="s">
        <v>739</v>
      </c>
      <c r="AA283" s="81"/>
      <c r="AB283" s="106"/>
      <c r="AC283" s="107">
        <f t="shared" si="111"/>
        <v>3</v>
      </c>
      <c r="AD283" s="81">
        <f t="shared" si="112"/>
        <v>3</v>
      </c>
      <c r="AE283" s="103">
        <f t="shared" si="105"/>
        <v>9</v>
      </c>
      <c r="AF283" s="98" t="str">
        <f t="shared" si="109"/>
        <v>INSUFICIENTE</v>
      </c>
      <c r="AG283" s="97"/>
      <c r="AH283" s="97"/>
    </row>
    <row r="284" spans="1:34" s="27" customFormat="1" ht="72" hidden="1">
      <c r="A284" s="28"/>
      <c r="B284" s="29" t="s">
        <v>1658</v>
      </c>
      <c r="C284" s="81" t="s">
        <v>285</v>
      </c>
      <c r="D284" s="81" t="s">
        <v>1659</v>
      </c>
      <c r="E284" s="81" t="s">
        <v>1121</v>
      </c>
      <c r="F284" s="81" t="s">
        <v>1660</v>
      </c>
      <c r="G284" s="81" t="s">
        <v>1381</v>
      </c>
      <c r="H284" s="98">
        <v>3</v>
      </c>
      <c r="I284" s="99" t="s">
        <v>1661</v>
      </c>
      <c r="J284" s="40" t="s">
        <v>1662</v>
      </c>
      <c r="K284" s="39" t="s">
        <v>1663</v>
      </c>
      <c r="L284" s="102"/>
      <c r="M284" s="81"/>
      <c r="N284" s="81"/>
      <c r="O284" s="81"/>
      <c r="P284" s="100"/>
      <c r="Q284" s="101">
        <v>3</v>
      </c>
      <c r="R284" s="53">
        <f t="shared" si="110"/>
        <v>3</v>
      </c>
      <c r="S284" s="81">
        <v>2</v>
      </c>
      <c r="T284" s="103">
        <f t="shared" si="103"/>
        <v>6</v>
      </c>
      <c r="U284" s="104" t="str">
        <f t="shared" si="104"/>
        <v>ACEPTAR</v>
      </c>
      <c r="V284" s="82"/>
      <c r="W284" s="105"/>
      <c r="X284" s="81"/>
      <c r="Y284" s="81"/>
      <c r="Z284" s="83"/>
      <c r="AA284" s="81"/>
      <c r="AB284" s="106"/>
      <c r="AC284" s="107">
        <f t="shared" si="111"/>
        <v>3</v>
      </c>
      <c r="AD284" s="81">
        <f t="shared" si="112"/>
        <v>2</v>
      </c>
      <c r="AE284" s="103">
        <f t="shared" si="105"/>
        <v>6</v>
      </c>
      <c r="AF284" s="98" t="str">
        <f t="shared" si="109"/>
        <v/>
      </c>
      <c r="AG284" s="97"/>
      <c r="AH284" s="97"/>
    </row>
    <row r="285" spans="1:34" s="27" customFormat="1" ht="100.8" hidden="1">
      <c r="A285" s="28"/>
      <c r="B285" s="29" t="s">
        <v>1664</v>
      </c>
      <c r="C285" s="81" t="s">
        <v>285</v>
      </c>
      <c r="D285" s="81" t="s">
        <v>1665</v>
      </c>
      <c r="E285" s="81" t="s">
        <v>1121</v>
      </c>
      <c r="F285" s="81" t="s">
        <v>1666</v>
      </c>
      <c r="G285" s="81" t="s">
        <v>1381</v>
      </c>
      <c r="H285" s="98">
        <v>3</v>
      </c>
      <c r="I285" s="99" t="s">
        <v>1661</v>
      </c>
      <c r="J285" s="40" t="s">
        <v>1667</v>
      </c>
      <c r="K285" s="39" t="s">
        <v>1663</v>
      </c>
      <c r="L285" s="102"/>
      <c r="M285" s="81"/>
      <c r="N285" s="81"/>
      <c r="O285" s="81"/>
      <c r="P285" s="100"/>
      <c r="Q285" s="101">
        <v>3</v>
      </c>
      <c r="R285" s="53">
        <f t="shared" si="110"/>
        <v>3</v>
      </c>
      <c r="S285" s="81">
        <v>1</v>
      </c>
      <c r="T285" s="103">
        <f t="shared" si="103"/>
        <v>3</v>
      </c>
      <c r="U285" s="104" t="str">
        <f t="shared" si="104"/>
        <v>ACEPTAR</v>
      </c>
      <c r="V285" s="82"/>
      <c r="W285" s="105"/>
      <c r="X285" s="81"/>
      <c r="Y285" s="81"/>
      <c r="Z285" s="83"/>
      <c r="AA285" s="81"/>
      <c r="AB285" s="106"/>
      <c r="AC285" s="107">
        <f t="shared" si="111"/>
        <v>3</v>
      </c>
      <c r="AD285" s="81">
        <f t="shared" si="112"/>
        <v>1</v>
      </c>
      <c r="AE285" s="103">
        <f t="shared" si="105"/>
        <v>3</v>
      </c>
      <c r="AF285" s="98" t="str">
        <f t="shared" si="109"/>
        <v/>
      </c>
      <c r="AG285" s="97"/>
      <c r="AH285" s="97"/>
    </row>
    <row r="286" spans="1:34" s="27" customFormat="1" ht="86.4">
      <c r="A286" s="28"/>
      <c r="B286" s="29" t="s">
        <v>1668</v>
      </c>
      <c r="C286" s="81" t="s">
        <v>86</v>
      </c>
      <c r="D286" s="81" t="s">
        <v>1669</v>
      </c>
      <c r="E286" s="81" t="s">
        <v>1670</v>
      </c>
      <c r="F286" s="81" t="s">
        <v>1671</v>
      </c>
      <c r="G286" s="81" t="s">
        <v>1389</v>
      </c>
      <c r="H286" s="98">
        <v>3</v>
      </c>
      <c r="I286" s="99" t="s">
        <v>1672</v>
      </c>
      <c r="J286" s="40" t="s">
        <v>1567</v>
      </c>
      <c r="K286" s="39" t="s">
        <v>124</v>
      </c>
      <c r="L286" s="102"/>
      <c r="M286" s="81"/>
      <c r="N286" s="81"/>
      <c r="O286" s="81"/>
      <c r="P286" s="100"/>
      <c r="Q286" s="101">
        <v>3</v>
      </c>
      <c r="R286" s="53">
        <f t="shared" si="110"/>
        <v>3</v>
      </c>
      <c r="S286" s="81">
        <v>3</v>
      </c>
      <c r="T286" s="103">
        <f t="shared" si="103"/>
        <v>9</v>
      </c>
      <c r="U286" s="104" t="str">
        <f t="shared" si="104"/>
        <v>MITIGAR</v>
      </c>
      <c r="V286" s="82" t="s">
        <v>1405</v>
      </c>
      <c r="W286" s="105"/>
      <c r="X286" s="81" t="s">
        <v>1406</v>
      </c>
      <c r="Y286" s="81" t="s">
        <v>782</v>
      </c>
      <c r="Z286" s="83" t="s">
        <v>739</v>
      </c>
      <c r="AA286" s="81"/>
      <c r="AB286" s="106"/>
      <c r="AC286" s="107">
        <f t="shared" si="111"/>
        <v>3</v>
      </c>
      <c r="AD286" s="81">
        <f t="shared" si="112"/>
        <v>3</v>
      </c>
      <c r="AE286" s="103">
        <f t="shared" si="105"/>
        <v>9</v>
      </c>
      <c r="AF286" s="98" t="str">
        <f t="shared" si="109"/>
        <v>INSUFICIENTE</v>
      </c>
      <c r="AG286" s="97"/>
      <c r="AH286" s="97"/>
    </row>
    <row r="287" spans="1:34" s="27" customFormat="1" ht="100.8" hidden="1">
      <c r="A287" s="28"/>
      <c r="B287" s="29" t="s">
        <v>1673</v>
      </c>
      <c r="C287" s="81" t="s">
        <v>285</v>
      </c>
      <c r="D287" s="81" t="s">
        <v>1674</v>
      </c>
      <c r="E287" s="81" t="s">
        <v>1121</v>
      </c>
      <c r="F287" s="81" t="s">
        <v>1666</v>
      </c>
      <c r="G287" s="81" t="s">
        <v>1381</v>
      </c>
      <c r="H287" s="98">
        <v>3</v>
      </c>
      <c r="I287" s="99" t="s">
        <v>1675</v>
      </c>
      <c r="J287" s="40" t="s">
        <v>1567</v>
      </c>
      <c r="K287" s="39" t="s">
        <v>1663</v>
      </c>
      <c r="L287" s="102">
        <v>3</v>
      </c>
      <c r="M287" s="81">
        <v>3</v>
      </c>
      <c r="N287" s="81">
        <v>3</v>
      </c>
      <c r="O287" s="81">
        <v>3</v>
      </c>
      <c r="P287" s="100">
        <v>3</v>
      </c>
      <c r="Q287" s="101"/>
      <c r="R287" s="53">
        <f t="shared" si="110"/>
        <v>3</v>
      </c>
      <c r="S287" s="81">
        <v>2</v>
      </c>
      <c r="T287" s="103">
        <f t="shared" si="103"/>
        <v>6</v>
      </c>
      <c r="U287" s="104" t="str">
        <f t="shared" si="104"/>
        <v>ACEPTAR</v>
      </c>
      <c r="V287" s="82"/>
      <c r="W287" s="105"/>
      <c r="X287" s="81"/>
      <c r="Y287" s="81"/>
      <c r="Z287" s="83"/>
      <c r="AA287" s="81"/>
      <c r="AB287" s="106"/>
      <c r="AC287" s="107">
        <f t="shared" si="111"/>
        <v>3</v>
      </c>
      <c r="AD287" s="81">
        <f t="shared" si="112"/>
        <v>2</v>
      </c>
      <c r="AE287" s="103">
        <f t="shared" si="105"/>
        <v>6</v>
      </c>
      <c r="AF287" s="98" t="str">
        <f t="shared" si="109"/>
        <v/>
      </c>
      <c r="AG287" s="97"/>
      <c r="AH287" s="97"/>
    </row>
    <row r="288" spans="1:34" s="27" customFormat="1" ht="100.8" hidden="1">
      <c r="A288" s="28"/>
      <c r="B288" s="29" t="s">
        <v>1676</v>
      </c>
      <c r="C288" s="81" t="s">
        <v>285</v>
      </c>
      <c r="D288" s="81" t="s">
        <v>1677</v>
      </c>
      <c r="E288" s="81" t="s">
        <v>1678</v>
      </c>
      <c r="F288" s="81" t="s">
        <v>1666</v>
      </c>
      <c r="G288" s="81" t="s">
        <v>1389</v>
      </c>
      <c r="H288" s="98">
        <v>3</v>
      </c>
      <c r="I288" s="99" t="s">
        <v>1679</v>
      </c>
      <c r="J288" s="40" t="s">
        <v>1680</v>
      </c>
      <c r="K288" s="39" t="s">
        <v>124</v>
      </c>
      <c r="L288" s="102"/>
      <c r="M288" s="81"/>
      <c r="N288" s="81"/>
      <c r="O288" s="81"/>
      <c r="P288" s="100"/>
      <c r="Q288" s="101">
        <v>3</v>
      </c>
      <c r="R288" s="53">
        <f t="shared" si="110"/>
        <v>3</v>
      </c>
      <c r="S288" s="81">
        <v>2</v>
      </c>
      <c r="T288" s="103">
        <f t="shared" si="103"/>
        <v>6</v>
      </c>
      <c r="U288" s="104" t="str">
        <f t="shared" si="104"/>
        <v>ACEPTAR</v>
      </c>
      <c r="V288" s="82"/>
      <c r="W288" s="105"/>
      <c r="X288" s="81"/>
      <c r="Y288" s="81"/>
      <c r="Z288" s="83"/>
      <c r="AA288" s="81"/>
      <c r="AB288" s="106"/>
      <c r="AC288" s="107">
        <f t="shared" si="111"/>
        <v>3</v>
      </c>
      <c r="AD288" s="81">
        <f t="shared" si="112"/>
        <v>2</v>
      </c>
      <c r="AE288" s="103">
        <f t="shared" si="105"/>
        <v>6</v>
      </c>
      <c r="AF288" s="98" t="str">
        <f t="shared" si="109"/>
        <v/>
      </c>
      <c r="AG288" s="97"/>
      <c r="AH288" s="97"/>
    </row>
    <row r="289" spans="1:34" s="27" customFormat="1" ht="57.6" hidden="1">
      <c r="A289" s="28"/>
      <c r="B289" s="29" t="s">
        <v>1681</v>
      </c>
      <c r="C289" s="81" t="s">
        <v>1682</v>
      </c>
      <c r="D289" s="81" t="s">
        <v>1683</v>
      </c>
      <c r="E289" s="81" t="s">
        <v>1684</v>
      </c>
      <c r="F289" s="81" t="s">
        <v>1218</v>
      </c>
      <c r="G289" s="81" t="s">
        <v>1381</v>
      </c>
      <c r="H289" s="98">
        <v>3</v>
      </c>
      <c r="I289" s="99" t="s">
        <v>1685</v>
      </c>
      <c r="J289" s="40" t="s">
        <v>1208</v>
      </c>
      <c r="K289" s="39" t="s">
        <v>124</v>
      </c>
      <c r="L289" s="102"/>
      <c r="M289" s="81"/>
      <c r="N289" s="81"/>
      <c r="O289" s="81"/>
      <c r="P289" s="100"/>
      <c r="Q289" s="101">
        <v>3</v>
      </c>
      <c r="R289" s="53">
        <f t="shared" si="110"/>
        <v>3</v>
      </c>
      <c r="S289" s="81">
        <v>1</v>
      </c>
      <c r="T289" s="103">
        <f t="shared" si="103"/>
        <v>3</v>
      </c>
      <c r="U289" s="104" t="str">
        <f t="shared" si="104"/>
        <v>ACEPTAR</v>
      </c>
      <c r="V289" s="82"/>
      <c r="W289" s="105"/>
      <c r="X289" s="81"/>
      <c r="Y289" s="81"/>
      <c r="Z289" s="83"/>
      <c r="AA289" s="81"/>
      <c r="AB289" s="106"/>
      <c r="AC289" s="107">
        <f t="shared" si="111"/>
        <v>3</v>
      </c>
      <c r="AD289" s="81">
        <f t="shared" si="112"/>
        <v>1</v>
      </c>
      <c r="AE289" s="103">
        <f t="shared" si="105"/>
        <v>3</v>
      </c>
      <c r="AF289" s="98" t="str">
        <f t="shared" si="109"/>
        <v/>
      </c>
      <c r="AG289" s="97"/>
      <c r="AH289" s="97"/>
    </row>
    <row r="290" spans="1:34" s="27" customFormat="1" ht="57.6">
      <c r="A290" s="28"/>
      <c r="B290" s="29" t="s">
        <v>1686</v>
      </c>
      <c r="C290" s="81" t="s">
        <v>1682</v>
      </c>
      <c r="D290" s="81" t="s">
        <v>1687</v>
      </c>
      <c r="E290" s="81" t="s">
        <v>1684</v>
      </c>
      <c r="F290" s="81" t="s">
        <v>1218</v>
      </c>
      <c r="G290" s="81" t="s">
        <v>1381</v>
      </c>
      <c r="H290" s="98">
        <v>3</v>
      </c>
      <c r="I290" s="99" t="s">
        <v>1685</v>
      </c>
      <c r="J290" s="40" t="s">
        <v>1688</v>
      </c>
      <c r="K290" s="39" t="s">
        <v>1455</v>
      </c>
      <c r="L290" s="102"/>
      <c r="M290" s="81"/>
      <c r="N290" s="81"/>
      <c r="O290" s="81"/>
      <c r="P290" s="100"/>
      <c r="Q290" s="101">
        <v>3</v>
      </c>
      <c r="R290" s="53">
        <f t="shared" si="110"/>
        <v>3</v>
      </c>
      <c r="S290" s="81">
        <v>1</v>
      </c>
      <c r="T290" s="103">
        <f t="shared" si="103"/>
        <v>3</v>
      </c>
      <c r="U290" s="104" t="s">
        <v>108</v>
      </c>
      <c r="V290" s="82"/>
      <c r="W290" s="105"/>
      <c r="X290" s="81"/>
      <c r="Y290" s="81"/>
      <c r="Z290" s="83"/>
      <c r="AA290" s="81"/>
      <c r="AB290" s="106"/>
      <c r="AC290" s="107">
        <f t="shared" si="111"/>
        <v>3</v>
      </c>
      <c r="AD290" s="81">
        <f t="shared" si="112"/>
        <v>1</v>
      </c>
      <c r="AE290" s="103">
        <f t="shared" si="105"/>
        <v>3</v>
      </c>
      <c r="AF290" s="98" t="str">
        <f t="shared" si="109"/>
        <v/>
      </c>
      <c r="AG290" s="97"/>
      <c r="AH290" s="97"/>
    </row>
    <row r="291" spans="1:34" s="27" customFormat="1" ht="57.6">
      <c r="A291" s="28"/>
      <c r="B291" s="29" t="s">
        <v>1689</v>
      </c>
      <c r="C291" s="81" t="s">
        <v>86</v>
      </c>
      <c r="D291" s="81" t="s">
        <v>1690</v>
      </c>
      <c r="E291" s="81" t="s">
        <v>1684</v>
      </c>
      <c r="F291" s="81" t="s">
        <v>1218</v>
      </c>
      <c r="G291" s="81" t="s">
        <v>1389</v>
      </c>
      <c r="H291" s="98">
        <v>3</v>
      </c>
      <c r="I291" s="99" t="s">
        <v>1691</v>
      </c>
      <c r="J291" s="40" t="s">
        <v>1692</v>
      </c>
      <c r="K291" s="39" t="s">
        <v>1209</v>
      </c>
      <c r="L291" s="102"/>
      <c r="M291" s="81"/>
      <c r="N291" s="81"/>
      <c r="O291" s="81"/>
      <c r="P291" s="100"/>
      <c r="Q291" s="101">
        <v>3</v>
      </c>
      <c r="R291" s="53">
        <f t="shared" si="110"/>
        <v>3</v>
      </c>
      <c r="S291" s="81">
        <v>3</v>
      </c>
      <c r="T291" s="103">
        <f t="shared" si="103"/>
        <v>9</v>
      </c>
      <c r="U291" s="104" t="str">
        <f t="shared" si="104"/>
        <v>MITIGAR</v>
      </c>
      <c r="V291" s="82" t="s">
        <v>1405</v>
      </c>
      <c r="W291" s="105"/>
      <c r="X291" s="81" t="s">
        <v>1406</v>
      </c>
      <c r="Y291" s="81" t="s">
        <v>782</v>
      </c>
      <c r="Z291" s="83" t="s">
        <v>739</v>
      </c>
      <c r="AA291" s="81"/>
      <c r="AB291" s="106"/>
      <c r="AC291" s="107">
        <f t="shared" si="111"/>
        <v>3</v>
      </c>
      <c r="AD291" s="81">
        <f t="shared" si="112"/>
        <v>3</v>
      </c>
      <c r="AE291" s="103">
        <f t="shared" si="105"/>
        <v>9</v>
      </c>
      <c r="AF291" s="98" t="str">
        <f t="shared" si="109"/>
        <v>INSUFICIENTE</v>
      </c>
      <c r="AG291" s="97"/>
      <c r="AH291" s="97"/>
    </row>
    <row r="292" spans="1:34" s="27" customFormat="1" ht="57.6" hidden="1">
      <c r="A292" s="28"/>
      <c r="B292" s="29" t="s">
        <v>1693</v>
      </c>
      <c r="C292" s="81" t="s">
        <v>86</v>
      </c>
      <c r="D292" s="81" t="s">
        <v>1694</v>
      </c>
      <c r="E292" s="81" t="s">
        <v>1684</v>
      </c>
      <c r="F292" s="81" t="s">
        <v>1218</v>
      </c>
      <c r="G292" s="81" t="s">
        <v>1389</v>
      </c>
      <c r="H292" s="98">
        <v>3</v>
      </c>
      <c r="I292" s="99" t="s">
        <v>1695</v>
      </c>
      <c r="J292" s="40" t="s">
        <v>1252</v>
      </c>
      <c r="K292" s="39" t="s">
        <v>1253</v>
      </c>
      <c r="L292" s="102"/>
      <c r="M292" s="81"/>
      <c r="N292" s="81"/>
      <c r="O292" s="81"/>
      <c r="P292" s="100"/>
      <c r="Q292" s="101">
        <v>4</v>
      </c>
      <c r="R292" s="53">
        <f t="shared" si="110"/>
        <v>4</v>
      </c>
      <c r="S292" s="81">
        <v>1</v>
      </c>
      <c r="T292" s="103">
        <f t="shared" si="103"/>
        <v>4</v>
      </c>
      <c r="U292" s="104" t="str">
        <f t="shared" si="104"/>
        <v>ACEPTAR</v>
      </c>
      <c r="V292" s="82"/>
      <c r="W292" s="105"/>
      <c r="X292" s="81"/>
      <c r="Y292" s="81"/>
      <c r="Z292" s="83"/>
      <c r="AA292" s="81"/>
      <c r="AB292" s="106"/>
      <c r="AC292" s="107">
        <f t="shared" si="111"/>
        <v>4</v>
      </c>
      <c r="AD292" s="81">
        <f t="shared" si="112"/>
        <v>1</v>
      </c>
      <c r="AE292" s="103">
        <f t="shared" si="105"/>
        <v>4</v>
      </c>
      <c r="AF292" s="98" t="str">
        <f t="shared" si="109"/>
        <v/>
      </c>
      <c r="AG292" s="97"/>
      <c r="AH292" s="97"/>
    </row>
    <row r="293" spans="1:34" s="27" customFormat="1" ht="57.6" hidden="1">
      <c r="A293" s="28"/>
      <c r="B293" s="29" t="s">
        <v>1696</v>
      </c>
      <c r="C293" s="81" t="s">
        <v>86</v>
      </c>
      <c r="D293" s="81" t="s">
        <v>1697</v>
      </c>
      <c r="E293" s="81" t="s">
        <v>1698</v>
      </c>
      <c r="F293" s="81" t="s">
        <v>1699</v>
      </c>
      <c r="G293" s="81" t="s">
        <v>1700</v>
      </c>
      <c r="H293" s="98">
        <v>3</v>
      </c>
      <c r="I293" s="99" t="s">
        <v>1701</v>
      </c>
      <c r="J293" s="40" t="s">
        <v>1702</v>
      </c>
      <c r="K293" s="39" t="s">
        <v>633</v>
      </c>
      <c r="L293" s="102"/>
      <c r="M293" s="81"/>
      <c r="N293" s="81"/>
      <c r="O293" s="81"/>
      <c r="P293" s="100"/>
      <c r="Q293" s="101">
        <v>2</v>
      </c>
      <c r="R293" s="53">
        <f t="shared" si="110"/>
        <v>2</v>
      </c>
      <c r="S293" s="81">
        <v>1</v>
      </c>
      <c r="T293" s="103">
        <f t="shared" si="103"/>
        <v>2</v>
      </c>
      <c r="U293" s="104" t="str">
        <f t="shared" si="104"/>
        <v>ACEPTAR</v>
      </c>
      <c r="V293" s="82"/>
      <c r="W293" s="105"/>
      <c r="X293" s="81"/>
      <c r="Y293" s="81"/>
      <c r="Z293" s="83"/>
      <c r="AA293" s="81"/>
      <c r="AB293" s="106"/>
      <c r="AC293" s="107">
        <f t="shared" si="111"/>
        <v>2</v>
      </c>
      <c r="AD293" s="81">
        <f t="shared" si="112"/>
        <v>1</v>
      </c>
      <c r="AE293" s="103">
        <f t="shared" si="105"/>
        <v>2</v>
      </c>
      <c r="AF293" s="98" t="str">
        <f t="shared" si="109"/>
        <v/>
      </c>
      <c r="AG293" s="97"/>
      <c r="AH293" s="97"/>
    </row>
    <row r="294" spans="1:34" s="27" customFormat="1" ht="57.6" hidden="1">
      <c r="A294" s="28" t="s">
        <v>1703</v>
      </c>
      <c r="B294" s="29" t="s">
        <v>1704</v>
      </c>
      <c r="C294" s="81" t="s">
        <v>1682</v>
      </c>
      <c r="D294" s="81" t="s">
        <v>1705</v>
      </c>
      <c r="E294" s="81" t="s">
        <v>1706</v>
      </c>
      <c r="F294" s="81" t="s">
        <v>1218</v>
      </c>
      <c r="G294" s="81" t="s">
        <v>1381</v>
      </c>
      <c r="H294" s="98">
        <v>3</v>
      </c>
      <c r="I294" s="99" t="s">
        <v>1707</v>
      </c>
      <c r="J294" s="40" t="s">
        <v>1708</v>
      </c>
      <c r="K294" s="39" t="s">
        <v>1578</v>
      </c>
      <c r="L294" s="102">
        <v>3</v>
      </c>
      <c r="M294" s="81">
        <v>3</v>
      </c>
      <c r="N294" s="81">
        <v>3</v>
      </c>
      <c r="O294" s="81">
        <v>3</v>
      </c>
      <c r="P294" s="100">
        <v>3</v>
      </c>
      <c r="Q294" s="101">
        <v>3</v>
      </c>
      <c r="R294" s="53">
        <f t="shared" si="110"/>
        <v>3</v>
      </c>
      <c r="S294" s="81">
        <v>1</v>
      </c>
      <c r="T294" s="103">
        <f t="shared" si="103"/>
        <v>3</v>
      </c>
      <c r="U294" s="104" t="str">
        <f t="shared" si="104"/>
        <v>ACEPTAR</v>
      </c>
      <c r="V294" s="82"/>
      <c r="W294" s="105"/>
      <c r="X294" s="81"/>
      <c r="Y294" s="81"/>
      <c r="Z294" s="83"/>
      <c r="AA294" s="81"/>
      <c r="AB294" s="106"/>
      <c r="AC294" s="107">
        <f t="shared" si="111"/>
        <v>3</v>
      </c>
      <c r="AD294" s="81">
        <f t="shared" si="112"/>
        <v>1</v>
      </c>
      <c r="AE294" s="103">
        <f t="shared" si="105"/>
        <v>3</v>
      </c>
      <c r="AF294" s="98" t="str">
        <f t="shared" si="109"/>
        <v/>
      </c>
      <c r="AG294" s="97"/>
      <c r="AH294" s="97"/>
    </row>
    <row r="295" spans="1:34" s="27" customFormat="1" ht="57.6">
      <c r="A295" s="28" t="s">
        <v>1703</v>
      </c>
      <c r="B295" s="29" t="s">
        <v>1709</v>
      </c>
      <c r="C295" s="81" t="s">
        <v>86</v>
      </c>
      <c r="D295" s="81" t="s">
        <v>1710</v>
      </c>
      <c r="E295" s="81" t="s">
        <v>1706</v>
      </c>
      <c r="F295" s="81" t="s">
        <v>1218</v>
      </c>
      <c r="G295" s="81" t="s">
        <v>1389</v>
      </c>
      <c r="H295" s="98">
        <v>3</v>
      </c>
      <c r="I295" s="99" t="s">
        <v>1711</v>
      </c>
      <c r="J295" s="40" t="s">
        <v>1245</v>
      </c>
      <c r="K295" s="39" t="s">
        <v>1209</v>
      </c>
      <c r="L295" s="102"/>
      <c r="M295" s="81"/>
      <c r="N295" s="81"/>
      <c r="O295" s="81"/>
      <c r="P295" s="100"/>
      <c r="Q295" s="101">
        <v>3</v>
      </c>
      <c r="R295" s="53">
        <f t="shared" si="110"/>
        <v>3</v>
      </c>
      <c r="S295" s="81">
        <v>3</v>
      </c>
      <c r="T295" s="103">
        <f t="shared" si="103"/>
        <v>9</v>
      </c>
      <c r="U295" s="104" t="str">
        <f t="shared" si="104"/>
        <v>MITIGAR</v>
      </c>
      <c r="V295" s="82" t="s">
        <v>1405</v>
      </c>
      <c r="W295" s="105"/>
      <c r="X295" s="81" t="s">
        <v>1406</v>
      </c>
      <c r="Y295" s="81" t="s">
        <v>782</v>
      </c>
      <c r="Z295" s="83" t="s">
        <v>739</v>
      </c>
      <c r="AA295" s="81"/>
      <c r="AB295" s="106"/>
      <c r="AC295" s="107">
        <f t="shared" si="111"/>
        <v>3</v>
      </c>
      <c r="AD295" s="81">
        <f t="shared" si="112"/>
        <v>3</v>
      </c>
      <c r="AE295" s="103">
        <f t="shared" si="105"/>
        <v>9</v>
      </c>
      <c r="AF295" s="98" t="str">
        <f t="shared" si="109"/>
        <v>INSUFICIENTE</v>
      </c>
      <c r="AG295" s="97"/>
      <c r="AH295" s="97"/>
    </row>
    <row r="296" spans="1:34" s="27" customFormat="1" ht="72" hidden="1">
      <c r="A296" s="28" t="s">
        <v>1703</v>
      </c>
      <c r="B296" s="29" t="s">
        <v>1712</v>
      </c>
      <c r="C296" s="81" t="s">
        <v>86</v>
      </c>
      <c r="D296" s="81" t="s">
        <v>1713</v>
      </c>
      <c r="E296" s="81" t="s">
        <v>1714</v>
      </c>
      <c r="F296" s="81" t="s">
        <v>1715</v>
      </c>
      <c r="G296" s="81" t="s">
        <v>1716</v>
      </c>
      <c r="H296" s="98">
        <v>3</v>
      </c>
      <c r="I296" s="99" t="s">
        <v>1717</v>
      </c>
      <c r="J296" s="40" t="s">
        <v>1208</v>
      </c>
      <c r="K296" s="39" t="s">
        <v>384</v>
      </c>
      <c r="L296" s="102"/>
      <c r="M296" s="81"/>
      <c r="N296" s="81"/>
      <c r="O296" s="81"/>
      <c r="P296" s="100"/>
      <c r="Q296" s="101">
        <v>1</v>
      </c>
      <c r="R296" s="53">
        <f t="shared" si="110"/>
        <v>1</v>
      </c>
      <c r="S296" s="81">
        <v>1</v>
      </c>
      <c r="T296" s="103">
        <f t="shared" si="103"/>
        <v>1</v>
      </c>
      <c r="U296" s="104" t="str">
        <f t="shared" si="104"/>
        <v>ACEPTAR</v>
      </c>
      <c r="V296" s="82"/>
      <c r="W296" s="105"/>
      <c r="X296" s="81"/>
      <c r="Y296" s="81"/>
      <c r="Z296" s="83"/>
      <c r="AA296" s="81"/>
      <c r="AB296" s="106"/>
      <c r="AC296" s="107">
        <f t="shared" si="111"/>
        <v>1</v>
      </c>
      <c r="AD296" s="81">
        <f t="shared" si="112"/>
        <v>1</v>
      </c>
      <c r="AE296" s="103">
        <f t="shared" si="105"/>
        <v>1</v>
      </c>
      <c r="AF296" s="98" t="str">
        <f t="shared" si="109"/>
        <v/>
      </c>
      <c r="AG296" s="97"/>
      <c r="AH296" s="97"/>
    </row>
    <row r="297" spans="1:34" s="27" customFormat="1" ht="72" hidden="1">
      <c r="A297" s="28" t="s">
        <v>1703</v>
      </c>
      <c r="B297" s="29" t="s">
        <v>1718</v>
      </c>
      <c r="C297" s="81" t="s">
        <v>1682</v>
      </c>
      <c r="D297" s="81" t="s">
        <v>1719</v>
      </c>
      <c r="E297" s="81" t="s">
        <v>1720</v>
      </c>
      <c r="F297" s="81" t="s">
        <v>1109</v>
      </c>
      <c r="G297" s="81" t="s">
        <v>1381</v>
      </c>
      <c r="H297" s="98">
        <v>3</v>
      </c>
      <c r="I297" s="99" t="s">
        <v>1721</v>
      </c>
      <c r="J297" s="40" t="s">
        <v>1266</v>
      </c>
      <c r="K297" s="39" t="s">
        <v>1722</v>
      </c>
      <c r="L297" s="102">
        <v>3</v>
      </c>
      <c r="M297" s="81">
        <v>3</v>
      </c>
      <c r="N297" s="81">
        <v>3</v>
      </c>
      <c r="O297" s="81">
        <v>3</v>
      </c>
      <c r="P297" s="81">
        <v>3</v>
      </c>
      <c r="Q297" s="101"/>
      <c r="R297" s="53">
        <f t="shared" si="110"/>
        <v>3</v>
      </c>
      <c r="S297" s="81">
        <v>1</v>
      </c>
      <c r="T297" s="103">
        <f t="shared" si="103"/>
        <v>3</v>
      </c>
      <c r="U297" s="104" t="str">
        <f t="shared" si="104"/>
        <v>ACEPTAR</v>
      </c>
      <c r="V297" s="82"/>
      <c r="W297" s="105"/>
      <c r="X297" s="81"/>
      <c r="Y297" s="81"/>
      <c r="Z297" s="83"/>
      <c r="AA297" s="81"/>
      <c r="AB297" s="106"/>
      <c r="AC297" s="107">
        <f t="shared" si="111"/>
        <v>3</v>
      </c>
      <c r="AD297" s="81">
        <f t="shared" si="112"/>
        <v>1</v>
      </c>
      <c r="AE297" s="103">
        <f t="shared" si="105"/>
        <v>3</v>
      </c>
      <c r="AF297" s="98" t="str">
        <f t="shared" si="109"/>
        <v/>
      </c>
      <c r="AG297" s="97"/>
      <c r="AH297" s="97"/>
    </row>
  </sheetData>
  <autoFilter ref="U1:U297" xr:uid="{C679EDBC-0486-44D6-969A-2E556B0A4BA6}">
    <filterColumn colId="0">
      <filters>
        <filter val="MITIGAR"/>
      </filters>
    </filterColumn>
  </autoFilter>
  <mergeCells count="9">
    <mergeCell ref="A1:A2"/>
    <mergeCell ref="R2:U2"/>
    <mergeCell ref="V2:AB2"/>
    <mergeCell ref="AC2:AF2"/>
    <mergeCell ref="B2:H2"/>
    <mergeCell ref="B1:C1"/>
    <mergeCell ref="D1:E1"/>
    <mergeCell ref="I2:K2"/>
    <mergeCell ref="L2:Q2"/>
  </mergeCells>
  <phoneticPr fontId="33" type="noConversion"/>
  <conditionalFormatting sqref="T4:T297 AE4:AE297">
    <cfRule type="cellIs" dxfId="5" priority="130" operator="between">
      <formula>8</formula>
      <formula>9</formula>
    </cfRule>
    <cfRule type="cellIs" dxfId="4" priority="131" operator="greaterThanOrEqual">
      <formula>10</formula>
    </cfRule>
    <cfRule type="cellIs" dxfId="3" priority="132" operator="lessThan">
      <formula>8</formula>
    </cfRule>
  </conditionalFormatting>
  <dataValidations count="3">
    <dataValidation type="list" allowBlank="1" showErrorMessage="1" sqref="AC4:AD297 R4:R297" xr:uid="{2FE64779-82D8-4EDD-971E-3BEED264C006}">
      <formula1>IMPACTO</formula1>
    </dataValidation>
    <dataValidation type="list" allowBlank="1" sqref="S4:S297" xr:uid="{D8F5D55F-BDE1-4CC4-82E4-33282BA9BC3A}">
      <formula1>PROBABILIDAD</formula1>
    </dataValidation>
    <dataValidation type="list" allowBlank="1" showErrorMessage="1" sqref="U4:U297" xr:uid="{1F125674-8F24-4085-A37F-9530D1B5D1BD}">
      <formula1>TRATAMIENTO</formula1>
    </dataValidation>
  </dataValidations>
  <printOptions horizontalCentered="1" verticalCentered="1"/>
  <pageMargins left="0.39370078740157483" right="0.39370078740157483" top="0.82677165354330717" bottom="0.39370078740157483" header="0" footer="0"/>
  <pageSetup paperSize="9" scale="22" fitToHeight="0" orientation="landscape" r:id="rId1"/>
  <headerFooter>
    <oddFooter>&amp;RPàgina &amp;P de</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85AB-F013-4A86-BD85-A45F984DC416}">
  <sheetPr>
    <pageSetUpPr fitToPage="1"/>
  </sheetPr>
  <dimension ref="A1:Z1015"/>
  <sheetViews>
    <sheetView workbookViewId="0">
      <selection activeCell="D6" sqref="D6"/>
    </sheetView>
  </sheetViews>
  <sheetFormatPr defaultColWidth="14.44140625" defaultRowHeight="15" customHeight="1"/>
  <cols>
    <col min="1" max="1" width="33.88671875" style="58" customWidth="1"/>
    <col min="2" max="6" width="34" style="58" customWidth="1"/>
    <col min="7" max="7" width="19.109375" style="58" customWidth="1"/>
    <col min="8" max="26" width="11.44140625" style="58" customWidth="1"/>
    <col min="27" max="16384" width="14.44140625" style="58"/>
  </cols>
  <sheetData>
    <row r="1" spans="1:26" ht="50.4" customHeight="1">
      <c r="A1" s="57"/>
      <c r="B1" s="157" t="s">
        <v>1723</v>
      </c>
      <c r="C1" s="158"/>
      <c r="D1" s="158"/>
      <c r="E1" s="158"/>
      <c r="F1" s="159"/>
      <c r="G1" s="57"/>
      <c r="H1" s="57"/>
      <c r="I1" s="57"/>
      <c r="J1" s="57"/>
      <c r="K1" s="57"/>
      <c r="L1" s="57"/>
      <c r="M1" s="57"/>
      <c r="N1" s="57"/>
      <c r="O1" s="57"/>
      <c r="P1" s="57"/>
      <c r="Q1" s="57"/>
      <c r="R1" s="57"/>
      <c r="S1" s="57"/>
      <c r="T1" s="57"/>
      <c r="U1" s="57"/>
      <c r="V1" s="57"/>
      <c r="W1" s="57"/>
      <c r="X1" s="57"/>
      <c r="Y1" s="57"/>
      <c r="Z1" s="57"/>
    </row>
    <row r="2" spans="1:26" ht="15" customHeight="1" thickBot="1"/>
    <row r="3" spans="1:26" ht="25.2" customHeight="1" thickBot="1">
      <c r="A3" s="160" t="s">
        <v>1724</v>
      </c>
      <c r="B3" s="161"/>
      <c r="C3" s="161"/>
      <c r="D3" s="161"/>
      <c r="E3" s="161"/>
      <c r="F3" s="162"/>
      <c r="G3" s="59"/>
      <c r="H3" s="59"/>
      <c r="I3" s="59"/>
      <c r="J3" s="59"/>
      <c r="K3" s="59"/>
      <c r="L3" s="59"/>
      <c r="M3" s="59"/>
      <c r="N3" s="59"/>
      <c r="O3" s="59"/>
      <c r="P3" s="59"/>
      <c r="Q3" s="59"/>
      <c r="R3" s="59"/>
      <c r="S3" s="59"/>
      <c r="T3" s="59"/>
      <c r="U3" s="59"/>
      <c r="V3" s="59"/>
      <c r="W3" s="59"/>
      <c r="X3" s="59"/>
      <c r="Y3" s="59"/>
      <c r="Z3" s="59"/>
    </row>
    <row r="4" spans="1:26" ht="20.399999999999999" customHeight="1" thickBot="1">
      <c r="A4" s="60"/>
      <c r="B4" s="61" t="s">
        <v>1725</v>
      </c>
      <c r="C4" s="61" t="s">
        <v>1726</v>
      </c>
      <c r="D4" s="61" t="s">
        <v>1727</v>
      </c>
      <c r="E4" s="61" t="s">
        <v>1728</v>
      </c>
      <c r="F4" s="61" t="s">
        <v>1729</v>
      </c>
      <c r="G4" s="59"/>
      <c r="H4" s="59"/>
      <c r="I4" s="59"/>
      <c r="J4" s="59"/>
      <c r="K4" s="59"/>
      <c r="L4" s="59"/>
      <c r="M4" s="59"/>
      <c r="N4" s="59"/>
      <c r="O4" s="59"/>
      <c r="P4" s="59"/>
      <c r="Q4" s="59"/>
      <c r="R4" s="59"/>
      <c r="S4" s="59"/>
      <c r="T4" s="59"/>
      <c r="U4" s="59"/>
      <c r="V4" s="59"/>
      <c r="W4" s="59"/>
      <c r="X4" s="59"/>
      <c r="Y4" s="59"/>
      <c r="Z4" s="59"/>
    </row>
    <row r="5" spans="1:26" ht="31.95" customHeight="1">
      <c r="A5" s="163" t="s">
        <v>1730</v>
      </c>
      <c r="B5" s="62" t="s">
        <v>1731</v>
      </c>
      <c r="C5" s="62" t="s">
        <v>1732</v>
      </c>
      <c r="D5" s="62" t="s">
        <v>1733</v>
      </c>
      <c r="E5" s="62" t="s">
        <v>1734</v>
      </c>
      <c r="F5" s="62" t="s">
        <v>1735</v>
      </c>
      <c r="G5" s="59"/>
      <c r="H5" s="59"/>
      <c r="I5" s="59"/>
      <c r="J5" s="59"/>
      <c r="K5" s="59"/>
      <c r="L5" s="59"/>
      <c r="M5" s="59"/>
      <c r="N5" s="59"/>
      <c r="O5" s="59"/>
      <c r="P5" s="59"/>
      <c r="Q5" s="59"/>
      <c r="R5" s="59"/>
      <c r="S5" s="59"/>
      <c r="T5" s="59"/>
      <c r="U5" s="59"/>
      <c r="V5" s="59"/>
      <c r="W5" s="59"/>
      <c r="X5" s="59"/>
      <c r="Y5" s="59"/>
      <c r="Z5" s="59"/>
    </row>
    <row r="6" spans="1:26" ht="44.4" customHeight="1">
      <c r="A6" s="164"/>
      <c r="B6" s="62" t="s">
        <v>1736</v>
      </c>
      <c r="C6" s="62" t="s">
        <v>1737</v>
      </c>
      <c r="D6" s="62" t="s">
        <v>1738</v>
      </c>
      <c r="E6" s="62" t="s">
        <v>1739</v>
      </c>
      <c r="F6" s="62" t="s">
        <v>1740</v>
      </c>
      <c r="G6" s="59"/>
      <c r="H6" s="59"/>
      <c r="I6" s="59"/>
      <c r="J6" s="59"/>
      <c r="K6" s="59"/>
      <c r="L6" s="59"/>
      <c r="M6" s="59"/>
      <c r="N6" s="59"/>
      <c r="O6" s="59"/>
      <c r="P6" s="59"/>
      <c r="Q6" s="59"/>
      <c r="R6" s="59"/>
      <c r="S6" s="59"/>
      <c r="T6" s="59"/>
      <c r="U6" s="59"/>
      <c r="V6" s="59"/>
      <c r="W6" s="59"/>
      <c r="X6" s="59"/>
      <c r="Y6" s="59"/>
      <c r="Z6" s="59"/>
    </row>
    <row r="7" spans="1:26" ht="33" customHeight="1" thickBot="1">
      <c r="A7" s="165"/>
      <c r="B7" s="64"/>
      <c r="C7" s="65" t="s">
        <v>1741</v>
      </c>
      <c r="D7" s="64"/>
      <c r="E7" s="64"/>
      <c r="F7" s="64"/>
      <c r="G7" s="59"/>
      <c r="H7" s="59"/>
      <c r="I7" s="59"/>
      <c r="J7" s="59"/>
      <c r="K7" s="59"/>
      <c r="L7" s="59"/>
      <c r="M7" s="59"/>
      <c r="N7" s="59"/>
      <c r="O7" s="59"/>
      <c r="P7" s="59"/>
      <c r="Q7" s="59"/>
      <c r="R7" s="59"/>
      <c r="S7" s="59"/>
      <c r="T7" s="59"/>
      <c r="U7" s="59"/>
      <c r="V7" s="59"/>
      <c r="W7" s="59"/>
      <c r="X7" s="59"/>
      <c r="Y7" s="59"/>
      <c r="Z7" s="59"/>
    </row>
    <row r="8" spans="1:26" ht="59.4" customHeight="1">
      <c r="A8" s="163" t="s">
        <v>1742</v>
      </c>
      <c r="B8" s="166" t="s">
        <v>1743</v>
      </c>
      <c r="C8" s="62" t="s">
        <v>1744</v>
      </c>
      <c r="D8" s="62" t="s">
        <v>1745</v>
      </c>
      <c r="E8" s="62" t="s">
        <v>1746</v>
      </c>
      <c r="F8" s="62" t="s">
        <v>1747</v>
      </c>
      <c r="G8" s="59"/>
      <c r="H8" s="59"/>
      <c r="I8" s="59"/>
      <c r="J8" s="59"/>
      <c r="K8" s="59"/>
      <c r="L8" s="59"/>
      <c r="M8" s="59"/>
      <c r="N8" s="59"/>
      <c r="O8" s="59"/>
      <c r="P8" s="59"/>
      <c r="Q8" s="59"/>
      <c r="R8" s="59"/>
      <c r="S8" s="59"/>
      <c r="T8" s="59"/>
      <c r="U8" s="59"/>
      <c r="V8" s="59"/>
      <c r="W8" s="59"/>
      <c r="X8" s="59"/>
      <c r="Y8" s="59"/>
      <c r="Z8" s="59"/>
    </row>
    <row r="9" spans="1:26" ht="42" customHeight="1" thickBot="1">
      <c r="A9" s="165"/>
      <c r="B9" s="167"/>
      <c r="C9" s="65" t="s">
        <v>1748</v>
      </c>
      <c r="D9" s="65" t="s">
        <v>1749</v>
      </c>
      <c r="E9" s="65" t="s">
        <v>1750</v>
      </c>
      <c r="F9" s="65" t="s">
        <v>1751</v>
      </c>
      <c r="G9" s="59"/>
      <c r="H9" s="59"/>
      <c r="I9" s="59"/>
      <c r="J9" s="59"/>
      <c r="K9" s="59"/>
      <c r="L9" s="59"/>
      <c r="M9" s="59"/>
      <c r="N9" s="59"/>
      <c r="O9" s="59"/>
      <c r="P9" s="59"/>
      <c r="Q9" s="59"/>
      <c r="R9" s="59"/>
      <c r="S9" s="59"/>
      <c r="T9" s="59"/>
      <c r="U9" s="59"/>
      <c r="V9" s="59"/>
      <c r="W9" s="59"/>
      <c r="X9" s="59"/>
      <c r="Y9" s="59"/>
      <c r="Z9" s="59"/>
    </row>
    <row r="10" spans="1:26" ht="49.95" customHeight="1" thickBot="1">
      <c r="A10" s="63" t="s">
        <v>1752</v>
      </c>
      <c r="B10" s="65" t="s">
        <v>1753</v>
      </c>
      <c r="C10" s="65" t="s">
        <v>1754</v>
      </c>
      <c r="D10" s="65" t="s">
        <v>1755</v>
      </c>
      <c r="E10" s="65" t="s">
        <v>1756</v>
      </c>
      <c r="F10" s="65" t="s">
        <v>1757</v>
      </c>
      <c r="G10" s="59"/>
      <c r="H10" s="59"/>
      <c r="I10" s="59"/>
      <c r="J10" s="59"/>
      <c r="K10" s="59"/>
      <c r="L10" s="59"/>
      <c r="M10" s="59"/>
      <c r="N10" s="59"/>
      <c r="O10" s="59"/>
      <c r="P10" s="59"/>
      <c r="Q10" s="59"/>
      <c r="R10" s="59"/>
      <c r="S10" s="59"/>
      <c r="T10" s="59"/>
      <c r="U10" s="59"/>
      <c r="V10" s="59"/>
      <c r="W10" s="59"/>
      <c r="X10" s="59"/>
      <c r="Y10" s="59"/>
      <c r="Z10" s="59"/>
    </row>
    <row r="11" spans="1:26" ht="39" customHeight="1" thickBot="1">
      <c r="A11" s="63" t="s">
        <v>1758</v>
      </c>
      <c r="B11" s="65" t="s">
        <v>1759</v>
      </c>
      <c r="C11" s="65" t="s">
        <v>1760</v>
      </c>
      <c r="D11" s="65" t="s">
        <v>1761</v>
      </c>
      <c r="E11" s="65" t="s">
        <v>1762</v>
      </c>
      <c r="F11" s="65" t="s">
        <v>1763</v>
      </c>
      <c r="G11" s="59"/>
      <c r="H11" s="59"/>
      <c r="I11" s="59"/>
      <c r="J11" s="59"/>
      <c r="K11" s="59"/>
      <c r="L11" s="59"/>
      <c r="M11" s="59"/>
      <c r="N11" s="59"/>
      <c r="O11" s="59"/>
      <c r="P11" s="59"/>
      <c r="Q11" s="59"/>
      <c r="R11" s="59"/>
      <c r="S11" s="59"/>
      <c r="T11" s="59"/>
      <c r="U11" s="59"/>
      <c r="V11" s="59"/>
      <c r="W11" s="59"/>
      <c r="X11" s="59"/>
      <c r="Y11" s="59"/>
      <c r="Z11" s="59"/>
    </row>
    <row r="12" spans="1:26" ht="55.95" customHeight="1" thickBot="1">
      <c r="A12" s="63" t="s">
        <v>1764</v>
      </c>
      <c r="B12" s="65" t="s">
        <v>1765</v>
      </c>
      <c r="C12" s="65" t="s">
        <v>1766</v>
      </c>
      <c r="D12" s="65" t="s">
        <v>1767</v>
      </c>
      <c r="E12" s="65" t="s">
        <v>1768</v>
      </c>
      <c r="F12" s="65" t="s">
        <v>1769</v>
      </c>
      <c r="G12" s="59"/>
      <c r="H12" s="59"/>
      <c r="I12" s="59"/>
      <c r="J12" s="59"/>
      <c r="K12" s="59"/>
      <c r="L12" s="59"/>
      <c r="M12" s="59"/>
      <c r="N12" s="59"/>
      <c r="O12" s="59"/>
      <c r="P12" s="59"/>
      <c r="Q12" s="59"/>
      <c r="R12" s="59"/>
      <c r="S12" s="59"/>
      <c r="T12" s="59"/>
      <c r="U12" s="59"/>
      <c r="V12" s="59"/>
      <c r="W12" s="59"/>
      <c r="X12" s="59"/>
      <c r="Y12" s="59"/>
      <c r="Z12" s="59"/>
    </row>
    <row r="13" spans="1:26" ht="66">
      <c r="A13" s="163" t="s">
        <v>1770</v>
      </c>
      <c r="B13" s="166" t="s">
        <v>1771</v>
      </c>
      <c r="C13" s="62" t="s">
        <v>1772</v>
      </c>
      <c r="D13" s="62" t="s">
        <v>1773</v>
      </c>
      <c r="E13" s="62" t="s">
        <v>1774</v>
      </c>
      <c r="F13" s="62" t="s">
        <v>1775</v>
      </c>
      <c r="G13" s="59"/>
      <c r="H13" s="59"/>
      <c r="I13" s="59"/>
      <c r="J13" s="59"/>
      <c r="K13" s="59"/>
      <c r="L13" s="59"/>
      <c r="M13" s="59"/>
      <c r="N13" s="59"/>
      <c r="O13" s="59"/>
      <c r="P13" s="59"/>
      <c r="Q13" s="59"/>
      <c r="R13" s="59"/>
      <c r="S13" s="59"/>
      <c r="T13" s="59"/>
      <c r="U13" s="59"/>
      <c r="V13" s="59"/>
      <c r="W13" s="59"/>
      <c r="X13" s="59"/>
      <c r="Y13" s="59"/>
      <c r="Z13" s="59"/>
    </row>
    <row r="14" spans="1:26" ht="53.4" thickBot="1">
      <c r="A14" s="165"/>
      <c r="B14" s="167"/>
      <c r="C14" s="65" t="s">
        <v>1776</v>
      </c>
      <c r="D14" s="65" t="s">
        <v>1777</v>
      </c>
      <c r="E14" s="65" t="s">
        <v>1778</v>
      </c>
      <c r="F14" s="65" t="s">
        <v>1779</v>
      </c>
      <c r="G14" s="59"/>
      <c r="H14" s="59"/>
      <c r="I14" s="59"/>
      <c r="J14" s="59"/>
      <c r="K14" s="59"/>
      <c r="L14" s="59"/>
      <c r="M14" s="59"/>
      <c r="N14" s="59"/>
      <c r="O14" s="59"/>
      <c r="P14" s="59"/>
      <c r="Q14" s="59"/>
      <c r="R14" s="59"/>
      <c r="S14" s="59"/>
      <c r="T14" s="59"/>
      <c r="U14" s="59"/>
      <c r="V14" s="59"/>
      <c r="W14" s="59"/>
      <c r="X14" s="59"/>
      <c r="Y14" s="59"/>
      <c r="Z14" s="59"/>
    </row>
    <row r="15" spans="1:26" ht="16.5" customHeight="1" thickBot="1">
      <c r="A15" s="59"/>
      <c r="B15" s="66"/>
      <c r="C15" s="66"/>
      <c r="D15" s="66"/>
      <c r="E15" s="66"/>
      <c r="F15" s="66"/>
      <c r="G15" s="59"/>
      <c r="H15" s="59"/>
      <c r="I15" s="59"/>
      <c r="J15" s="59"/>
      <c r="K15" s="59"/>
      <c r="L15" s="59"/>
      <c r="M15" s="59"/>
      <c r="N15" s="59"/>
      <c r="O15" s="59"/>
      <c r="P15" s="59"/>
      <c r="Q15" s="59"/>
      <c r="R15" s="59"/>
      <c r="S15" s="59"/>
      <c r="T15" s="59"/>
      <c r="U15" s="59"/>
      <c r="V15" s="59"/>
      <c r="W15" s="59"/>
      <c r="X15" s="59"/>
      <c r="Y15" s="59"/>
      <c r="Z15" s="59"/>
    </row>
    <row r="16" spans="1:26" ht="23.4" customHeight="1" thickBot="1">
      <c r="A16" s="160" t="s">
        <v>1780</v>
      </c>
      <c r="B16" s="161"/>
      <c r="C16" s="161"/>
      <c r="D16" s="161"/>
      <c r="E16" s="161"/>
      <c r="F16" s="162"/>
      <c r="G16" s="59"/>
      <c r="H16" s="59"/>
      <c r="I16" s="59"/>
      <c r="J16" s="59"/>
      <c r="K16" s="59"/>
      <c r="L16" s="59"/>
      <c r="M16" s="59"/>
      <c r="N16" s="59"/>
      <c r="O16" s="59"/>
      <c r="P16" s="59"/>
      <c r="Q16" s="59"/>
      <c r="R16" s="59"/>
      <c r="S16" s="59"/>
      <c r="T16" s="59"/>
      <c r="U16" s="59"/>
      <c r="V16" s="59"/>
      <c r="W16" s="59"/>
      <c r="X16" s="59"/>
      <c r="Y16" s="59"/>
      <c r="Z16" s="59"/>
    </row>
    <row r="17" spans="1:26" ht="27" customHeight="1" thickBot="1">
      <c r="A17" s="67"/>
      <c r="B17" s="61" t="s">
        <v>1781</v>
      </c>
      <c r="C17" s="61" t="s">
        <v>1782</v>
      </c>
      <c r="D17" s="61" t="s">
        <v>1783</v>
      </c>
      <c r="E17" s="61" t="s">
        <v>1784</v>
      </c>
      <c r="F17" s="61" t="s">
        <v>1785</v>
      </c>
      <c r="G17" s="59"/>
      <c r="H17" s="59"/>
      <c r="I17" s="59"/>
      <c r="J17" s="59"/>
      <c r="K17" s="59"/>
      <c r="L17" s="59"/>
      <c r="M17" s="59"/>
      <c r="N17" s="59"/>
      <c r="O17" s="59"/>
      <c r="P17" s="59"/>
      <c r="Q17" s="59"/>
      <c r="R17" s="59"/>
      <c r="S17" s="59"/>
      <c r="T17" s="59"/>
      <c r="U17" s="59"/>
      <c r="V17" s="59"/>
      <c r="W17" s="59"/>
      <c r="X17" s="59"/>
      <c r="Y17" s="59"/>
      <c r="Z17" s="59"/>
    </row>
    <row r="18" spans="1:26" ht="58.95" customHeight="1" thickBot="1">
      <c r="A18" s="68" t="s">
        <v>1786</v>
      </c>
      <c r="B18" s="65" t="s">
        <v>1787</v>
      </c>
      <c r="C18" s="65" t="s">
        <v>1788</v>
      </c>
      <c r="D18" s="65" t="s">
        <v>1789</v>
      </c>
      <c r="E18" s="65" t="s">
        <v>1790</v>
      </c>
      <c r="F18" s="65" t="s">
        <v>1791</v>
      </c>
      <c r="G18" s="59"/>
      <c r="H18" s="59"/>
      <c r="I18" s="59"/>
      <c r="J18" s="59"/>
      <c r="K18" s="59"/>
      <c r="L18" s="59"/>
      <c r="M18" s="59"/>
      <c r="N18" s="59"/>
      <c r="O18" s="59"/>
      <c r="P18" s="59"/>
      <c r="Q18" s="59"/>
      <c r="R18" s="59"/>
      <c r="S18" s="59"/>
      <c r="T18" s="59"/>
      <c r="U18" s="59"/>
      <c r="V18" s="59"/>
      <c r="W18" s="59"/>
      <c r="X18" s="59"/>
      <c r="Y18" s="59"/>
      <c r="Z18" s="59"/>
    </row>
    <row r="19" spans="1:26" ht="43.95" customHeight="1" thickBot="1">
      <c r="A19" s="68" t="s">
        <v>1792</v>
      </c>
      <c r="B19" s="65" t="s">
        <v>1793</v>
      </c>
      <c r="C19" s="65" t="s">
        <v>1794</v>
      </c>
      <c r="D19" s="65" t="s">
        <v>1795</v>
      </c>
      <c r="E19" s="65" t="s">
        <v>1796</v>
      </c>
      <c r="F19" s="65" t="s">
        <v>1797</v>
      </c>
      <c r="G19" s="59"/>
      <c r="H19" s="59"/>
      <c r="I19" s="59"/>
      <c r="J19" s="59"/>
      <c r="K19" s="59"/>
      <c r="L19" s="59"/>
      <c r="M19" s="59"/>
      <c r="N19" s="59"/>
      <c r="O19" s="59"/>
      <c r="P19" s="59"/>
      <c r="Q19" s="59"/>
      <c r="R19" s="59"/>
      <c r="S19" s="59"/>
      <c r="T19" s="59"/>
      <c r="U19" s="59"/>
      <c r="V19" s="59"/>
      <c r="W19" s="59"/>
      <c r="X19" s="59"/>
      <c r="Y19" s="59"/>
      <c r="Z19" s="59"/>
    </row>
    <row r="20" spans="1:26" ht="34.5" customHeight="1">
      <c r="A20" s="57"/>
      <c r="B20" s="69"/>
      <c r="C20" s="69"/>
      <c r="D20" s="69"/>
      <c r="E20" s="69"/>
      <c r="F20" s="69"/>
      <c r="G20" s="57"/>
      <c r="H20" s="57"/>
      <c r="I20" s="57"/>
      <c r="J20" s="57"/>
      <c r="K20" s="57"/>
      <c r="L20" s="57"/>
      <c r="M20" s="57"/>
      <c r="N20" s="57"/>
      <c r="O20" s="57"/>
      <c r="P20" s="57"/>
      <c r="Q20" s="57"/>
      <c r="R20" s="57"/>
      <c r="S20" s="57"/>
      <c r="T20" s="57"/>
      <c r="U20" s="57"/>
      <c r="V20" s="57"/>
      <c r="W20" s="57"/>
      <c r="X20" s="57"/>
      <c r="Y20" s="57"/>
      <c r="Z20" s="57"/>
    </row>
    <row r="21" spans="1:26" ht="22.5" customHeight="1">
      <c r="C21" s="168" t="s">
        <v>1798</v>
      </c>
      <c r="D21" s="169"/>
      <c r="E21" s="169"/>
      <c r="F21" s="169"/>
      <c r="G21" s="170"/>
      <c r="H21" s="57"/>
      <c r="I21" s="57"/>
      <c r="J21" s="57"/>
      <c r="K21" s="57"/>
      <c r="L21" s="57"/>
      <c r="M21" s="57"/>
      <c r="N21" s="57"/>
      <c r="O21" s="57"/>
      <c r="P21" s="57"/>
      <c r="Q21" s="57"/>
      <c r="R21" s="57"/>
      <c r="S21" s="57"/>
      <c r="T21" s="57"/>
      <c r="U21" s="57"/>
      <c r="V21" s="57"/>
      <c r="W21" s="57"/>
      <c r="X21" s="57"/>
      <c r="Y21" s="57"/>
      <c r="Z21" s="57"/>
    </row>
    <row r="22" spans="1:26" ht="22.5" customHeight="1">
      <c r="C22" s="70" t="s">
        <v>1799</v>
      </c>
      <c r="D22" s="70" t="s">
        <v>1800</v>
      </c>
      <c r="E22" s="70" t="s">
        <v>1801</v>
      </c>
      <c r="F22" s="70" t="s">
        <v>1802</v>
      </c>
      <c r="G22" s="70" t="s">
        <v>1803</v>
      </c>
      <c r="H22" s="57"/>
      <c r="I22" s="57"/>
      <c r="J22" s="57"/>
      <c r="K22" s="57"/>
      <c r="L22" s="57"/>
      <c r="M22" s="57"/>
      <c r="N22" s="57"/>
      <c r="O22" s="57"/>
      <c r="P22" s="57"/>
      <c r="Q22" s="57"/>
      <c r="R22" s="57"/>
      <c r="S22" s="57"/>
      <c r="T22" s="57"/>
      <c r="U22" s="57"/>
      <c r="V22" s="57"/>
      <c r="W22" s="57"/>
      <c r="X22" s="57"/>
      <c r="Y22" s="57"/>
      <c r="Z22" s="57"/>
    </row>
    <row r="23" spans="1:26" ht="22.5" customHeight="1">
      <c r="A23" s="168" t="s">
        <v>1804</v>
      </c>
      <c r="B23" s="170"/>
      <c r="C23" s="71">
        <v>5</v>
      </c>
      <c r="D23" s="71">
        <v>4</v>
      </c>
      <c r="E23" s="71">
        <v>3</v>
      </c>
      <c r="F23" s="71">
        <v>2</v>
      </c>
      <c r="G23" s="71">
        <v>1</v>
      </c>
      <c r="H23" s="57"/>
      <c r="I23" s="57"/>
      <c r="J23" s="57"/>
      <c r="K23" s="57"/>
      <c r="L23" s="57"/>
      <c r="M23" s="57"/>
      <c r="N23" s="57"/>
      <c r="O23" s="57"/>
      <c r="P23" s="57"/>
      <c r="Q23" s="57"/>
      <c r="R23" s="57"/>
      <c r="S23" s="57"/>
      <c r="T23" s="57"/>
      <c r="U23" s="57"/>
      <c r="V23" s="57"/>
      <c r="W23" s="57"/>
      <c r="X23" s="57"/>
      <c r="Y23" s="57"/>
      <c r="Z23" s="57"/>
    </row>
    <row r="24" spans="1:26" ht="22.5" customHeight="1">
      <c r="A24" s="72" t="s">
        <v>1805</v>
      </c>
      <c r="B24" s="71">
        <v>5</v>
      </c>
      <c r="C24" s="73">
        <f t="shared" ref="C24:G28" si="0">$B24*C$23</f>
        <v>25</v>
      </c>
      <c r="D24" s="73">
        <f t="shared" si="0"/>
        <v>20</v>
      </c>
      <c r="E24" s="73">
        <f t="shared" si="0"/>
        <v>15</v>
      </c>
      <c r="F24" s="73">
        <f t="shared" si="0"/>
        <v>10</v>
      </c>
      <c r="G24" s="73">
        <f t="shared" si="0"/>
        <v>5</v>
      </c>
      <c r="H24" s="57"/>
      <c r="I24" s="57"/>
      <c r="J24" s="57"/>
      <c r="K24" s="57"/>
      <c r="L24" s="57"/>
      <c r="M24" s="57"/>
      <c r="N24" s="57"/>
      <c r="O24" s="57"/>
      <c r="P24" s="57"/>
      <c r="Q24" s="57"/>
      <c r="R24" s="57"/>
      <c r="S24" s="57"/>
      <c r="T24" s="57"/>
      <c r="U24" s="57"/>
      <c r="V24" s="57"/>
      <c r="W24" s="57"/>
      <c r="X24" s="57"/>
      <c r="Y24" s="57"/>
      <c r="Z24" s="57"/>
    </row>
    <row r="25" spans="1:26" ht="22.5" customHeight="1">
      <c r="A25" s="72" t="s">
        <v>1806</v>
      </c>
      <c r="B25" s="71">
        <v>4</v>
      </c>
      <c r="C25" s="73">
        <f t="shared" si="0"/>
        <v>20</v>
      </c>
      <c r="D25" s="73">
        <f t="shared" si="0"/>
        <v>16</v>
      </c>
      <c r="E25" s="73">
        <f t="shared" si="0"/>
        <v>12</v>
      </c>
      <c r="F25" s="73">
        <f t="shared" si="0"/>
        <v>8</v>
      </c>
      <c r="G25" s="73">
        <f t="shared" si="0"/>
        <v>4</v>
      </c>
      <c r="H25" s="57"/>
      <c r="I25" s="57"/>
      <c r="J25" s="57"/>
      <c r="K25" s="57"/>
      <c r="L25" s="57"/>
      <c r="M25" s="57"/>
      <c r="N25" s="57"/>
      <c r="O25" s="57"/>
      <c r="P25" s="57"/>
      <c r="Q25" s="57"/>
      <c r="R25" s="57"/>
      <c r="S25" s="57"/>
      <c r="T25" s="57"/>
      <c r="U25" s="57"/>
      <c r="V25" s="57"/>
      <c r="W25" s="57"/>
      <c r="X25" s="57"/>
      <c r="Y25" s="57"/>
      <c r="Z25" s="57"/>
    </row>
    <row r="26" spans="1:26" ht="22.5" customHeight="1">
      <c r="A26" s="72" t="s">
        <v>1807</v>
      </c>
      <c r="B26" s="71">
        <v>3</v>
      </c>
      <c r="C26" s="73">
        <f t="shared" si="0"/>
        <v>15</v>
      </c>
      <c r="D26" s="73">
        <f t="shared" si="0"/>
        <v>12</v>
      </c>
      <c r="E26" s="73">
        <f t="shared" si="0"/>
        <v>9</v>
      </c>
      <c r="F26" s="73">
        <f t="shared" si="0"/>
        <v>6</v>
      </c>
      <c r="G26" s="73">
        <f t="shared" si="0"/>
        <v>3</v>
      </c>
      <c r="H26" s="57"/>
      <c r="I26" s="57"/>
      <c r="J26" s="57"/>
      <c r="K26" s="57"/>
      <c r="L26" s="57"/>
      <c r="M26" s="57"/>
      <c r="N26" s="57"/>
      <c r="O26" s="57"/>
      <c r="P26" s="57"/>
      <c r="Q26" s="57"/>
      <c r="R26" s="57"/>
      <c r="S26" s="57"/>
      <c r="T26" s="57"/>
      <c r="U26" s="57"/>
      <c r="V26" s="57"/>
      <c r="W26" s="57"/>
      <c r="X26" s="57"/>
      <c r="Y26" s="57"/>
      <c r="Z26" s="57"/>
    </row>
    <row r="27" spans="1:26" ht="22.5" customHeight="1">
      <c r="A27" s="72" t="s">
        <v>1808</v>
      </c>
      <c r="B27" s="71">
        <v>2</v>
      </c>
      <c r="C27" s="73">
        <f t="shared" si="0"/>
        <v>10</v>
      </c>
      <c r="D27" s="73">
        <f t="shared" si="0"/>
        <v>8</v>
      </c>
      <c r="E27" s="73">
        <f t="shared" si="0"/>
        <v>6</v>
      </c>
      <c r="F27" s="73">
        <f t="shared" si="0"/>
        <v>4</v>
      </c>
      <c r="G27" s="73">
        <f t="shared" si="0"/>
        <v>2</v>
      </c>
      <c r="H27" s="57"/>
      <c r="I27" s="57"/>
      <c r="J27" s="57"/>
      <c r="K27" s="57"/>
      <c r="L27" s="57"/>
      <c r="M27" s="57"/>
      <c r="N27" s="57"/>
      <c r="O27" s="57"/>
      <c r="P27" s="57"/>
      <c r="Q27" s="57"/>
      <c r="R27" s="57"/>
      <c r="S27" s="57"/>
      <c r="T27" s="57"/>
      <c r="U27" s="57"/>
      <c r="V27" s="57"/>
      <c r="W27" s="57"/>
      <c r="X27" s="57"/>
      <c r="Y27" s="57"/>
      <c r="Z27" s="57"/>
    </row>
    <row r="28" spans="1:26" ht="22.5" customHeight="1">
      <c r="A28" s="72" t="s">
        <v>1809</v>
      </c>
      <c r="B28" s="71">
        <v>1</v>
      </c>
      <c r="C28" s="73">
        <f t="shared" si="0"/>
        <v>5</v>
      </c>
      <c r="D28" s="73">
        <f t="shared" si="0"/>
        <v>4</v>
      </c>
      <c r="E28" s="73">
        <f t="shared" si="0"/>
        <v>3</v>
      </c>
      <c r="F28" s="73">
        <f t="shared" si="0"/>
        <v>2</v>
      </c>
      <c r="G28" s="73">
        <f t="shared" si="0"/>
        <v>1</v>
      </c>
      <c r="H28" s="57"/>
      <c r="I28" s="57"/>
      <c r="J28" s="57"/>
      <c r="K28" s="57"/>
      <c r="L28" s="57"/>
      <c r="M28" s="57"/>
      <c r="N28" s="57"/>
      <c r="O28" s="57"/>
      <c r="P28" s="57"/>
      <c r="Q28" s="57"/>
      <c r="R28" s="57"/>
      <c r="S28" s="57"/>
      <c r="T28" s="57"/>
      <c r="U28" s="57"/>
      <c r="V28" s="57"/>
      <c r="W28" s="57"/>
      <c r="X28" s="57"/>
      <c r="Y28" s="57"/>
      <c r="Z28" s="57"/>
    </row>
    <row r="29" spans="1:26" ht="48" customHeight="1">
      <c r="A29" s="57"/>
      <c r="B29" s="69"/>
      <c r="C29" s="69"/>
      <c r="D29" s="69"/>
      <c r="E29" s="69"/>
      <c r="F29" s="69"/>
      <c r="G29" s="57"/>
      <c r="H29" s="57"/>
      <c r="I29" s="57"/>
      <c r="J29" s="57"/>
      <c r="K29" s="57"/>
      <c r="L29" s="57"/>
      <c r="M29" s="57"/>
      <c r="N29" s="57"/>
      <c r="O29" s="57"/>
      <c r="P29" s="57"/>
      <c r="Q29" s="57"/>
      <c r="R29" s="57"/>
      <c r="S29" s="57"/>
      <c r="T29" s="57"/>
      <c r="U29" s="57"/>
      <c r="V29" s="57"/>
      <c r="W29" s="57"/>
      <c r="X29" s="57"/>
      <c r="Y29" s="57"/>
      <c r="Z29" s="57"/>
    </row>
    <row r="30" spans="1:26" ht="36" customHeight="1">
      <c r="A30" s="74" t="s">
        <v>1810</v>
      </c>
      <c r="B30" s="74" t="s">
        <v>1811</v>
      </c>
      <c r="C30" s="74" t="s">
        <v>1812</v>
      </c>
      <c r="D30" s="69"/>
      <c r="E30" s="69"/>
      <c r="F30" s="69"/>
      <c r="G30" s="57"/>
      <c r="H30" s="57"/>
      <c r="I30" s="57"/>
      <c r="J30" s="57"/>
      <c r="K30" s="57"/>
      <c r="L30" s="57"/>
      <c r="M30" s="57"/>
      <c r="N30" s="57"/>
      <c r="O30" s="57"/>
      <c r="P30" s="57"/>
      <c r="Q30" s="57"/>
      <c r="R30" s="57"/>
      <c r="S30" s="57"/>
      <c r="T30" s="57"/>
      <c r="U30" s="57"/>
      <c r="V30" s="57"/>
      <c r="W30" s="57"/>
      <c r="X30" s="57"/>
      <c r="Y30" s="57"/>
      <c r="Z30" s="57"/>
    </row>
    <row r="31" spans="1:26" ht="36" customHeight="1">
      <c r="A31" s="75" t="s">
        <v>1813</v>
      </c>
      <c r="B31" s="76" t="s">
        <v>1814</v>
      </c>
      <c r="C31" s="76" t="s">
        <v>1815</v>
      </c>
      <c r="D31" s="154" t="s">
        <v>1816</v>
      </c>
      <c r="E31" s="155"/>
      <c r="F31" s="155"/>
      <c r="G31" s="156"/>
      <c r="H31" s="57"/>
      <c r="I31" s="57"/>
      <c r="J31" s="57"/>
      <c r="K31" s="57"/>
      <c r="L31" s="57"/>
      <c r="M31" s="57"/>
      <c r="N31" s="57"/>
      <c r="O31" s="57"/>
      <c r="P31" s="57"/>
      <c r="Q31" s="57"/>
      <c r="R31" s="57"/>
      <c r="S31" s="57"/>
      <c r="T31" s="57"/>
      <c r="U31" s="57"/>
      <c r="V31" s="57"/>
      <c r="W31" s="57"/>
      <c r="X31" s="57"/>
      <c r="Y31" s="57"/>
      <c r="Z31" s="57"/>
    </row>
    <row r="32" spans="1:26" ht="61.95" customHeight="1">
      <c r="A32" s="77" t="s">
        <v>1817</v>
      </c>
      <c r="B32" s="78" t="s">
        <v>1818</v>
      </c>
      <c r="C32" s="78" t="s">
        <v>1819</v>
      </c>
      <c r="D32" s="154" t="s">
        <v>1820</v>
      </c>
      <c r="E32" s="155"/>
      <c r="F32" s="155"/>
      <c r="G32" s="156"/>
      <c r="H32" s="57"/>
      <c r="I32" s="57"/>
      <c r="J32" s="57"/>
      <c r="K32" s="57"/>
      <c r="L32" s="57"/>
      <c r="M32" s="57"/>
      <c r="N32" s="57"/>
      <c r="O32" s="57"/>
      <c r="P32" s="57"/>
      <c r="Q32" s="57"/>
      <c r="R32" s="57"/>
      <c r="S32" s="57"/>
      <c r="T32" s="57"/>
      <c r="U32" s="57"/>
      <c r="V32" s="57"/>
      <c r="W32" s="57"/>
      <c r="X32" s="57"/>
      <c r="Y32" s="57"/>
      <c r="Z32" s="57"/>
    </row>
    <row r="33" spans="1:26" ht="114.6" customHeight="1">
      <c r="A33" s="79" t="s">
        <v>1821</v>
      </c>
      <c r="B33" s="80" t="s">
        <v>1822</v>
      </c>
      <c r="C33" s="80" t="s">
        <v>1823</v>
      </c>
      <c r="D33" s="154" t="s">
        <v>1824</v>
      </c>
      <c r="E33" s="155"/>
      <c r="F33" s="155"/>
      <c r="G33" s="156"/>
      <c r="H33" s="57"/>
      <c r="I33" s="57"/>
      <c r="J33" s="57"/>
      <c r="K33" s="57"/>
      <c r="L33" s="57"/>
      <c r="M33" s="57"/>
      <c r="N33" s="57"/>
      <c r="O33" s="57"/>
      <c r="P33" s="57"/>
      <c r="Q33" s="57"/>
      <c r="R33" s="57"/>
      <c r="S33" s="57"/>
      <c r="T33" s="57"/>
      <c r="U33" s="57"/>
      <c r="V33" s="57"/>
      <c r="W33" s="57"/>
      <c r="X33" s="57"/>
      <c r="Y33" s="57"/>
      <c r="Z33" s="57"/>
    </row>
    <row r="34" spans="1:26" ht="14.25" customHeight="1">
      <c r="A34" s="57"/>
      <c r="B34" s="69"/>
      <c r="C34" s="69"/>
      <c r="D34" s="69"/>
      <c r="E34" s="69"/>
      <c r="F34" s="69"/>
      <c r="G34" s="57"/>
      <c r="H34" s="57"/>
      <c r="I34" s="57"/>
      <c r="J34" s="57"/>
      <c r="K34" s="57"/>
      <c r="L34" s="57"/>
      <c r="M34" s="57"/>
      <c r="N34" s="57"/>
      <c r="O34" s="57"/>
      <c r="P34" s="57"/>
      <c r="Q34" s="57"/>
      <c r="R34" s="57"/>
      <c r="S34" s="57"/>
      <c r="T34" s="57"/>
      <c r="U34" s="57"/>
      <c r="V34" s="57"/>
      <c r="W34" s="57"/>
      <c r="X34" s="57"/>
      <c r="Y34" s="57"/>
      <c r="Z34" s="57"/>
    </row>
    <row r="35" spans="1:26" ht="14.25" customHeight="1">
      <c r="A35" s="57"/>
      <c r="B35" s="69"/>
      <c r="C35" s="69"/>
      <c r="D35" s="69"/>
      <c r="E35" s="69"/>
      <c r="F35" s="69"/>
      <c r="G35" s="57"/>
      <c r="H35" s="57"/>
      <c r="I35" s="57"/>
      <c r="J35" s="57"/>
      <c r="K35" s="57"/>
      <c r="L35" s="57"/>
      <c r="M35" s="57"/>
      <c r="N35" s="57"/>
      <c r="O35" s="57"/>
      <c r="P35" s="57"/>
      <c r="Q35" s="57"/>
      <c r="R35" s="57"/>
      <c r="S35" s="57"/>
      <c r="T35" s="57"/>
      <c r="U35" s="57"/>
      <c r="V35" s="57"/>
      <c r="W35" s="57"/>
      <c r="X35" s="57"/>
      <c r="Y35" s="57"/>
      <c r="Z35" s="57"/>
    </row>
    <row r="36" spans="1:26" ht="14.25" customHeight="1">
      <c r="A36" s="57"/>
      <c r="B36" s="69"/>
      <c r="C36" s="69"/>
      <c r="D36" s="69"/>
      <c r="E36" s="69"/>
      <c r="F36" s="69"/>
      <c r="G36" s="57"/>
      <c r="H36" s="57"/>
      <c r="I36" s="57"/>
      <c r="J36" s="57"/>
      <c r="K36" s="57"/>
      <c r="L36" s="57"/>
      <c r="M36" s="57"/>
      <c r="N36" s="57"/>
      <c r="O36" s="57"/>
      <c r="P36" s="57"/>
      <c r="Q36" s="57"/>
      <c r="R36" s="57"/>
      <c r="S36" s="57"/>
      <c r="T36" s="57"/>
      <c r="U36" s="57"/>
      <c r="V36" s="57"/>
      <c r="W36" s="57"/>
      <c r="X36" s="57"/>
      <c r="Y36" s="57"/>
      <c r="Z36" s="57"/>
    </row>
    <row r="37" spans="1:26" ht="14.25" customHeight="1">
      <c r="A37" s="57"/>
      <c r="B37" s="69"/>
      <c r="C37" s="69"/>
      <c r="D37" s="69"/>
      <c r="E37" s="69"/>
      <c r="F37" s="69"/>
      <c r="G37" s="57"/>
      <c r="H37" s="57"/>
      <c r="I37" s="57"/>
      <c r="J37" s="57"/>
      <c r="K37" s="57"/>
      <c r="L37" s="57"/>
      <c r="M37" s="57"/>
      <c r="N37" s="57"/>
      <c r="O37" s="57"/>
      <c r="P37" s="57"/>
      <c r="Q37" s="57"/>
      <c r="R37" s="57"/>
      <c r="S37" s="57"/>
      <c r="T37" s="57"/>
      <c r="U37" s="57"/>
      <c r="V37" s="57"/>
      <c r="W37" s="57"/>
      <c r="X37" s="57"/>
      <c r="Y37" s="57"/>
      <c r="Z37" s="57"/>
    </row>
    <row r="38" spans="1:26" ht="14.25" customHeight="1">
      <c r="A38" s="57"/>
      <c r="B38" s="69"/>
      <c r="C38" s="69"/>
      <c r="D38" s="69"/>
      <c r="E38" s="69"/>
      <c r="F38" s="69"/>
      <c r="G38" s="57"/>
      <c r="H38" s="57"/>
      <c r="I38" s="57"/>
      <c r="J38" s="57"/>
      <c r="K38" s="57"/>
      <c r="L38" s="57"/>
      <c r="M38" s="57"/>
      <c r="N38" s="57"/>
      <c r="O38" s="57"/>
      <c r="P38" s="57"/>
      <c r="Q38" s="57"/>
      <c r="R38" s="57"/>
      <c r="S38" s="57"/>
      <c r="T38" s="57"/>
      <c r="U38" s="57"/>
      <c r="V38" s="57"/>
      <c r="W38" s="57"/>
      <c r="X38" s="57"/>
      <c r="Y38" s="57"/>
      <c r="Z38" s="57"/>
    </row>
    <row r="39" spans="1:26" ht="14.25" customHeight="1">
      <c r="A39" s="57"/>
      <c r="B39" s="69"/>
      <c r="C39" s="69"/>
      <c r="D39" s="69"/>
      <c r="E39" s="69"/>
      <c r="F39" s="69"/>
      <c r="G39" s="57"/>
      <c r="H39" s="57"/>
      <c r="I39" s="57"/>
      <c r="J39" s="57"/>
      <c r="K39" s="57"/>
      <c r="L39" s="57"/>
      <c r="M39" s="57"/>
      <c r="N39" s="57"/>
      <c r="O39" s="57"/>
      <c r="P39" s="57"/>
      <c r="Q39" s="57"/>
      <c r="R39" s="57"/>
      <c r="S39" s="57"/>
      <c r="T39" s="57"/>
      <c r="U39" s="57"/>
      <c r="V39" s="57"/>
      <c r="W39" s="57"/>
      <c r="X39" s="57"/>
      <c r="Y39" s="57"/>
      <c r="Z39" s="57"/>
    </row>
    <row r="40" spans="1:26" ht="14.25" customHeight="1">
      <c r="A40" s="57"/>
      <c r="B40" s="69"/>
      <c r="C40" s="69"/>
      <c r="D40" s="69"/>
      <c r="E40" s="69"/>
      <c r="F40" s="69"/>
      <c r="G40" s="57"/>
      <c r="H40" s="57"/>
      <c r="I40" s="57"/>
      <c r="J40" s="57"/>
      <c r="K40" s="57"/>
      <c r="L40" s="57"/>
      <c r="M40" s="57"/>
      <c r="N40" s="57"/>
      <c r="O40" s="57"/>
      <c r="P40" s="57"/>
      <c r="Q40" s="57"/>
      <c r="R40" s="57"/>
      <c r="S40" s="57"/>
      <c r="T40" s="57"/>
      <c r="U40" s="57"/>
      <c r="V40" s="57"/>
      <c r="W40" s="57"/>
      <c r="X40" s="57"/>
      <c r="Y40" s="57"/>
      <c r="Z40" s="57"/>
    </row>
    <row r="41" spans="1:26" ht="14.25" customHeight="1">
      <c r="A41" s="57"/>
      <c r="B41" s="69"/>
      <c r="C41" s="69"/>
      <c r="D41" s="69"/>
      <c r="E41" s="69"/>
      <c r="F41" s="69"/>
      <c r="G41" s="57"/>
      <c r="H41" s="57"/>
      <c r="I41" s="57"/>
      <c r="J41" s="57"/>
      <c r="K41" s="57"/>
      <c r="L41" s="57"/>
      <c r="M41" s="57"/>
      <c r="N41" s="57"/>
      <c r="O41" s="57"/>
      <c r="P41" s="57"/>
      <c r="Q41" s="57"/>
      <c r="R41" s="57"/>
      <c r="S41" s="57"/>
      <c r="T41" s="57"/>
      <c r="U41" s="57"/>
      <c r="V41" s="57"/>
      <c r="W41" s="57"/>
      <c r="X41" s="57"/>
      <c r="Y41" s="57"/>
      <c r="Z41" s="57"/>
    </row>
    <row r="42" spans="1:26" ht="14.25" customHeight="1">
      <c r="A42" s="57"/>
      <c r="B42" s="69"/>
      <c r="C42" s="69"/>
      <c r="D42" s="69"/>
      <c r="E42" s="69"/>
      <c r="F42" s="69"/>
      <c r="G42" s="57"/>
      <c r="H42" s="57"/>
      <c r="I42" s="57"/>
      <c r="J42" s="57"/>
      <c r="K42" s="57"/>
      <c r="L42" s="57"/>
      <c r="M42" s="57"/>
      <c r="N42" s="57"/>
      <c r="O42" s="57"/>
      <c r="P42" s="57"/>
      <c r="Q42" s="57"/>
      <c r="R42" s="57"/>
      <c r="S42" s="57"/>
      <c r="T42" s="57"/>
      <c r="U42" s="57"/>
      <c r="V42" s="57"/>
      <c r="W42" s="57"/>
      <c r="X42" s="57"/>
      <c r="Y42" s="57"/>
      <c r="Z42" s="57"/>
    </row>
    <row r="43" spans="1:26" ht="14.25" customHeight="1">
      <c r="A43" s="57"/>
      <c r="B43" s="69"/>
      <c r="C43" s="69"/>
      <c r="D43" s="69"/>
      <c r="E43" s="69"/>
      <c r="F43" s="69"/>
      <c r="G43" s="57"/>
      <c r="H43" s="57"/>
      <c r="I43" s="57"/>
      <c r="J43" s="57"/>
      <c r="K43" s="57"/>
      <c r="L43" s="57"/>
      <c r="M43" s="57"/>
      <c r="N43" s="57"/>
      <c r="O43" s="57"/>
      <c r="P43" s="57"/>
      <c r="Q43" s="57"/>
      <c r="R43" s="57"/>
      <c r="S43" s="57"/>
      <c r="T43" s="57"/>
      <c r="U43" s="57"/>
      <c r="V43" s="57"/>
      <c r="W43" s="57"/>
      <c r="X43" s="57"/>
      <c r="Y43" s="57"/>
      <c r="Z43" s="57"/>
    </row>
    <row r="44" spans="1:26" ht="14.25" customHeight="1">
      <c r="A44" s="57"/>
      <c r="B44" s="69"/>
      <c r="C44" s="69"/>
      <c r="D44" s="69"/>
      <c r="E44" s="69"/>
      <c r="F44" s="69"/>
      <c r="G44" s="57"/>
      <c r="H44" s="57"/>
      <c r="I44" s="57"/>
      <c r="J44" s="57"/>
      <c r="K44" s="57"/>
      <c r="L44" s="57"/>
      <c r="M44" s="57"/>
      <c r="N44" s="57"/>
      <c r="O44" s="57"/>
      <c r="P44" s="57"/>
      <c r="Q44" s="57"/>
      <c r="R44" s="57"/>
      <c r="S44" s="57"/>
      <c r="T44" s="57"/>
      <c r="U44" s="57"/>
      <c r="V44" s="57"/>
      <c r="W44" s="57"/>
      <c r="X44" s="57"/>
      <c r="Y44" s="57"/>
      <c r="Z44" s="57"/>
    </row>
    <row r="45" spans="1:26" ht="14.25" customHeight="1">
      <c r="A45" s="57"/>
      <c r="B45" s="69"/>
      <c r="C45" s="69"/>
      <c r="D45" s="69"/>
      <c r="E45" s="69"/>
      <c r="F45" s="69"/>
      <c r="G45" s="57"/>
      <c r="H45" s="57"/>
      <c r="I45" s="57"/>
      <c r="J45" s="57"/>
      <c r="K45" s="57"/>
      <c r="L45" s="57"/>
      <c r="M45" s="57"/>
      <c r="N45" s="57"/>
      <c r="O45" s="57"/>
      <c r="P45" s="57"/>
      <c r="Q45" s="57"/>
      <c r="R45" s="57"/>
      <c r="S45" s="57"/>
      <c r="T45" s="57"/>
      <c r="U45" s="57"/>
      <c r="V45" s="57"/>
      <c r="W45" s="57"/>
      <c r="X45" s="57"/>
      <c r="Y45" s="57"/>
      <c r="Z45" s="57"/>
    </row>
    <row r="46" spans="1:26" ht="14.25" customHeight="1">
      <c r="A46" s="57"/>
      <c r="B46" s="69"/>
      <c r="C46" s="69"/>
      <c r="D46" s="69"/>
      <c r="E46" s="69"/>
      <c r="F46" s="69"/>
      <c r="G46" s="57"/>
      <c r="H46" s="57"/>
      <c r="I46" s="57"/>
      <c r="J46" s="57"/>
      <c r="K46" s="57"/>
      <c r="L46" s="57"/>
      <c r="M46" s="57"/>
      <c r="N46" s="57"/>
      <c r="O46" s="57"/>
      <c r="P46" s="57"/>
      <c r="Q46" s="57"/>
      <c r="R46" s="57"/>
      <c r="S46" s="57"/>
      <c r="T46" s="57"/>
      <c r="U46" s="57"/>
      <c r="V46" s="57"/>
      <c r="W46" s="57"/>
      <c r="X46" s="57"/>
      <c r="Y46" s="57"/>
      <c r="Z46" s="57"/>
    </row>
    <row r="47" spans="1:26" ht="14.25" customHeight="1">
      <c r="A47" s="57"/>
      <c r="B47" s="69"/>
      <c r="C47" s="69"/>
      <c r="D47" s="69"/>
      <c r="E47" s="69"/>
      <c r="F47" s="69"/>
      <c r="G47" s="57"/>
      <c r="H47" s="57"/>
      <c r="I47" s="57"/>
      <c r="J47" s="57"/>
      <c r="K47" s="57"/>
      <c r="L47" s="57"/>
      <c r="M47" s="57"/>
      <c r="N47" s="57"/>
      <c r="O47" s="57"/>
      <c r="P47" s="57"/>
      <c r="Q47" s="57"/>
      <c r="R47" s="57"/>
      <c r="S47" s="57"/>
      <c r="T47" s="57"/>
      <c r="U47" s="57"/>
      <c r="V47" s="57"/>
      <c r="W47" s="57"/>
      <c r="X47" s="57"/>
      <c r="Y47" s="57"/>
      <c r="Z47" s="57"/>
    </row>
    <row r="48" spans="1:26" ht="14.25" customHeight="1">
      <c r="A48" s="57"/>
      <c r="B48" s="69"/>
      <c r="C48" s="69"/>
      <c r="D48" s="69"/>
      <c r="E48" s="69"/>
      <c r="F48" s="69"/>
      <c r="G48" s="57"/>
      <c r="H48" s="57"/>
      <c r="I48" s="57"/>
      <c r="J48" s="57"/>
      <c r="K48" s="57"/>
      <c r="L48" s="57"/>
      <c r="M48" s="57"/>
      <c r="N48" s="57"/>
      <c r="O48" s="57"/>
      <c r="P48" s="57"/>
      <c r="Q48" s="57"/>
      <c r="R48" s="57"/>
      <c r="S48" s="57"/>
      <c r="T48" s="57"/>
      <c r="U48" s="57"/>
      <c r="V48" s="57"/>
      <c r="W48" s="57"/>
      <c r="X48" s="57"/>
      <c r="Y48" s="57"/>
      <c r="Z48" s="57"/>
    </row>
    <row r="49" spans="1:26" ht="14.25" customHeight="1">
      <c r="A49" s="57"/>
      <c r="B49" s="69"/>
      <c r="C49" s="69"/>
      <c r="D49" s="69"/>
      <c r="E49" s="69"/>
      <c r="F49" s="69"/>
      <c r="G49" s="57"/>
      <c r="H49" s="57"/>
      <c r="I49" s="57"/>
      <c r="J49" s="57"/>
      <c r="K49" s="57"/>
      <c r="L49" s="57"/>
      <c r="M49" s="57"/>
      <c r="N49" s="57"/>
      <c r="O49" s="57"/>
      <c r="P49" s="57"/>
      <c r="Q49" s="57"/>
      <c r="R49" s="57"/>
      <c r="S49" s="57"/>
      <c r="T49" s="57"/>
      <c r="U49" s="57"/>
      <c r="V49" s="57"/>
      <c r="W49" s="57"/>
      <c r="X49" s="57"/>
      <c r="Y49" s="57"/>
      <c r="Z49" s="57"/>
    </row>
    <row r="50" spans="1:26" ht="14.25" customHeight="1">
      <c r="A50" s="57"/>
      <c r="B50" s="69"/>
      <c r="C50" s="69"/>
      <c r="D50" s="69"/>
      <c r="E50" s="69"/>
      <c r="F50" s="69"/>
      <c r="G50" s="57"/>
      <c r="H50" s="57"/>
      <c r="I50" s="57"/>
      <c r="J50" s="57"/>
      <c r="K50" s="57"/>
      <c r="L50" s="57"/>
      <c r="M50" s="57"/>
      <c r="N50" s="57"/>
      <c r="O50" s="57"/>
      <c r="P50" s="57"/>
      <c r="Q50" s="57"/>
      <c r="R50" s="57"/>
      <c r="S50" s="57"/>
      <c r="T50" s="57"/>
      <c r="U50" s="57"/>
      <c r="V50" s="57"/>
      <c r="W50" s="57"/>
      <c r="X50" s="57"/>
      <c r="Y50" s="57"/>
      <c r="Z50" s="57"/>
    </row>
    <row r="51" spans="1:26" ht="14.25" customHeight="1">
      <c r="A51" s="57"/>
      <c r="B51" s="69"/>
      <c r="C51" s="69"/>
      <c r="D51" s="69"/>
      <c r="E51" s="69"/>
      <c r="F51" s="69"/>
      <c r="G51" s="57"/>
      <c r="H51" s="57"/>
      <c r="I51" s="57"/>
      <c r="J51" s="57"/>
      <c r="K51" s="57"/>
      <c r="L51" s="57"/>
      <c r="M51" s="57"/>
      <c r="N51" s="57"/>
      <c r="O51" s="57"/>
      <c r="P51" s="57"/>
      <c r="Q51" s="57"/>
      <c r="R51" s="57"/>
      <c r="S51" s="57"/>
      <c r="T51" s="57"/>
      <c r="U51" s="57"/>
      <c r="V51" s="57"/>
      <c r="W51" s="57"/>
      <c r="X51" s="57"/>
      <c r="Y51" s="57"/>
      <c r="Z51" s="57"/>
    </row>
    <row r="52" spans="1:26" ht="14.25" customHeight="1">
      <c r="A52" s="57"/>
      <c r="B52" s="69"/>
      <c r="C52" s="69"/>
      <c r="D52" s="69"/>
      <c r="E52" s="69"/>
      <c r="F52" s="69"/>
      <c r="G52" s="57"/>
      <c r="H52" s="57"/>
      <c r="I52" s="57"/>
      <c r="J52" s="57"/>
      <c r="K52" s="57"/>
      <c r="L52" s="57"/>
      <c r="M52" s="57"/>
      <c r="N52" s="57"/>
      <c r="O52" s="57"/>
      <c r="P52" s="57"/>
      <c r="Q52" s="57"/>
      <c r="R52" s="57"/>
      <c r="S52" s="57"/>
      <c r="T52" s="57"/>
      <c r="U52" s="57"/>
      <c r="V52" s="57"/>
      <c r="W52" s="57"/>
      <c r="X52" s="57"/>
      <c r="Y52" s="57"/>
      <c r="Z52" s="57"/>
    </row>
    <row r="53" spans="1:26" ht="14.25" customHeight="1">
      <c r="A53" s="57"/>
      <c r="B53" s="69"/>
      <c r="C53" s="69"/>
      <c r="D53" s="69"/>
      <c r="E53" s="69"/>
      <c r="F53" s="69"/>
      <c r="G53" s="57"/>
      <c r="H53" s="57"/>
      <c r="I53" s="57"/>
      <c r="J53" s="57"/>
      <c r="K53" s="57"/>
      <c r="L53" s="57"/>
      <c r="M53" s="57"/>
      <c r="N53" s="57"/>
      <c r="O53" s="57"/>
      <c r="P53" s="57"/>
      <c r="Q53" s="57"/>
      <c r="R53" s="57"/>
      <c r="S53" s="57"/>
      <c r="T53" s="57"/>
      <c r="U53" s="57"/>
      <c r="V53" s="57"/>
      <c r="W53" s="57"/>
      <c r="X53" s="57"/>
      <c r="Y53" s="57"/>
      <c r="Z53" s="57"/>
    </row>
    <row r="54" spans="1:26" ht="14.25" customHeight="1">
      <c r="A54" s="57"/>
      <c r="B54" s="69"/>
      <c r="C54" s="69"/>
      <c r="D54" s="69"/>
      <c r="E54" s="69"/>
      <c r="F54" s="69"/>
      <c r="G54" s="57"/>
      <c r="H54" s="57"/>
      <c r="I54" s="57"/>
      <c r="J54" s="57"/>
      <c r="K54" s="57"/>
      <c r="L54" s="57"/>
      <c r="M54" s="57"/>
      <c r="N54" s="57"/>
      <c r="O54" s="57"/>
      <c r="P54" s="57"/>
      <c r="Q54" s="57"/>
      <c r="R54" s="57"/>
      <c r="S54" s="57"/>
      <c r="T54" s="57"/>
      <c r="U54" s="57"/>
      <c r="V54" s="57"/>
      <c r="W54" s="57"/>
      <c r="X54" s="57"/>
      <c r="Y54" s="57"/>
      <c r="Z54" s="57"/>
    </row>
    <row r="55" spans="1:26" ht="14.25" customHeight="1">
      <c r="A55" s="57"/>
      <c r="B55" s="69"/>
      <c r="C55" s="69"/>
      <c r="D55" s="69"/>
      <c r="E55" s="69"/>
      <c r="F55" s="69"/>
      <c r="G55" s="57"/>
      <c r="H55" s="57"/>
      <c r="I55" s="57"/>
      <c r="J55" s="57"/>
      <c r="K55" s="57"/>
      <c r="L55" s="57"/>
      <c r="M55" s="57"/>
      <c r="N55" s="57"/>
      <c r="O55" s="57"/>
      <c r="P55" s="57"/>
      <c r="Q55" s="57"/>
      <c r="R55" s="57"/>
      <c r="S55" s="57"/>
      <c r="T55" s="57"/>
      <c r="U55" s="57"/>
      <c r="V55" s="57"/>
      <c r="W55" s="57"/>
      <c r="X55" s="57"/>
      <c r="Y55" s="57"/>
      <c r="Z55" s="57"/>
    </row>
    <row r="56" spans="1:26" ht="14.25" customHeight="1">
      <c r="A56" s="57"/>
      <c r="B56" s="69"/>
      <c r="C56" s="69"/>
      <c r="D56" s="69"/>
      <c r="E56" s="69"/>
      <c r="F56" s="69"/>
      <c r="G56" s="57"/>
      <c r="H56" s="57"/>
      <c r="I56" s="57"/>
      <c r="J56" s="57"/>
      <c r="K56" s="57"/>
      <c r="L56" s="57"/>
      <c r="M56" s="57"/>
      <c r="N56" s="57"/>
      <c r="O56" s="57"/>
      <c r="P56" s="57"/>
      <c r="Q56" s="57"/>
      <c r="R56" s="57"/>
      <c r="S56" s="57"/>
      <c r="T56" s="57"/>
      <c r="U56" s="57"/>
      <c r="V56" s="57"/>
      <c r="W56" s="57"/>
      <c r="X56" s="57"/>
      <c r="Y56" s="57"/>
      <c r="Z56" s="57"/>
    </row>
    <row r="57" spans="1:26" ht="14.25" customHeight="1">
      <c r="A57" s="57"/>
      <c r="B57" s="69"/>
      <c r="C57" s="69"/>
      <c r="D57" s="69"/>
      <c r="E57" s="69"/>
      <c r="F57" s="69"/>
      <c r="G57" s="57"/>
      <c r="H57" s="57"/>
      <c r="I57" s="57"/>
      <c r="J57" s="57"/>
      <c r="K57" s="57"/>
      <c r="L57" s="57"/>
      <c r="M57" s="57"/>
      <c r="N57" s="57"/>
      <c r="O57" s="57"/>
      <c r="P57" s="57"/>
      <c r="Q57" s="57"/>
      <c r="R57" s="57"/>
      <c r="S57" s="57"/>
      <c r="T57" s="57"/>
      <c r="U57" s="57"/>
      <c r="V57" s="57"/>
      <c r="W57" s="57"/>
      <c r="X57" s="57"/>
      <c r="Y57" s="57"/>
      <c r="Z57" s="57"/>
    </row>
    <row r="58" spans="1:26" ht="14.25" customHeight="1">
      <c r="A58" s="57"/>
      <c r="B58" s="69"/>
      <c r="C58" s="69"/>
      <c r="D58" s="69"/>
      <c r="E58" s="69"/>
      <c r="F58" s="69"/>
      <c r="G58" s="57"/>
      <c r="H58" s="57"/>
      <c r="I58" s="57"/>
      <c r="J58" s="57"/>
      <c r="K58" s="57"/>
      <c r="L58" s="57"/>
      <c r="M58" s="57"/>
      <c r="N58" s="57"/>
      <c r="O58" s="57"/>
      <c r="P58" s="57"/>
      <c r="Q58" s="57"/>
      <c r="R58" s="57"/>
      <c r="S58" s="57"/>
      <c r="T58" s="57"/>
      <c r="U58" s="57"/>
      <c r="V58" s="57"/>
      <c r="W58" s="57"/>
      <c r="X58" s="57"/>
      <c r="Y58" s="57"/>
      <c r="Z58" s="57"/>
    </row>
    <row r="59" spans="1:26" ht="14.25" customHeight="1">
      <c r="A59" s="57"/>
      <c r="B59" s="69"/>
      <c r="C59" s="69"/>
      <c r="D59" s="69"/>
      <c r="E59" s="69"/>
      <c r="F59" s="69"/>
      <c r="G59" s="57"/>
      <c r="H59" s="57"/>
      <c r="I59" s="57"/>
      <c r="J59" s="57"/>
      <c r="K59" s="57"/>
      <c r="L59" s="57"/>
      <c r="M59" s="57"/>
      <c r="N59" s="57"/>
      <c r="O59" s="57"/>
      <c r="P59" s="57"/>
      <c r="Q59" s="57"/>
      <c r="R59" s="57"/>
      <c r="S59" s="57"/>
      <c r="T59" s="57"/>
      <c r="U59" s="57"/>
      <c r="V59" s="57"/>
      <c r="W59" s="57"/>
      <c r="X59" s="57"/>
      <c r="Y59" s="57"/>
      <c r="Z59" s="57"/>
    </row>
    <row r="60" spans="1:26" ht="14.25" customHeight="1">
      <c r="A60" s="57"/>
      <c r="B60" s="69"/>
      <c r="C60" s="69"/>
      <c r="D60" s="69"/>
      <c r="E60" s="69"/>
      <c r="F60" s="69"/>
      <c r="G60" s="57"/>
      <c r="H60" s="57"/>
      <c r="I60" s="57"/>
      <c r="J60" s="57"/>
      <c r="K60" s="57"/>
      <c r="L60" s="57"/>
      <c r="M60" s="57"/>
      <c r="N60" s="57"/>
      <c r="O60" s="57"/>
      <c r="P60" s="57"/>
      <c r="Q60" s="57"/>
      <c r="R60" s="57"/>
      <c r="S60" s="57"/>
      <c r="T60" s="57"/>
      <c r="U60" s="57"/>
      <c r="V60" s="57"/>
      <c r="W60" s="57"/>
      <c r="X60" s="57"/>
      <c r="Y60" s="57"/>
      <c r="Z60" s="57"/>
    </row>
    <row r="61" spans="1:26" ht="14.25" customHeight="1">
      <c r="A61" s="57"/>
      <c r="B61" s="69"/>
      <c r="C61" s="69"/>
      <c r="D61" s="69"/>
      <c r="E61" s="69"/>
      <c r="F61" s="69"/>
      <c r="G61" s="57"/>
      <c r="H61" s="57"/>
      <c r="I61" s="57"/>
      <c r="J61" s="57"/>
      <c r="K61" s="57"/>
      <c r="L61" s="57"/>
      <c r="M61" s="57"/>
      <c r="N61" s="57"/>
      <c r="O61" s="57"/>
      <c r="P61" s="57"/>
      <c r="Q61" s="57"/>
      <c r="R61" s="57"/>
      <c r="S61" s="57"/>
      <c r="T61" s="57"/>
      <c r="U61" s="57"/>
      <c r="V61" s="57"/>
      <c r="W61" s="57"/>
      <c r="X61" s="57"/>
      <c r="Y61" s="57"/>
      <c r="Z61" s="57"/>
    </row>
    <row r="62" spans="1:26" ht="14.25" customHeight="1">
      <c r="A62" s="57"/>
      <c r="B62" s="69"/>
      <c r="C62" s="69"/>
      <c r="D62" s="69"/>
      <c r="E62" s="69"/>
      <c r="F62" s="69"/>
      <c r="G62" s="57"/>
      <c r="H62" s="57"/>
      <c r="I62" s="57"/>
      <c r="J62" s="57"/>
      <c r="K62" s="57"/>
      <c r="L62" s="57"/>
      <c r="M62" s="57"/>
      <c r="N62" s="57"/>
      <c r="O62" s="57"/>
      <c r="P62" s="57"/>
      <c r="Q62" s="57"/>
      <c r="R62" s="57"/>
      <c r="S62" s="57"/>
      <c r="T62" s="57"/>
      <c r="U62" s="57"/>
      <c r="V62" s="57"/>
      <c r="W62" s="57"/>
      <c r="X62" s="57"/>
      <c r="Y62" s="57"/>
      <c r="Z62" s="57"/>
    </row>
    <row r="63" spans="1:26" ht="14.25" customHeight="1">
      <c r="A63" s="57"/>
      <c r="B63" s="69"/>
      <c r="C63" s="69"/>
      <c r="D63" s="69"/>
      <c r="E63" s="69"/>
      <c r="F63" s="69"/>
      <c r="G63" s="57"/>
      <c r="H63" s="57"/>
      <c r="I63" s="57"/>
      <c r="J63" s="57"/>
      <c r="K63" s="57"/>
      <c r="L63" s="57"/>
      <c r="M63" s="57"/>
      <c r="N63" s="57"/>
      <c r="O63" s="57"/>
      <c r="P63" s="57"/>
      <c r="Q63" s="57"/>
      <c r="R63" s="57"/>
      <c r="S63" s="57"/>
      <c r="T63" s="57"/>
      <c r="U63" s="57"/>
      <c r="V63" s="57"/>
      <c r="W63" s="57"/>
      <c r="X63" s="57"/>
      <c r="Y63" s="57"/>
      <c r="Z63" s="57"/>
    </row>
    <row r="64" spans="1:26" ht="14.25" customHeight="1">
      <c r="A64" s="57"/>
      <c r="B64" s="69"/>
      <c r="C64" s="69"/>
      <c r="D64" s="69"/>
      <c r="E64" s="69"/>
      <c r="F64" s="69"/>
      <c r="G64" s="57"/>
      <c r="H64" s="57"/>
      <c r="I64" s="57"/>
      <c r="J64" s="57"/>
      <c r="K64" s="57"/>
      <c r="L64" s="57"/>
      <c r="M64" s="57"/>
      <c r="N64" s="57"/>
      <c r="O64" s="57"/>
      <c r="P64" s="57"/>
      <c r="Q64" s="57"/>
      <c r="R64" s="57"/>
      <c r="S64" s="57"/>
      <c r="T64" s="57"/>
      <c r="U64" s="57"/>
      <c r="V64" s="57"/>
      <c r="W64" s="57"/>
      <c r="X64" s="57"/>
      <c r="Y64" s="57"/>
      <c r="Z64" s="57"/>
    </row>
    <row r="65" spans="1:26" ht="14.25" customHeight="1">
      <c r="A65" s="57"/>
      <c r="B65" s="69"/>
      <c r="C65" s="69"/>
      <c r="D65" s="69"/>
      <c r="E65" s="69"/>
      <c r="F65" s="69"/>
      <c r="G65" s="57"/>
      <c r="H65" s="57"/>
      <c r="I65" s="57"/>
      <c r="J65" s="57"/>
      <c r="K65" s="57"/>
      <c r="L65" s="57"/>
      <c r="M65" s="57"/>
      <c r="N65" s="57"/>
      <c r="O65" s="57"/>
      <c r="P65" s="57"/>
      <c r="Q65" s="57"/>
      <c r="R65" s="57"/>
      <c r="S65" s="57"/>
      <c r="T65" s="57"/>
      <c r="U65" s="57"/>
      <c r="V65" s="57"/>
      <c r="W65" s="57"/>
      <c r="X65" s="57"/>
      <c r="Y65" s="57"/>
      <c r="Z65" s="57"/>
    </row>
    <row r="66" spans="1:26" ht="14.25" customHeight="1">
      <c r="A66" s="57"/>
      <c r="B66" s="69"/>
      <c r="C66" s="69"/>
      <c r="D66" s="69"/>
      <c r="E66" s="69"/>
      <c r="F66" s="69"/>
      <c r="G66" s="57"/>
      <c r="H66" s="57"/>
      <c r="I66" s="57"/>
      <c r="J66" s="57"/>
      <c r="K66" s="57"/>
      <c r="L66" s="57"/>
      <c r="M66" s="57"/>
      <c r="N66" s="57"/>
      <c r="O66" s="57"/>
      <c r="P66" s="57"/>
      <c r="Q66" s="57"/>
      <c r="R66" s="57"/>
      <c r="S66" s="57"/>
      <c r="T66" s="57"/>
      <c r="U66" s="57"/>
      <c r="V66" s="57"/>
      <c r="W66" s="57"/>
      <c r="X66" s="57"/>
      <c r="Y66" s="57"/>
      <c r="Z66" s="57"/>
    </row>
    <row r="67" spans="1:26" ht="14.25" customHeight="1">
      <c r="A67" s="57"/>
      <c r="B67" s="69"/>
      <c r="C67" s="69"/>
      <c r="D67" s="69"/>
      <c r="E67" s="69"/>
      <c r="F67" s="69"/>
      <c r="G67" s="57"/>
      <c r="H67" s="57"/>
      <c r="I67" s="57"/>
      <c r="J67" s="57"/>
      <c r="K67" s="57"/>
      <c r="L67" s="57"/>
      <c r="M67" s="57"/>
      <c r="N67" s="57"/>
      <c r="O67" s="57"/>
      <c r="P67" s="57"/>
      <c r="Q67" s="57"/>
      <c r="R67" s="57"/>
      <c r="S67" s="57"/>
      <c r="T67" s="57"/>
      <c r="U67" s="57"/>
      <c r="V67" s="57"/>
      <c r="W67" s="57"/>
      <c r="X67" s="57"/>
      <c r="Y67" s="57"/>
      <c r="Z67" s="57"/>
    </row>
    <row r="68" spans="1:26" ht="14.25" customHeight="1">
      <c r="A68" s="57"/>
      <c r="B68" s="69"/>
      <c r="C68" s="69"/>
      <c r="D68" s="69"/>
      <c r="E68" s="69"/>
      <c r="F68" s="69"/>
      <c r="G68" s="57"/>
      <c r="H68" s="57"/>
      <c r="I68" s="57"/>
      <c r="J68" s="57"/>
      <c r="K68" s="57"/>
      <c r="L68" s="57"/>
      <c r="M68" s="57"/>
      <c r="N68" s="57"/>
      <c r="O68" s="57"/>
      <c r="P68" s="57"/>
      <c r="Q68" s="57"/>
      <c r="R68" s="57"/>
      <c r="S68" s="57"/>
      <c r="T68" s="57"/>
      <c r="U68" s="57"/>
      <c r="V68" s="57"/>
      <c r="W68" s="57"/>
      <c r="X68" s="57"/>
      <c r="Y68" s="57"/>
      <c r="Z68" s="57"/>
    </row>
    <row r="69" spans="1:26" ht="14.25" customHeight="1">
      <c r="A69" s="57"/>
      <c r="B69" s="69"/>
      <c r="C69" s="69"/>
      <c r="D69" s="69"/>
      <c r="E69" s="69"/>
      <c r="F69" s="69"/>
      <c r="G69" s="57"/>
      <c r="H69" s="57"/>
      <c r="I69" s="57"/>
      <c r="J69" s="57"/>
      <c r="K69" s="57"/>
      <c r="L69" s="57"/>
      <c r="M69" s="57"/>
      <c r="N69" s="57"/>
      <c r="O69" s="57"/>
      <c r="P69" s="57"/>
      <c r="Q69" s="57"/>
      <c r="R69" s="57"/>
      <c r="S69" s="57"/>
      <c r="T69" s="57"/>
      <c r="U69" s="57"/>
      <c r="V69" s="57"/>
      <c r="W69" s="57"/>
      <c r="X69" s="57"/>
      <c r="Y69" s="57"/>
      <c r="Z69" s="57"/>
    </row>
    <row r="70" spans="1:26" ht="14.25" customHeight="1">
      <c r="A70" s="57"/>
      <c r="B70" s="69"/>
      <c r="C70" s="69"/>
      <c r="D70" s="69"/>
      <c r="E70" s="69"/>
      <c r="F70" s="69"/>
      <c r="G70" s="57"/>
      <c r="H70" s="57"/>
      <c r="I70" s="57"/>
      <c r="J70" s="57"/>
      <c r="K70" s="57"/>
      <c r="L70" s="57"/>
      <c r="M70" s="57"/>
      <c r="N70" s="57"/>
      <c r="O70" s="57"/>
      <c r="P70" s="57"/>
      <c r="Q70" s="57"/>
      <c r="R70" s="57"/>
      <c r="S70" s="57"/>
      <c r="T70" s="57"/>
      <c r="U70" s="57"/>
      <c r="V70" s="57"/>
      <c r="W70" s="57"/>
      <c r="X70" s="57"/>
      <c r="Y70" s="57"/>
      <c r="Z70" s="57"/>
    </row>
    <row r="71" spans="1:26" ht="14.25" customHeight="1">
      <c r="A71" s="57"/>
      <c r="B71" s="69"/>
      <c r="C71" s="69"/>
      <c r="D71" s="69"/>
      <c r="E71" s="69"/>
      <c r="F71" s="69"/>
      <c r="G71" s="57"/>
      <c r="H71" s="57"/>
      <c r="I71" s="57"/>
      <c r="J71" s="57"/>
      <c r="K71" s="57"/>
      <c r="L71" s="57"/>
      <c r="M71" s="57"/>
      <c r="N71" s="57"/>
      <c r="O71" s="57"/>
      <c r="P71" s="57"/>
      <c r="Q71" s="57"/>
      <c r="R71" s="57"/>
      <c r="S71" s="57"/>
      <c r="T71" s="57"/>
      <c r="U71" s="57"/>
      <c r="V71" s="57"/>
      <c r="W71" s="57"/>
      <c r="X71" s="57"/>
      <c r="Y71" s="57"/>
      <c r="Z71" s="57"/>
    </row>
    <row r="72" spans="1:26" ht="14.25" customHeight="1">
      <c r="A72" s="57"/>
      <c r="B72" s="69"/>
      <c r="C72" s="69"/>
      <c r="D72" s="69"/>
      <c r="E72" s="69"/>
      <c r="F72" s="69"/>
      <c r="G72" s="57"/>
      <c r="H72" s="57"/>
      <c r="I72" s="57"/>
      <c r="J72" s="57"/>
      <c r="K72" s="57"/>
      <c r="L72" s="57"/>
      <c r="M72" s="57"/>
      <c r="N72" s="57"/>
      <c r="O72" s="57"/>
      <c r="P72" s="57"/>
      <c r="Q72" s="57"/>
      <c r="R72" s="57"/>
      <c r="S72" s="57"/>
      <c r="T72" s="57"/>
      <c r="U72" s="57"/>
      <c r="V72" s="57"/>
      <c r="W72" s="57"/>
      <c r="X72" s="57"/>
      <c r="Y72" s="57"/>
      <c r="Z72" s="57"/>
    </row>
    <row r="73" spans="1:26" ht="14.25" customHeight="1">
      <c r="A73" s="57"/>
      <c r="B73" s="69"/>
      <c r="C73" s="69"/>
      <c r="D73" s="69"/>
      <c r="E73" s="69"/>
      <c r="F73" s="69"/>
      <c r="G73" s="57"/>
      <c r="H73" s="57"/>
      <c r="I73" s="57"/>
      <c r="J73" s="57"/>
      <c r="K73" s="57"/>
      <c r="L73" s="57"/>
      <c r="M73" s="57"/>
      <c r="N73" s="57"/>
      <c r="O73" s="57"/>
      <c r="P73" s="57"/>
      <c r="Q73" s="57"/>
      <c r="R73" s="57"/>
      <c r="S73" s="57"/>
      <c r="T73" s="57"/>
      <c r="U73" s="57"/>
      <c r="V73" s="57"/>
      <c r="W73" s="57"/>
      <c r="X73" s="57"/>
      <c r="Y73" s="57"/>
      <c r="Z73" s="57"/>
    </row>
    <row r="74" spans="1:26" ht="14.25" customHeight="1">
      <c r="A74" s="57"/>
      <c r="B74" s="69"/>
      <c r="C74" s="69"/>
      <c r="D74" s="69"/>
      <c r="E74" s="69"/>
      <c r="F74" s="69"/>
      <c r="G74" s="57"/>
      <c r="H74" s="57"/>
      <c r="I74" s="57"/>
      <c r="J74" s="57"/>
      <c r="K74" s="57"/>
      <c r="L74" s="57"/>
      <c r="M74" s="57"/>
      <c r="N74" s="57"/>
      <c r="O74" s="57"/>
      <c r="P74" s="57"/>
      <c r="Q74" s="57"/>
      <c r="R74" s="57"/>
      <c r="S74" s="57"/>
      <c r="T74" s="57"/>
      <c r="U74" s="57"/>
      <c r="V74" s="57"/>
      <c r="W74" s="57"/>
      <c r="X74" s="57"/>
      <c r="Y74" s="57"/>
      <c r="Z74" s="57"/>
    </row>
    <row r="75" spans="1:26" ht="14.25" customHeight="1">
      <c r="A75" s="57"/>
      <c r="B75" s="69"/>
      <c r="C75" s="69"/>
      <c r="D75" s="69"/>
      <c r="E75" s="69"/>
      <c r="F75" s="69"/>
      <c r="G75" s="57"/>
      <c r="H75" s="57"/>
      <c r="I75" s="57"/>
      <c r="J75" s="57"/>
      <c r="K75" s="57"/>
      <c r="L75" s="57"/>
      <c r="M75" s="57"/>
      <c r="N75" s="57"/>
      <c r="O75" s="57"/>
      <c r="P75" s="57"/>
      <c r="Q75" s="57"/>
      <c r="R75" s="57"/>
      <c r="S75" s="57"/>
      <c r="T75" s="57"/>
      <c r="U75" s="57"/>
      <c r="V75" s="57"/>
      <c r="W75" s="57"/>
      <c r="X75" s="57"/>
      <c r="Y75" s="57"/>
      <c r="Z75" s="57"/>
    </row>
    <row r="76" spans="1:26" ht="14.25" customHeight="1">
      <c r="A76" s="57"/>
      <c r="B76" s="69"/>
      <c r="C76" s="69"/>
      <c r="D76" s="69"/>
      <c r="E76" s="69"/>
      <c r="F76" s="69"/>
      <c r="G76" s="57"/>
      <c r="H76" s="57"/>
      <c r="I76" s="57"/>
      <c r="J76" s="57"/>
      <c r="K76" s="57"/>
      <c r="L76" s="57"/>
      <c r="M76" s="57"/>
      <c r="N76" s="57"/>
      <c r="O76" s="57"/>
      <c r="P76" s="57"/>
      <c r="Q76" s="57"/>
      <c r="R76" s="57"/>
      <c r="S76" s="57"/>
      <c r="T76" s="57"/>
      <c r="U76" s="57"/>
      <c r="V76" s="57"/>
      <c r="W76" s="57"/>
      <c r="X76" s="57"/>
      <c r="Y76" s="57"/>
      <c r="Z76" s="57"/>
    </row>
    <row r="77" spans="1:26" ht="14.25" customHeight="1">
      <c r="A77" s="57"/>
      <c r="B77" s="69"/>
      <c r="C77" s="69"/>
      <c r="D77" s="69"/>
      <c r="E77" s="69"/>
      <c r="F77" s="69"/>
      <c r="G77" s="57"/>
      <c r="H77" s="57"/>
      <c r="I77" s="57"/>
      <c r="J77" s="57"/>
      <c r="K77" s="57"/>
      <c r="L77" s="57"/>
      <c r="M77" s="57"/>
      <c r="N77" s="57"/>
      <c r="O77" s="57"/>
      <c r="P77" s="57"/>
      <c r="Q77" s="57"/>
      <c r="R77" s="57"/>
      <c r="S77" s="57"/>
      <c r="T77" s="57"/>
      <c r="U77" s="57"/>
      <c r="V77" s="57"/>
      <c r="W77" s="57"/>
      <c r="X77" s="57"/>
      <c r="Y77" s="57"/>
      <c r="Z77" s="57"/>
    </row>
    <row r="78" spans="1:26" ht="14.25" customHeight="1">
      <c r="A78" s="57"/>
      <c r="B78" s="69"/>
      <c r="C78" s="69"/>
      <c r="D78" s="69"/>
      <c r="E78" s="69"/>
      <c r="F78" s="69"/>
      <c r="G78" s="57"/>
      <c r="H78" s="57"/>
      <c r="I78" s="57"/>
      <c r="J78" s="57"/>
      <c r="K78" s="57"/>
      <c r="L78" s="57"/>
      <c r="M78" s="57"/>
      <c r="N78" s="57"/>
      <c r="O78" s="57"/>
      <c r="P78" s="57"/>
      <c r="Q78" s="57"/>
      <c r="R78" s="57"/>
      <c r="S78" s="57"/>
      <c r="T78" s="57"/>
      <c r="U78" s="57"/>
      <c r="V78" s="57"/>
      <c r="W78" s="57"/>
      <c r="X78" s="57"/>
      <c r="Y78" s="57"/>
      <c r="Z78" s="57"/>
    </row>
    <row r="79" spans="1:26" ht="14.25" customHeight="1">
      <c r="A79" s="57"/>
      <c r="B79" s="69"/>
      <c r="C79" s="69"/>
      <c r="D79" s="69"/>
      <c r="E79" s="69"/>
      <c r="F79" s="69"/>
      <c r="G79" s="57"/>
      <c r="H79" s="57"/>
      <c r="I79" s="57"/>
      <c r="J79" s="57"/>
      <c r="K79" s="57"/>
      <c r="L79" s="57"/>
      <c r="M79" s="57"/>
      <c r="N79" s="57"/>
      <c r="O79" s="57"/>
      <c r="P79" s="57"/>
      <c r="Q79" s="57"/>
      <c r="R79" s="57"/>
      <c r="S79" s="57"/>
      <c r="T79" s="57"/>
      <c r="U79" s="57"/>
      <c r="V79" s="57"/>
      <c r="W79" s="57"/>
      <c r="X79" s="57"/>
      <c r="Y79" s="57"/>
      <c r="Z79" s="57"/>
    </row>
    <row r="80" spans="1:26" ht="14.25" customHeight="1">
      <c r="A80" s="57"/>
      <c r="B80" s="69"/>
      <c r="C80" s="69"/>
      <c r="D80" s="69"/>
      <c r="E80" s="69"/>
      <c r="F80" s="69"/>
      <c r="G80" s="57"/>
      <c r="H80" s="57"/>
      <c r="I80" s="57"/>
      <c r="J80" s="57"/>
      <c r="K80" s="57"/>
      <c r="L80" s="57"/>
      <c r="M80" s="57"/>
      <c r="N80" s="57"/>
      <c r="O80" s="57"/>
      <c r="P80" s="57"/>
      <c r="Q80" s="57"/>
      <c r="R80" s="57"/>
      <c r="S80" s="57"/>
      <c r="T80" s="57"/>
      <c r="U80" s="57"/>
      <c r="V80" s="57"/>
      <c r="W80" s="57"/>
      <c r="X80" s="57"/>
      <c r="Y80" s="57"/>
      <c r="Z80" s="57"/>
    </row>
    <row r="81" spans="1:26" ht="14.25" customHeight="1">
      <c r="A81" s="57"/>
      <c r="B81" s="69"/>
      <c r="C81" s="69"/>
      <c r="D81" s="69"/>
      <c r="E81" s="69"/>
      <c r="F81" s="69"/>
      <c r="G81" s="57"/>
      <c r="H81" s="57"/>
      <c r="I81" s="57"/>
      <c r="J81" s="57"/>
      <c r="K81" s="57"/>
      <c r="L81" s="57"/>
      <c r="M81" s="57"/>
      <c r="N81" s="57"/>
      <c r="O81" s="57"/>
      <c r="P81" s="57"/>
      <c r="Q81" s="57"/>
      <c r="R81" s="57"/>
      <c r="S81" s="57"/>
      <c r="T81" s="57"/>
      <c r="U81" s="57"/>
      <c r="V81" s="57"/>
      <c r="W81" s="57"/>
      <c r="X81" s="57"/>
      <c r="Y81" s="57"/>
      <c r="Z81" s="57"/>
    </row>
    <row r="82" spans="1:26" ht="14.25" customHeight="1">
      <c r="A82" s="57"/>
      <c r="B82" s="69"/>
      <c r="C82" s="69"/>
      <c r="D82" s="69"/>
      <c r="E82" s="69"/>
      <c r="F82" s="69"/>
      <c r="G82" s="57"/>
      <c r="H82" s="57"/>
      <c r="I82" s="57"/>
      <c r="J82" s="57"/>
      <c r="K82" s="57"/>
      <c r="L82" s="57"/>
      <c r="M82" s="57"/>
      <c r="N82" s="57"/>
      <c r="O82" s="57"/>
      <c r="P82" s="57"/>
      <c r="Q82" s="57"/>
      <c r="R82" s="57"/>
      <c r="S82" s="57"/>
      <c r="T82" s="57"/>
      <c r="U82" s="57"/>
      <c r="V82" s="57"/>
      <c r="W82" s="57"/>
      <c r="X82" s="57"/>
      <c r="Y82" s="57"/>
      <c r="Z82" s="57"/>
    </row>
    <row r="83" spans="1:26" ht="14.25" customHeight="1">
      <c r="A83" s="57"/>
      <c r="B83" s="69"/>
      <c r="C83" s="69"/>
      <c r="D83" s="69"/>
      <c r="E83" s="69"/>
      <c r="F83" s="69"/>
      <c r="G83" s="57"/>
      <c r="H83" s="57"/>
      <c r="I83" s="57"/>
      <c r="J83" s="57"/>
      <c r="K83" s="57"/>
      <c r="L83" s="57"/>
      <c r="M83" s="57"/>
      <c r="N83" s="57"/>
      <c r="O83" s="57"/>
      <c r="P83" s="57"/>
      <c r="Q83" s="57"/>
      <c r="R83" s="57"/>
      <c r="S83" s="57"/>
      <c r="T83" s="57"/>
      <c r="U83" s="57"/>
      <c r="V83" s="57"/>
      <c r="W83" s="57"/>
      <c r="X83" s="57"/>
      <c r="Y83" s="57"/>
      <c r="Z83" s="57"/>
    </row>
    <row r="84" spans="1:26" ht="14.25" customHeight="1">
      <c r="A84" s="57"/>
      <c r="B84" s="69"/>
      <c r="C84" s="69"/>
      <c r="D84" s="69"/>
      <c r="E84" s="69"/>
      <c r="F84" s="69"/>
      <c r="G84" s="57"/>
      <c r="H84" s="57"/>
      <c r="I84" s="57"/>
      <c r="J84" s="57"/>
      <c r="K84" s="57"/>
      <c r="L84" s="57"/>
      <c r="M84" s="57"/>
      <c r="N84" s="57"/>
      <c r="O84" s="57"/>
      <c r="P84" s="57"/>
      <c r="Q84" s="57"/>
      <c r="R84" s="57"/>
      <c r="S84" s="57"/>
      <c r="T84" s="57"/>
      <c r="U84" s="57"/>
      <c r="V84" s="57"/>
      <c r="W84" s="57"/>
      <c r="X84" s="57"/>
      <c r="Y84" s="57"/>
      <c r="Z84" s="57"/>
    </row>
    <row r="85" spans="1:26" ht="14.25" customHeight="1">
      <c r="A85" s="57"/>
      <c r="B85" s="69"/>
      <c r="C85" s="69"/>
      <c r="D85" s="69"/>
      <c r="E85" s="69"/>
      <c r="F85" s="69"/>
      <c r="G85" s="57"/>
      <c r="H85" s="57"/>
      <c r="I85" s="57"/>
      <c r="J85" s="57"/>
      <c r="K85" s="57"/>
      <c r="L85" s="57"/>
      <c r="M85" s="57"/>
      <c r="N85" s="57"/>
      <c r="O85" s="57"/>
      <c r="P85" s="57"/>
      <c r="Q85" s="57"/>
      <c r="R85" s="57"/>
      <c r="S85" s="57"/>
      <c r="T85" s="57"/>
      <c r="U85" s="57"/>
      <c r="V85" s="57"/>
      <c r="W85" s="57"/>
      <c r="X85" s="57"/>
      <c r="Y85" s="57"/>
      <c r="Z85" s="57"/>
    </row>
    <row r="86" spans="1:26" ht="14.25" customHeight="1">
      <c r="A86" s="57"/>
      <c r="B86" s="69"/>
      <c r="C86" s="69"/>
      <c r="D86" s="69"/>
      <c r="E86" s="69"/>
      <c r="F86" s="69"/>
      <c r="G86" s="57"/>
      <c r="H86" s="57"/>
      <c r="I86" s="57"/>
      <c r="J86" s="57"/>
      <c r="K86" s="57"/>
      <c r="L86" s="57"/>
      <c r="M86" s="57"/>
      <c r="N86" s="57"/>
      <c r="O86" s="57"/>
      <c r="P86" s="57"/>
      <c r="Q86" s="57"/>
      <c r="R86" s="57"/>
      <c r="S86" s="57"/>
      <c r="T86" s="57"/>
      <c r="U86" s="57"/>
      <c r="V86" s="57"/>
      <c r="W86" s="57"/>
      <c r="X86" s="57"/>
      <c r="Y86" s="57"/>
      <c r="Z86" s="57"/>
    </row>
    <row r="87" spans="1:26" ht="14.25" customHeight="1">
      <c r="A87" s="57"/>
      <c r="B87" s="69"/>
      <c r="C87" s="69"/>
      <c r="D87" s="69"/>
      <c r="E87" s="69"/>
      <c r="F87" s="69"/>
      <c r="G87" s="57"/>
      <c r="H87" s="57"/>
      <c r="I87" s="57"/>
      <c r="J87" s="57"/>
      <c r="K87" s="57"/>
      <c r="L87" s="57"/>
      <c r="M87" s="57"/>
      <c r="N87" s="57"/>
      <c r="O87" s="57"/>
      <c r="P87" s="57"/>
      <c r="Q87" s="57"/>
      <c r="R87" s="57"/>
      <c r="S87" s="57"/>
      <c r="T87" s="57"/>
      <c r="U87" s="57"/>
      <c r="V87" s="57"/>
      <c r="W87" s="57"/>
      <c r="X87" s="57"/>
      <c r="Y87" s="57"/>
      <c r="Z87" s="57"/>
    </row>
    <row r="88" spans="1:26" ht="14.25" customHeight="1">
      <c r="A88" s="57"/>
      <c r="B88" s="69"/>
      <c r="C88" s="69"/>
      <c r="D88" s="69"/>
      <c r="E88" s="69"/>
      <c r="F88" s="69"/>
      <c r="G88" s="57"/>
      <c r="H88" s="57"/>
      <c r="I88" s="57"/>
      <c r="J88" s="57"/>
      <c r="K88" s="57"/>
      <c r="L88" s="57"/>
      <c r="M88" s="57"/>
      <c r="N88" s="57"/>
      <c r="O88" s="57"/>
      <c r="P88" s="57"/>
      <c r="Q88" s="57"/>
      <c r="R88" s="57"/>
      <c r="S88" s="57"/>
      <c r="T88" s="57"/>
      <c r="U88" s="57"/>
      <c r="V88" s="57"/>
      <c r="W88" s="57"/>
      <c r="X88" s="57"/>
      <c r="Y88" s="57"/>
      <c r="Z88" s="57"/>
    </row>
    <row r="89" spans="1:26" ht="14.25" customHeight="1">
      <c r="A89" s="57"/>
      <c r="B89" s="69"/>
      <c r="C89" s="69"/>
      <c r="D89" s="69"/>
      <c r="E89" s="69"/>
      <c r="F89" s="69"/>
      <c r="G89" s="57"/>
      <c r="H89" s="57"/>
      <c r="I89" s="57"/>
      <c r="J89" s="57"/>
      <c r="K89" s="57"/>
      <c r="L89" s="57"/>
      <c r="M89" s="57"/>
      <c r="N89" s="57"/>
      <c r="O89" s="57"/>
      <c r="P89" s="57"/>
      <c r="Q89" s="57"/>
      <c r="R89" s="57"/>
      <c r="S89" s="57"/>
      <c r="T89" s="57"/>
      <c r="U89" s="57"/>
      <c r="V89" s="57"/>
      <c r="W89" s="57"/>
      <c r="X89" s="57"/>
      <c r="Y89" s="57"/>
      <c r="Z89" s="57"/>
    </row>
    <row r="90" spans="1:26" ht="14.25" customHeight="1">
      <c r="A90" s="57"/>
      <c r="B90" s="69"/>
      <c r="C90" s="69"/>
      <c r="D90" s="69"/>
      <c r="E90" s="69"/>
      <c r="F90" s="69"/>
      <c r="G90" s="57"/>
      <c r="H90" s="57"/>
      <c r="I90" s="57"/>
      <c r="J90" s="57"/>
      <c r="K90" s="57"/>
      <c r="L90" s="57"/>
      <c r="M90" s="57"/>
      <c r="N90" s="57"/>
      <c r="O90" s="57"/>
      <c r="P90" s="57"/>
      <c r="Q90" s="57"/>
      <c r="R90" s="57"/>
      <c r="S90" s="57"/>
      <c r="T90" s="57"/>
      <c r="U90" s="57"/>
      <c r="V90" s="57"/>
      <c r="W90" s="57"/>
      <c r="X90" s="57"/>
      <c r="Y90" s="57"/>
      <c r="Z90" s="57"/>
    </row>
    <row r="91" spans="1:26" ht="14.25" customHeight="1">
      <c r="A91" s="57"/>
      <c r="B91" s="69"/>
      <c r="C91" s="69"/>
      <c r="D91" s="69"/>
      <c r="E91" s="69"/>
      <c r="F91" s="69"/>
      <c r="G91" s="57"/>
      <c r="H91" s="57"/>
      <c r="I91" s="57"/>
      <c r="J91" s="57"/>
      <c r="K91" s="57"/>
      <c r="L91" s="57"/>
      <c r="M91" s="57"/>
      <c r="N91" s="57"/>
      <c r="O91" s="57"/>
      <c r="P91" s="57"/>
      <c r="Q91" s="57"/>
      <c r="R91" s="57"/>
      <c r="S91" s="57"/>
      <c r="T91" s="57"/>
      <c r="U91" s="57"/>
      <c r="V91" s="57"/>
      <c r="W91" s="57"/>
      <c r="X91" s="57"/>
      <c r="Y91" s="57"/>
      <c r="Z91" s="57"/>
    </row>
    <row r="92" spans="1:26" ht="14.25" customHeight="1">
      <c r="A92" s="57"/>
      <c r="B92" s="69"/>
      <c r="C92" s="69"/>
      <c r="D92" s="69"/>
      <c r="E92" s="69"/>
      <c r="F92" s="69"/>
      <c r="G92" s="57"/>
      <c r="H92" s="57"/>
      <c r="I92" s="57"/>
      <c r="J92" s="57"/>
      <c r="K92" s="57"/>
      <c r="L92" s="57"/>
      <c r="M92" s="57"/>
      <c r="N92" s="57"/>
      <c r="O92" s="57"/>
      <c r="P92" s="57"/>
      <c r="Q92" s="57"/>
      <c r="R92" s="57"/>
      <c r="S92" s="57"/>
      <c r="T92" s="57"/>
      <c r="U92" s="57"/>
      <c r="V92" s="57"/>
      <c r="W92" s="57"/>
      <c r="X92" s="57"/>
      <c r="Y92" s="57"/>
      <c r="Z92" s="57"/>
    </row>
    <row r="93" spans="1:26" ht="14.25" customHeight="1">
      <c r="A93" s="57"/>
      <c r="B93" s="69"/>
      <c r="C93" s="69"/>
      <c r="D93" s="69"/>
      <c r="E93" s="69"/>
      <c r="F93" s="69"/>
      <c r="G93" s="57"/>
      <c r="H93" s="57"/>
      <c r="I93" s="57"/>
      <c r="J93" s="57"/>
      <c r="K93" s="57"/>
      <c r="L93" s="57"/>
      <c r="M93" s="57"/>
      <c r="N93" s="57"/>
      <c r="O93" s="57"/>
      <c r="P93" s="57"/>
      <c r="Q93" s="57"/>
      <c r="R93" s="57"/>
      <c r="S93" s="57"/>
      <c r="T93" s="57"/>
      <c r="U93" s="57"/>
      <c r="V93" s="57"/>
      <c r="W93" s="57"/>
      <c r="X93" s="57"/>
      <c r="Y93" s="57"/>
      <c r="Z93" s="57"/>
    </row>
    <row r="94" spans="1:26" ht="14.25" customHeight="1">
      <c r="A94" s="57"/>
      <c r="B94" s="69"/>
      <c r="C94" s="69"/>
      <c r="D94" s="69"/>
      <c r="E94" s="69"/>
      <c r="F94" s="69"/>
      <c r="G94" s="57"/>
      <c r="H94" s="57"/>
      <c r="I94" s="57"/>
      <c r="J94" s="57"/>
      <c r="K94" s="57"/>
      <c r="L94" s="57"/>
      <c r="M94" s="57"/>
      <c r="N94" s="57"/>
      <c r="O94" s="57"/>
      <c r="P94" s="57"/>
      <c r="Q94" s="57"/>
      <c r="R94" s="57"/>
      <c r="S94" s="57"/>
      <c r="T94" s="57"/>
      <c r="U94" s="57"/>
      <c r="V94" s="57"/>
      <c r="W94" s="57"/>
      <c r="X94" s="57"/>
      <c r="Y94" s="57"/>
      <c r="Z94" s="57"/>
    </row>
    <row r="95" spans="1:26" ht="14.25" customHeight="1">
      <c r="A95" s="57"/>
      <c r="B95" s="69"/>
      <c r="C95" s="69"/>
      <c r="D95" s="69"/>
      <c r="E95" s="69"/>
      <c r="F95" s="69"/>
      <c r="G95" s="57"/>
      <c r="H95" s="57"/>
      <c r="I95" s="57"/>
      <c r="J95" s="57"/>
      <c r="K95" s="57"/>
      <c r="L95" s="57"/>
      <c r="M95" s="57"/>
      <c r="N95" s="57"/>
      <c r="O95" s="57"/>
      <c r="P95" s="57"/>
      <c r="Q95" s="57"/>
      <c r="R95" s="57"/>
      <c r="S95" s="57"/>
      <c r="T95" s="57"/>
      <c r="U95" s="57"/>
      <c r="V95" s="57"/>
      <c r="W95" s="57"/>
      <c r="X95" s="57"/>
      <c r="Y95" s="57"/>
      <c r="Z95" s="57"/>
    </row>
    <row r="96" spans="1:26" ht="14.25" customHeight="1">
      <c r="A96" s="57"/>
      <c r="B96" s="69"/>
      <c r="C96" s="69"/>
      <c r="D96" s="69"/>
      <c r="E96" s="69"/>
      <c r="F96" s="69"/>
      <c r="G96" s="57"/>
      <c r="H96" s="57"/>
      <c r="I96" s="57"/>
      <c r="J96" s="57"/>
      <c r="K96" s="57"/>
      <c r="L96" s="57"/>
      <c r="M96" s="57"/>
      <c r="N96" s="57"/>
      <c r="O96" s="57"/>
      <c r="P96" s="57"/>
      <c r="Q96" s="57"/>
      <c r="R96" s="57"/>
      <c r="S96" s="57"/>
      <c r="T96" s="57"/>
      <c r="U96" s="57"/>
      <c r="V96" s="57"/>
      <c r="W96" s="57"/>
      <c r="X96" s="57"/>
      <c r="Y96" s="57"/>
      <c r="Z96" s="57"/>
    </row>
    <row r="97" spans="1:26" ht="14.25" customHeight="1">
      <c r="A97" s="57"/>
      <c r="B97" s="69"/>
      <c r="C97" s="69"/>
      <c r="D97" s="69"/>
      <c r="E97" s="69"/>
      <c r="F97" s="69"/>
      <c r="G97" s="57"/>
      <c r="H97" s="57"/>
      <c r="I97" s="57"/>
      <c r="J97" s="57"/>
      <c r="K97" s="57"/>
      <c r="L97" s="57"/>
      <c r="M97" s="57"/>
      <c r="N97" s="57"/>
      <c r="O97" s="57"/>
      <c r="P97" s="57"/>
      <c r="Q97" s="57"/>
      <c r="R97" s="57"/>
      <c r="S97" s="57"/>
      <c r="T97" s="57"/>
      <c r="U97" s="57"/>
      <c r="V97" s="57"/>
      <c r="W97" s="57"/>
      <c r="X97" s="57"/>
      <c r="Y97" s="57"/>
      <c r="Z97" s="57"/>
    </row>
    <row r="98" spans="1:26" ht="14.25" customHeight="1">
      <c r="A98" s="57"/>
      <c r="B98" s="69"/>
      <c r="C98" s="69"/>
      <c r="D98" s="69"/>
      <c r="E98" s="69"/>
      <c r="F98" s="69"/>
      <c r="G98" s="57"/>
      <c r="H98" s="57"/>
      <c r="I98" s="57"/>
      <c r="J98" s="57"/>
      <c r="K98" s="57"/>
      <c r="L98" s="57"/>
      <c r="M98" s="57"/>
      <c r="N98" s="57"/>
      <c r="O98" s="57"/>
      <c r="P98" s="57"/>
      <c r="Q98" s="57"/>
      <c r="R98" s="57"/>
      <c r="S98" s="57"/>
      <c r="T98" s="57"/>
      <c r="U98" s="57"/>
      <c r="V98" s="57"/>
      <c r="W98" s="57"/>
      <c r="X98" s="57"/>
      <c r="Y98" s="57"/>
      <c r="Z98" s="57"/>
    </row>
    <row r="99" spans="1:26" ht="14.25" customHeight="1">
      <c r="A99" s="57"/>
      <c r="B99" s="69"/>
      <c r="C99" s="69"/>
      <c r="D99" s="69"/>
      <c r="E99" s="69"/>
      <c r="F99" s="69"/>
      <c r="G99" s="57"/>
      <c r="H99" s="57"/>
      <c r="I99" s="57"/>
      <c r="J99" s="57"/>
      <c r="K99" s="57"/>
      <c r="L99" s="57"/>
      <c r="M99" s="57"/>
      <c r="N99" s="57"/>
      <c r="O99" s="57"/>
      <c r="P99" s="57"/>
      <c r="Q99" s="57"/>
      <c r="R99" s="57"/>
      <c r="S99" s="57"/>
      <c r="T99" s="57"/>
      <c r="U99" s="57"/>
      <c r="V99" s="57"/>
      <c r="W99" s="57"/>
      <c r="X99" s="57"/>
      <c r="Y99" s="57"/>
      <c r="Z99" s="57"/>
    </row>
    <row r="100" spans="1:26" ht="14.25" customHeight="1">
      <c r="A100" s="57"/>
      <c r="B100" s="69"/>
      <c r="C100" s="69"/>
      <c r="D100" s="69"/>
      <c r="E100" s="69"/>
      <c r="F100" s="69"/>
      <c r="G100" s="57"/>
      <c r="H100" s="57"/>
      <c r="I100" s="57"/>
      <c r="J100" s="57"/>
      <c r="K100" s="57"/>
      <c r="L100" s="57"/>
      <c r="M100" s="57"/>
      <c r="N100" s="57"/>
      <c r="O100" s="57"/>
      <c r="P100" s="57"/>
      <c r="Q100" s="57"/>
      <c r="R100" s="57"/>
      <c r="S100" s="57"/>
      <c r="T100" s="57"/>
      <c r="U100" s="57"/>
      <c r="V100" s="57"/>
      <c r="W100" s="57"/>
      <c r="X100" s="57"/>
      <c r="Y100" s="57"/>
      <c r="Z100" s="57"/>
    </row>
    <row r="101" spans="1:26" ht="14.25" customHeight="1">
      <c r="A101" s="57"/>
      <c r="B101" s="69"/>
      <c r="C101" s="69"/>
      <c r="D101" s="69"/>
      <c r="E101" s="69"/>
      <c r="F101" s="69"/>
      <c r="G101" s="57"/>
      <c r="H101" s="57"/>
      <c r="I101" s="57"/>
      <c r="J101" s="57"/>
      <c r="K101" s="57"/>
      <c r="L101" s="57"/>
      <c r="M101" s="57"/>
      <c r="N101" s="57"/>
      <c r="O101" s="57"/>
      <c r="P101" s="57"/>
      <c r="Q101" s="57"/>
      <c r="R101" s="57"/>
      <c r="S101" s="57"/>
      <c r="T101" s="57"/>
      <c r="U101" s="57"/>
      <c r="V101" s="57"/>
      <c r="W101" s="57"/>
      <c r="X101" s="57"/>
      <c r="Y101" s="57"/>
      <c r="Z101" s="57"/>
    </row>
    <row r="102" spans="1:26" ht="14.25" customHeight="1">
      <c r="A102" s="57"/>
      <c r="B102" s="69"/>
      <c r="C102" s="69"/>
      <c r="D102" s="69"/>
      <c r="E102" s="69"/>
      <c r="F102" s="69"/>
      <c r="G102" s="57"/>
      <c r="H102" s="57"/>
      <c r="I102" s="57"/>
      <c r="J102" s="57"/>
      <c r="K102" s="57"/>
      <c r="L102" s="57"/>
      <c r="M102" s="57"/>
      <c r="N102" s="57"/>
      <c r="O102" s="57"/>
      <c r="P102" s="57"/>
      <c r="Q102" s="57"/>
      <c r="R102" s="57"/>
      <c r="S102" s="57"/>
      <c r="T102" s="57"/>
      <c r="U102" s="57"/>
      <c r="V102" s="57"/>
      <c r="W102" s="57"/>
      <c r="X102" s="57"/>
      <c r="Y102" s="57"/>
      <c r="Z102" s="57"/>
    </row>
    <row r="103" spans="1:26" ht="14.25" customHeight="1">
      <c r="A103" s="57"/>
      <c r="B103" s="69"/>
      <c r="C103" s="69"/>
      <c r="D103" s="69"/>
      <c r="E103" s="69"/>
      <c r="F103" s="69"/>
      <c r="G103" s="57"/>
      <c r="H103" s="57"/>
      <c r="I103" s="57"/>
      <c r="J103" s="57"/>
      <c r="K103" s="57"/>
      <c r="L103" s="57"/>
      <c r="M103" s="57"/>
      <c r="N103" s="57"/>
      <c r="O103" s="57"/>
      <c r="P103" s="57"/>
      <c r="Q103" s="57"/>
      <c r="R103" s="57"/>
      <c r="S103" s="57"/>
      <c r="T103" s="57"/>
      <c r="U103" s="57"/>
      <c r="V103" s="57"/>
      <c r="W103" s="57"/>
      <c r="X103" s="57"/>
      <c r="Y103" s="57"/>
      <c r="Z103" s="57"/>
    </row>
    <row r="104" spans="1:26" ht="14.25" customHeight="1">
      <c r="A104" s="57"/>
      <c r="B104" s="69"/>
      <c r="C104" s="69"/>
      <c r="D104" s="69"/>
      <c r="E104" s="69"/>
      <c r="F104" s="69"/>
      <c r="G104" s="57"/>
      <c r="H104" s="57"/>
      <c r="I104" s="57"/>
      <c r="J104" s="57"/>
      <c r="K104" s="57"/>
      <c r="L104" s="57"/>
      <c r="M104" s="57"/>
      <c r="N104" s="57"/>
      <c r="O104" s="57"/>
      <c r="P104" s="57"/>
      <c r="Q104" s="57"/>
      <c r="R104" s="57"/>
      <c r="S104" s="57"/>
      <c r="T104" s="57"/>
      <c r="U104" s="57"/>
      <c r="V104" s="57"/>
      <c r="W104" s="57"/>
      <c r="X104" s="57"/>
      <c r="Y104" s="57"/>
      <c r="Z104" s="57"/>
    </row>
    <row r="105" spans="1:26" ht="14.25" customHeight="1">
      <c r="A105" s="57"/>
      <c r="B105" s="69"/>
      <c r="C105" s="69"/>
      <c r="D105" s="69"/>
      <c r="E105" s="69"/>
      <c r="F105" s="69"/>
      <c r="G105" s="57"/>
      <c r="H105" s="57"/>
      <c r="I105" s="57"/>
      <c r="J105" s="57"/>
      <c r="K105" s="57"/>
      <c r="L105" s="57"/>
      <c r="M105" s="57"/>
      <c r="N105" s="57"/>
      <c r="O105" s="57"/>
      <c r="P105" s="57"/>
      <c r="Q105" s="57"/>
      <c r="R105" s="57"/>
      <c r="S105" s="57"/>
      <c r="T105" s="57"/>
      <c r="U105" s="57"/>
      <c r="V105" s="57"/>
      <c r="W105" s="57"/>
      <c r="X105" s="57"/>
      <c r="Y105" s="57"/>
      <c r="Z105" s="57"/>
    </row>
    <row r="106" spans="1:26" ht="14.25" customHeight="1">
      <c r="A106" s="57"/>
      <c r="B106" s="69"/>
      <c r="C106" s="69"/>
      <c r="D106" s="69"/>
      <c r="E106" s="69"/>
      <c r="F106" s="69"/>
      <c r="G106" s="57"/>
      <c r="H106" s="57"/>
      <c r="I106" s="57"/>
      <c r="J106" s="57"/>
      <c r="K106" s="57"/>
      <c r="L106" s="57"/>
      <c r="M106" s="57"/>
      <c r="N106" s="57"/>
      <c r="O106" s="57"/>
      <c r="P106" s="57"/>
      <c r="Q106" s="57"/>
      <c r="R106" s="57"/>
      <c r="S106" s="57"/>
      <c r="T106" s="57"/>
      <c r="U106" s="57"/>
      <c r="V106" s="57"/>
      <c r="W106" s="57"/>
      <c r="X106" s="57"/>
      <c r="Y106" s="57"/>
      <c r="Z106" s="57"/>
    </row>
    <row r="107" spans="1:26" ht="14.25" customHeight="1">
      <c r="A107" s="57"/>
      <c r="B107" s="69"/>
      <c r="C107" s="69"/>
      <c r="D107" s="69"/>
      <c r="E107" s="69"/>
      <c r="F107" s="69"/>
      <c r="G107" s="57"/>
      <c r="H107" s="57"/>
      <c r="I107" s="57"/>
      <c r="J107" s="57"/>
      <c r="K107" s="57"/>
      <c r="L107" s="57"/>
      <c r="M107" s="57"/>
      <c r="N107" s="57"/>
      <c r="O107" s="57"/>
      <c r="P107" s="57"/>
      <c r="Q107" s="57"/>
      <c r="R107" s="57"/>
      <c r="S107" s="57"/>
      <c r="T107" s="57"/>
      <c r="U107" s="57"/>
      <c r="V107" s="57"/>
      <c r="W107" s="57"/>
      <c r="X107" s="57"/>
      <c r="Y107" s="57"/>
      <c r="Z107" s="57"/>
    </row>
    <row r="108" spans="1:26" ht="14.25" customHeight="1">
      <c r="A108" s="57"/>
      <c r="B108" s="69"/>
      <c r="C108" s="69"/>
      <c r="D108" s="69"/>
      <c r="E108" s="69"/>
      <c r="F108" s="69"/>
      <c r="G108" s="57"/>
      <c r="H108" s="57"/>
      <c r="I108" s="57"/>
      <c r="J108" s="57"/>
      <c r="K108" s="57"/>
      <c r="L108" s="57"/>
      <c r="M108" s="57"/>
      <c r="N108" s="57"/>
      <c r="O108" s="57"/>
      <c r="P108" s="57"/>
      <c r="Q108" s="57"/>
      <c r="R108" s="57"/>
      <c r="S108" s="57"/>
      <c r="T108" s="57"/>
      <c r="U108" s="57"/>
      <c r="V108" s="57"/>
      <c r="W108" s="57"/>
      <c r="X108" s="57"/>
      <c r="Y108" s="57"/>
      <c r="Z108" s="57"/>
    </row>
    <row r="109" spans="1:26" ht="14.25" customHeight="1">
      <c r="A109" s="57"/>
      <c r="B109" s="69"/>
      <c r="C109" s="69"/>
      <c r="D109" s="69"/>
      <c r="E109" s="69"/>
      <c r="F109" s="69"/>
      <c r="G109" s="57"/>
      <c r="H109" s="57"/>
      <c r="I109" s="57"/>
      <c r="J109" s="57"/>
      <c r="K109" s="57"/>
      <c r="L109" s="57"/>
      <c r="M109" s="57"/>
      <c r="N109" s="57"/>
      <c r="O109" s="57"/>
      <c r="P109" s="57"/>
      <c r="Q109" s="57"/>
      <c r="R109" s="57"/>
      <c r="S109" s="57"/>
      <c r="T109" s="57"/>
      <c r="U109" s="57"/>
      <c r="V109" s="57"/>
      <c r="W109" s="57"/>
      <c r="X109" s="57"/>
      <c r="Y109" s="57"/>
      <c r="Z109" s="57"/>
    </row>
    <row r="110" spans="1:26" ht="14.25" customHeight="1">
      <c r="A110" s="57"/>
      <c r="B110" s="69"/>
      <c r="C110" s="69"/>
      <c r="D110" s="69"/>
      <c r="E110" s="69"/>
      <c r="F110" s="69"/>
      <c r="G110" s="57"/>
      <c r="H110" s="57"/>
      <c r="I110" s="57"/>
      <c r="J110" s="57"/>
      <c r="K110" s="57"/>
      <c r="L110" s="57"/>
      <c r="M110" s="57"/>
      <c r="N110" s="57"/>
      <c r="O110" s="57"/>
      <c r="P110" s="57"/>
      <c r="Q110" s="57"/>
      <c r="R110" s="57"/>
      <c r="S110" s="57"/>
      <c r="T110" s="57"/>
      <c r="U110" s="57"/>
      <c r="V110" s="57"/>
      <c r="W110" s="57"/>
      <c r="X110" s="57"/>
      <c r="Y110" s="57"/>
      <c r="Z110" s="57"/>
    </row>
    <row r="111" spans="1:26" ht="14.25" customHeight="1">
      <c r="A111" s="57"/>
      <c r="B111" s="69"/>
      <c r="C111" s="69"/>
      <c r="D111" s="69"/>
      <c r="E111" s="69"/>
      <c r="F111" s="69"/>
      <c r="G111" s="57"/>
      <c r="H111" s="57"/>
      <c r="I111" s="57"/>
      <c r="J111" s="57"/>
      <c r="K111" s="57"/>
      <c r="L111" s="57"/>
      <c r="M111" s="57"/>
      <c r="N111" s="57"/>
      <c r="O111" s="57"/>
      <c r="P111" s="57"/>
      <c r="Q111" s="57"/>
      <c r="R111" s="57"/>
      <c r="S111" s="57"/>
      <c r="T111" s="57"/>
      <c r="U111" s="57"/>
      <c r="V111" s="57"/>
      <c r="W111" s="57"/>
      <c r="X111" s="57"/>
      <c r="Y111" s="57"/>
      <c r="Z111" s="57"/>
    </row>
    <row r="112" spans="1:26" ht="14.25" customHeight="1">
      <c r="A112" s="57"/>
      <c r="B112" s="69"/>
      <c r="C112" s="69"/>
      <c r="D112" s="69"/>
      <c r="E112" s="69"/>
      <c r="F112" s="69"/>
      <c r="G112" s="57"/>
      <c r="H112" s="57"/>
      <c r="I112" s="57"/>
      <c r="J112" s="57"/>
      <c r="K112" s="57"/>
      <c r="L112" s="57"/>
      <c r="M112" s="57"/>
      <c r="N112" s="57"/>
      <c r="O112" s="57"/>
      <c r="P112" s="57"/>
      <c r="Q112" s="57"/>
      <c r="R112" s="57"/>
      <c r="S112" s="57"/>
      <c r="T112" s="57"/>
      <c r="U112" s="57"/>
      <c r="V112" s="57"/>
      <c r="W112" s="57"/>
      <c r="X112" s="57"/>
      <c r="Y112" s="57"/>
      <c r="Z112" s="57"/>
    </row>
    <row r="113" spans="1:26" ht="14.25" customHeight="1">
      <c r="A113" s="57"/>
      <c r="B113" s="69"/>
      <c r="C113" s="69"/>
      <c r="D113" s="69"/>
      <c r="E113" s="69"/>
      <c r="F113" s="69"/>
      <c r="G113" s="57"/>
      <c r="H113" s="57"/>
      <c r="I113" s="57"/>
      <c r="J113" s="57"/>
      <c r="K113" s="57"/>
      <c r="L113" s="57"/>
      <c r="M113" s="57"/>
      <c r="N113" s="57"/>
      <c r="O113" s="57"/>
      <c r="P113" s="57"/>
      <c r="Q113" s="57"/>
      <c r="R113" s="57"/>
      <c r="S113" s="57"/>
      <c r="T113" s="57"/>
      <c r="U113" s="57"/>
      <c r="V113" s="57"/>
      <c r="W113" s="57"/>
      <c r="X113" s="57"/>
      <c r="Y113" s="57"/>
      <c r="Z113" s="57"/>
    </row>
    <row r="114" spans="1:26" ht="14.25" customHeight="1">
      <c r="A114" s="57"/>
      <c r="B114" s="69"/>
      <c r="C114" s="69"/>
      <c r="D114" s="69"/>
      <c r="E114" s="69"/>
      <c r="F114" s="69"/>
      <c r="G114" s="57"/>
      <c r="H114" s="57"/>
      <c r="I114" s="57"/>
      <c r="J114" s="57"/>
      <c r="K114" s="57"/>
      <c r="L114" s="57"/>
      <c r="M114" s="57"/>
      <c r="N114" s="57"/>
      <c r="O114" s="57"/>
      <c r="P114" s="57"/>
      <c r="Q114" s="57"/>
      <c r="R114" s="57"/>
      <c r="S114" s="57"/>
      <c r="T114" s="57"/>
      <c r="U114" s="57"/>
      <c r="V114" s="57"/>
      <c r="W114" s="57"/>
      <c r="X114" s="57"/>
      <c r="Y114" s="57"/>
      <c r="Z114" s="57"/>
    </row>
    <row r="115" spans="1:26" ht="14.25" customHeight="1">
      <c r="A115" s="57"/>
      <c r="B115" s="69"/>
      <c r="C115" s="69"/>
      <c r="D115" s="69"/>
      <c r="E115" s="69"/>
      <c r="F115" s="69"/>
      <c r="G115" s="57"/>
      <c r="H115" s="57"/>
      <c r="I115" s="57"/>
      <c r="J115" s="57"/>
      <c r="K115" s="57"/>
      <c r="L115" s="57"/>
      <c r="M115" s="57"/>
      <c r="N115" s="57"/>
      <c r="O115" s="57"/>
      <c r="P115" s="57"/>
      <c r="Q115" s="57"/>
      <c r="R115" s="57"/>
      <c r="S115" s="57"/>
      <c r="T115" s="57"/>
      <c r="U115" s="57"/>
      <c r="V115" s="57"/>
      <c r="W115" s="57"/>
      <c r="X115" s="57"/>
      <c r="Y115" s="57"/>
      <c r="Z115" s="57"/>
    </row>
    <row r="116" spans="1:26" ht="14.25" customHeight="1">
      <c r="A116" s="57"/>
      <c r="B116" s="69"/>
      <c r="C116" s="69"/>
      <c r="D116" s="69"/>
      <c r="E116" s="69"/>
      <c r="F116" s="69"/>
      <c r="G116" s="57"/>
      <c r="H116" s="57"/>
      <c r="I116" s="57"/>
      <c r="J116" s="57"/>
      <c r="K116" s="57"/>
      <c r="L116" s="57"/>
      <c r="M116" s="57"/>
      <c r="N116" s="57"/>
      <c r="O116" s="57"/>
      <c r="P116" s="57"/>
      <c r="Q116" s="57"/>
      <c r="R116" s="57"/>
      <c r="S116" s="57"/>
      <c r="T116" s="57"/>
      <c r="U116" s="57"/>
      <c r="V116" s="57"/>
      <c r="W116" s="57"/>
      <c r="X116" s="57"/>
      <c r="Y116" s="57"/>
      <c r="Z116" s="57"/>
    </row>
    <row r="117" spans="1:26" ht="14.25" customHeight="1">
      <c r="A117" s="57"/>
      <c r="B117" s="69"/>
      <c r="C117" s="69"/>
      <c r="D117" s="69"/>
      <c r="E117" s="69"/>
      <c r="F117" s="69"/>
      <c r="G117" s="57"/>
      <c r="H117" s="57"/>
      <c r="I117" s="57"/>
      <c r="J117" s="57"/>
      <c r="K117" s="57"/>
      <c r="L117" s="57"/>
      <c r="M117" s="57"/>
      <c r="N117" s="57"/>
      <c r="O117" s="57"/>
      <c r="P117" s="57"/>
      <c r="Q117" s="57"/>
      <c r="R117" s="57"/>
      <c r="S117" s="57"/>
      <c r="T117" s="57"/>
      <c r="U117" s="57"/>
      <c r="V117" s="57"/>
      <c r="W117" s="57"/>
      <c r="X117" s="57"/>
      <c r="Y117" s="57"/>
      <c r="Z117" s="57"/>
    </row>
    <row r="118" spans="1:26" ht="14.25" customHeight="1">
      <c r="A118" s="57"/>
      <c r="B118" s="69"/>
      <c r="C118" s="69"/>
      <c r="D118" s="69"/>
      <c r="E118" s="69"/>
      <c r="F118" s="69"/>
      <c r="G118" s="57"/>
      <c r="H118" s="57"/>
      <c r="I118" s="57"/>
      <c r="J118" s="57"/>
      <c r="K118" s="57"/>
      <c r="L118" s="57"/>
      <c r="M118" s="57"/>
      <c r="N118" s="57"/>
      <c r="O118" s="57"/>
      <c r="P118" s="57"/>
      <c r="Q118" s="57"/>
      <c r="R118" s="57"/>
      <c r="S118" s="57"/>
      <c r="T118" s="57"/>
      <c r="U118" s="57"/>
      <c r="V118" s="57"/>
      <c r="W118" s="57"/>
      <c r="X118" s="57"/>
      <c r="Y118" s="57"/>
      <c r="Z118" s="57"/>
    </row>
    <row r="119" spans="1:26" ht="14.25" customHeight="1">
      <c r="A119" s="57"/>
      <c r="B119" s="69"/>
      <c r="C119" s="69"/>
      <c r="D119" s="69"/>
      <c r="E119" s="69"/>
      <c r="F119" s="69"/>
      <c r="G119" s="57"/>
      <c r="H119" s="57"/>
      <c r="I119" s="57"/>
      <c r="J119" s="57"/>
      <c r="K119" s="57"/>
      <c r="L119" s="57"/>
      <c r="M119" s="57"/>
      <c r="N119" s="57"/>
      <c r="O119" s="57"/>
      <c r="P119" s="57"/>
      <c r="Q119" s="57"/>
      <c r="R119" s="57"/>
      <c r="S119" s="57"/>
      <c r="T119" s="57"/>
      <c r="U119" s="57"/>
      <c r="V119" s="57"/>
      <c r="W119" s="57"/>
      <c r="X119" s="57"/>
      <c r="Y119" s="57"/>
      <c r="Z119" s="57"/>
    </row>
    <row r="120" spans="1:26" ht="14.25" customHeight="1">
      <c r="A120" s="57"/>
      <c r="B120" s="69"/>
      <c r="C120" s="69"/>
      <c r="D120" s="69"/>
      <c r="E120" s="69"/>
      <c r="F120" s="69"/>
      <c r="G120" s="57"/>
      <c r="H120" s="57"/>
      <c r="I120" s="57"/>
      <c r="J120" s="57"/>
      <c r="K120" s="57"/>
      <c r="L120" s="57"/>
      <c r="M120" s="57"/>
      <c r="N120" s="57"/>
      <c r="O120" s="57"/>
      <c r="P120" s="57"/>
      <c r="Q120" s="57"/>
      <c r="R120" s="57"/>
      <c r="S120" s="57"/>
      <c r="T120" s="57"/>
      <c r="U120" s="57"/>
      <c r="V120" s="57"/>
      <c r="W120" s="57"/>
      <c r="X120" s="57"/>
      <c r="Y120" s="57"/>
      <c r="Z120" s="57"/>
    </row>
    <row r="121" spans="1:26" ht="14.25" customHeight="1">
      <c r="A121" s="57"/>
      <c r="B121" s="69"/>
      <c r="C121" s="69"/>
      <c r="D121" s="69"/>
      <c r="E121" s="69"/>
      <c r="F121" s="69"/>
      <c r="G121" s="57"/>
      <c r="H121" s="57"/>
      <c r="I121" s="57"/>
      <c r="J121" s="57"/>
      <c r="K121" s="57"/>
      <c r="L121" s="57"/>
      <c r="M121" s="57"/>
      <c r="N121" s="57"/>
      <c r="O121" s="57"/>
      <c r="P121" s="57"/>
      <c r="Q121" s="57"/>
      <c r="R121" s="57"/>
      <c r="S121" s="57"/>
      <c r="T121" s="57"/>
      <c r="U121" s="57"/>
      <c r="V121" s="57"/>
      <c r="W121" s="57"/>
      <c r="X121" s="57"/>
      <c r="Y121" s="57"/>
      <c r="Z121" s="57"/>
    </row>
    <row r="122" spans="1:26" ht="14.25" customHeight="1">
      <c r="A122" s="57"/>
      <c r="B122" s="69"/>
      <c r="C122" s="69"/>
      <c r="D122" s="69"/>
      <c r="E122" s="69"/>
      <c r="F122" s="69"/>
      <c r="G122" s="57"/>
      <c r="H122" s="57"/>
      <c r="I122" s="57"/>
      <c r="J122" s="57"/>
      <c r="K122" s="57"/>
      <c r="L122" s="57"/>
      <c r="M122" s="57"/>
      <c r="N122" s="57"/>
      <c r="O122" s="57"/>
      <c r="P122" s="57"/>
      <c r="Q122" s="57"/>
      <c r="R122" s="57"/>
      <c r="S122" s="57"/>
      <c r="T122" s="57"/>
      <c r="U122" s="57"/>
      <c r="V122" s="57"/>
      <c r="W122" s="57"/>
      <c r="X122" s="57"/>
      <c r="Y122" s="57"/>
      <c r="Z122" s="57"/>
    </row>
    <row r="123" spans="1:26" ht="14.25" customHeight="1">
      <c r="A123" s="57"/>
      <c r="B123" s="69"/>
      <c r="C123" s="69"/>
      <c r="D123" s="69"/>
      <c r="E123" s="69"/>
      <c r="F123" s="69"/>
      <c r="G123" s="57"/>
      <c r="H123" s="57"/>
      <c r="I123" s="57"/>
      <c r="J123" s="57"/>
      <c r="K123" s="57"/>
      <c r="L123" s="57"/>
      <c r="M123" s="57"/>
      <c r="N123" s="57"/>
      <c r="O123" s="57"/>
      <c r="P123" s="57"/>
      <c r="Q123" s="57"/>
      <c r="R123" s="57"/>
      <c r="S123" s="57"/>
      <c r="T123" s="57"/>
      <c r="U123" s="57"/>
      <c r="V123" s="57"/>
      <c r="W123" s="57"/>
      <c r="X123" s="57"/>
      <c r="Y123" s="57"/>
      <c r="Z123" s="57"/>
    </row>
    <row r="124" spans="1:26" ht="14.25" customHeight="1">
      <c r="A124" s="57"/>
      <c r="B124" s="69"/>
      <c r="C124" s="69"/>
      <c r="D124" s="69"/>
      <c r="E124" s="69"/>
      <c r="F124" s="69"/>
      <c r="G124" s="57"/>
      <c r="H124" s="57"/>
      <c r="I124" s="57"/>
      <c r="J124" s="57"/>
      <c r="K124" s="57"/>
      <c r="L124" s="57"/>
      <c r="M124" s="57"/>
      <c r="N124" s="57"/>
      <c r="O124" s="57"/>
      <c r="P124" s="57"/>
      <c r="Q124" s="57"/>
      <c r="R124" s="57"/>
      <c r="S124" s="57"/>
      <c r="T124" s="57"/>
      <c r="U124" s="57"/>
      <c r="V124" s="57"/>
      <c r="W124" s="57"/>
      <c r="X124" s="57"/>
      <c r="Y124" s="57"/>
      <c r="Z124" s="57"/>
    </row>
    <row r="125" spans="1:26" ht="14.25" customHeight="1">
      <c r="A125" s="57"/>
      <c r="B125" s="69"/>
      <c r="C125" s="69"/>
      <c r="D125" s="69"/>
      <c r="E125" s="69"/>
      <c r="F125" s="69"/>
      <c r="G125" s="57"/>
      <c r="H125" s="57"/>
      <c r="I125" s="57"/>
      <c r="J125" s="57"/>
      <c r="K125" s="57"/>
      <c r="L125" s="57"/>
      <c r="M125" s="57"/>
      <c r="N125" s="57"/>
      <c r="O125" s="57"/>
      <c r="P125" s="57"/>
      <c r="Q125" s="57"/>
      <c r="R125" s="57"/>
      <c r="S125" s="57"/>
      <c r="T125" s="57"/>
      <c r="U125" s="57"/>
      <c r="V125" s="57"/>
      <c r="W125" s="57"/>
      <c r="X125" s="57"/>
      <c r="Y125" s="57"/>
      <c r="Z125" s="57"/>
    </row>
    <row r="126" spans="1:26" ht="14.25" customHeight="1">
      <c r="A126" s="57"/>
      <c r="B126" s="69"/>
      <c r="C126" s="69"/>
      <c r="D126" s="69"/>
      <c r="E126" s="69"/>
      <c r="F126" s="69"/>
      <c r="G126" s="57"/>
      <c r="H126" s="57"/>
      <c r="I126" s="57"/>
      <c r="J126" s="57"/>
      <c r="K126" s="57"/>
      <c r="L126" s="57"/>
      <c r="M126" s="57"/>
      <c r="N126" s="57"/>
      <c r="O126" s="57"/>
      <c r="P126" s="57"/>
      <c r="Q126" s="57"/>
      <c r="R126" s="57"/>
      <c r="S126" s="57"/>
      <c r="T126" s="57"/>
      <c r="U126" s="57"/>
      <c r="V126" s="57"/>
      <c r="W126" s="57"/>
      <c r="X126" s="57"/>
      <c r="Y126" s="57"/>
      <c r="Z126" s="57"/>
    </row>
    <row r="127" spans="1:26" ht="14.25" customHeight="1">
      <c r="A127" s="57"/>
      <c r="B127" s="69"/>
      <c r="C127" s="69"/>
      <c r="D127" s="69"/>
      <c r="E127" s="69"/>
      <c r="F127" s="69"/>
      <c r="G127" s="57"/>
      <c r="H127" s="57"/>
      <c r="I127" s="57"/>
      <c r="J127" s="57"/>
      <c r="K127" s="57"/>
      <c r="L127" s="57"/>
      <c r="M127" s="57"/>
      <c r="N127" s="57"/>
      <c r="O127" s="57"/>
      <c r="P127" s="57"/>
      <c r="Q127" s="57"/>
      <c r="R127" s="57"/>
      <c r="S127" s="57"/>
      <c r="T127" s="57"/>
      <c r="U127" s="57"/>
      <c r="V127" s="57"/>
      <c r="W127" s="57"/>
      <c r="X127" s="57"/>
      <c r="Y127" s="57"/>
      <c r="Z127" s="57"/>
    </row>
    <row r="128" spans="1:26" ht="14.25" customHeight="1">
      <c r="A128" s="57"/>
      <c r="B128" s="69"/>
      <c r="C128" s="69"/>
      <c r="D128" s="69"/>
      <c r="E128" s="69"/>
      <c r="F128" s="69"/>
      <c r="G128" s="57"/>
      <c r="H128" s="57"/>
      <c r="I128" s="57"/>
      <c r="J128" s="57"/>
      <c r="K128" s="57"/>
      <c r="L128" s="57"/>
      <c r="M128" s="57"/>
      <c r="N128" s="57"/>
      <c r="O128" s="57"/>
      <c r="P128" s="57"/>
      <c r="Q128" s="57"/>
      <c r="R128" s="57"/>
      <c r="S128" s="57"/>
      <c r="T128" s="57"/>
      <c r="U128" s="57"/>
      <c r="V128" s="57"/>
      <c r="W128" s="57"/>
      <c r="X128" s="57"/>
      <c r="Y128" s="57"/>
      <c r="Z128" s="57"/>
    </row>
    <row r="129" spans="1:26" ht="14.25" customHeight="1">
      <c r="A129" s="57"/>
      <c r="B129" s="69"/>
      <c r="C129" s="69"/>
      <c r="D129" s="69"/>
      <c r="E129" s="69"/>
      <c r="F129" s="69"/>
      <c r="G129" s="57"/>
      <c r="H129" s="57"/>
      <c r="I129" s="57"/>
      <c r="J129" s="57"/>
      <c r="K129" s="57"/>
      <c r="L129" s="57"/>
      <c r="M129" s="57"/>
      <c r="N129" s="57"/>
      <c r="O129" s="57"/>
      <c r="P129" s="57"/>
      <c r="Q129" s="57"/>
      <c r="R129" s="57"/>
      <c r="S129" s="57"/>
      <c r="T129" s="57"/>
      <c r="U129" s="57"/>
      <c r="V129" s="57"/>
      <c r="W129" s="57"/>
      <c r="X129" s="57"/>
      <c r="Y129" s="57"/>
      <c r="Z129" s="57"/>
    </row>
    <row r="130" spans="1:26" ht="14.25" customHeight="1">
      <c r="A130" s="57"/>
      <c r="B130" s="69"/>
      <c r="C130" s="69"/>
      <c r="D130" s="69"/>
      <c r="E130" s="69"/>
      <c r="F130" s="69"/>
      <c r="G130" s="57"/>
      <c r="H130" s="57"/>
      <c r="I130" s="57"/>
      <c r="J130" s="57"/>
      <c r="K130" s="57"/>
      <c r="L130" s="57"/>
      <c r="M130" s="57"/>
      <c r="N130" s="57"/>
      <c r="O130" s="57"/>
      <c r="P130" s="57"/>
      <c r="Q130" s="57"/>
      <c r="R130" s="57"/>
      <c r="S130" s="57"/>
      <c r="T130" s="57"/>
      <c r="U130" s="57"/>
      <c r="V130" s="57"/>
      <c r="W130" s="57"/>
      <c r="X130" s="57"/>
      <c r="Y130" s="57"/>
      <c r="Z130" s="57"/>
    </row>
    <row r="131" spans="1:26" ht="14.25" customHeight="1">
      <c r="A131" s="57"/>
      <c r="B131" s="69"/>
      <c r="C131" s="69"/>
      <c r="D131" s="69"/>
      <c r="E131" s="69"/>
      <c r="F131" s="69"/>
      <c r="G131" s="57"/>
      <c r="H131" s="57"/>
      <c r="I131" s="57"/>
      <c r="J131" s="57"/>
      <c r="K131" s="57"/>
      <c r="L131" s="57"/>
      <c r="M131" s="57"/>
      <c r="N131" s="57"/>
      <c r="O131" s="57"/>
      <c r="P131" s="57"/>
      <c r="Q131" s="57"/>
      <c r="R131" s="57"/>
      <c r="S131" s="57"/>
      <c r="T131" s="57"/>
      <c r="U131" s="57"/>
      <c r="V131" s="57"/>
      <c r="W131" s="57"/>
      <c r="X131" s="57"/>
      <c r="Y131" s="57"/>
      <c r="Z131" s="57"/>
    </row>
    <row r="132" spans="1:26" ht="14.25" customHeight="1">
      <c r="A132" s="57"/>
      <c r="B132" s="69"/>
      <c r="C132" s="69"/>
      <c r="D132" s="69"/>
      <c r="E132" s="69"/>
      <c r="F132" s="69"/>
      <c r="G132" s="57"/>
      <c r="H132" s="57"/>
      <c r="I132" s="57"/>
      <c r="J132" s="57"/>
      <c r="K132" s="57"/>
      <c r="L132" s="57"/>
      <c r="M132" s="57"/>
      <c r="N132" s="57"/>
      <c r="O132" s="57"/>
      <c r="P132" s="57"/>
      <c r="Q132" s="57"/>
      <c r="R132" s="57"/>
      <c r="S132" s="57"/>
      <c r="T132" s="57"/>
      <c r="U132" s="57"/>
      <c r="V132" s="57"/>
      <c r="W132" s="57"/>
      <c r="X132" s="57"/>
      <c r="Y132" s="57"/>
      <c r="Z132" s="57"/>
    </row>
    <row r="133" spans="1:26" ht="14.25" customHeight="1">
      <c r="A133" s="57"/>
      <c r="B133" s="69"/>
      <c r="C133" s="69"/>
      <c r="D133" s="69"/>
      <c r="E133" s="69"/>
      <c r="F133" s="69"/>
      <c r="G133" s="57"/>
      <c r="H133" s="57"/>
      <c r="I133" s="57"/>
      <c r="J133" s="57"/>
      <c r="K133" s="57"/>
      <c r="L133" s="57"/>
      <c r="M133" s="57"/>
      <c r="N133" s="57"/>
      <c r="O133" s="57"/>
      <c r="P133" s="57"/>
      <c r="Q133" s="57"/>
      <c r="R133" s="57"/>
      <c r="S133" s="57"/>
      <c r="T133" s="57"/>
      <c r="U133" s="57"/>
      <c r="V133" s="57"/>
      <c r="W133" s="57"/>
      <c r="X133" s="57"/>
      <c r="Y133" s="57"/>
      <c r="Z133" s="57"/>
    </row>
    <row r="134" spans="1:26" ht="14.25" customHeight="1">
      <c r="A134" s="57"/>
      <c r="B134" s="69"/>
      <c r="C134" s="69"/>
      <c r="D134" s="69"/>
      <c r="E134" s="69"/>
      <c r="F134" s="69"/>
      <c r="G134" s="57"/>
      <c r="H134" s="57"/>
      <c r="I134" s="57"/>
      <c r="J134" s="57"/>
      <c r="K134" s="57"/>
      <c r="L134" s="57"/>
      <c r="M134" s="57"/>
      <c r="N134" s="57"/>
      <c r="O134" s="57"/>
      <c r="P134" s="57"/>
      <c r="Q134" s="57"/>
      <c r="R134" s="57"/>
      <c r="S134" s="57"/>
      <c r="T134" s="57"/>
      <c r="U134" s="57"/>
      <c r="V134" s="57"/>
      <c r="W134" s="57"/>
      <c r="X134" s="57"/>
      <c r="Y134" s="57"/>
      <c r="Z134" s="57"/>
    </row>
    <row r="135" spans="1:26" ht="14.25" customHeight="1">
      <c r="A135" s="57"/>
      <c r="B135" s="69"/>
      <c r="C135" s="69"/>
      <c r="D135" s="69"/>
      <c r="E135" s="69"/>
      <c r="F135" s="69"/>
      <c r="G135" s="57"/>
      <c r="H135" s="57"/>
      <c r="I135" s="57"/>
      <c r="J135" s="57"/>
      <c r="K135" s="57"/>
      <c r="L135" s="57"/>
      <c r="M135" s="57"/>
      <c r="N135" s="57"/>
      <c r="O135" s="57"/>
      <c r="P135" s="57"/>
      <c r="Q135" s="57"/>
      <c r="R135" s="57"/>
      <c r="S135" s="57"/>
      <c r="T135" s="57"/>
      <c r="U135" s="57"/>
      <c r="V135" s="57"/>
      <c r="W135" s="57"/>
      <c r="X135" s="57"/>
      <c r="Y135" s="57"/>
      <c r="Z135" s="57"/>
    </row>
    <row r="136" spans="1:26" ht="14.25" customHeight="1">
      <c r="A136" s="57"/>
      <c r="B136" s="69"/>
      <c r="C136" s="69"/>
      <c r="D136" s="69"/>
      <c r="E136" s="69"/>
      <c r="F136" s="69"/>
      <c r="G136" s="57"/>
      <c r="H136" s="57"/>
      <c r="I136" s="57"/>
      <c r="J136" s="57"/>
      <c r="K136" s="57"/>
      <c r="L136" s="57"/>
      <c r="M136" s="57"/>
      <c r="N136" s="57"/>
      <c r="O136" s="57"/>
      <c r="P136" s="57"/>
      <c r="Q136" s="57"/>
      <c r="R136" s="57"/>
      <c r="S136" s="57"/>
      <c r="T136" s="57"/>
      <c r="U136" s="57"/>
      <c r="V136" s="57"/>
      <c r="W136" s="57"/>
      <c r="X136" s="57"/>
      <c r="Y136" s="57"/>
      <c r="Z136" s="57"/>
    </row>
    <row r="137" spans="1:26" ht="14.25" customHeight="1">
      <c r="A137" s="57"/>
      <c r="B137" s="69"/>
      <c r="C137" s="69"/>
      <c r="D137" s="69"/>
      <c r="E137" s="69"/>
      <c r="F137" s="69"/>
      <c r="G137" s="57"/>
      <c r="H137" s="57"/>
      <c r="I137" s="57"/>
      <c r="J137" s="57"/>
      <c r="K137" s="57"/>
      <c r="L137" s="57"/>
      <c r="M137" s="57"/>
      <c r="N137" s="57"/>
      <c r="O137" s="57"/>
      <c r="P137" s="57"/>
      <c r="Q137" s="57"/>
      <c r="R137" s="57"/>
      <c r="S137" s="57"/>
      <c r="T137" s="57"/>
      <c r="U137" s="57"/>
      <c r="V137" s="57"/>
      <c r="W137" s="57"/>
      <c r="X137" s="57"/>
      <c r="Y137" s="57"/>
      <c r="Z137" s="57"/>
    </row>
    <row r="138" spans="1:26" ht="14.25" customHeight="1">
      <c r="A138" s="57"/>
      <c r="B138" s="69"/>
      <c r="C138" s="69"/>
      <c r="D138" s="69"/>
      <c r="E138" s="69"/>
      <c r="F138" s="69"/>
      <c r="G138" s="57"/>
      <c r="H138" s="57"/>
      <c r="I138" s="57"/>
      <c r="J138" s="57"/>
      <c r="K138" s="57"/>
      <c r="L138" s="57"/>
      <c r="M138" s="57"/>
      <c r="N138" s="57"/>
      <c r="O138" s="57"/>
      <c r="P138" s="57"/>
      <c r="Q138" s="57"/>
      <c r="R138" s="57"/>
      <c r="S138" s="57"/>
      <c r="T138" s="57"/>
      <c r="U138" s="57"/>
      <c r="V138" s="57"/>
      <c r="W138" s="57"/>
      <c r="X138" s="57"/>
      <c r="Y138" s="57"/>
      <c r="Z138" s="57"/>
    </row>
    <row r="139" spans="1:26" ht="14.25" customHeight="1">
      <c r="A139" s="57"/>
      <c r="B139" s="69"/>
      <c r="C139" s="69"/>
      <c r="D139" s="69"/>
      <c r="E139" s="69"/>
      <c r="F139" s="69"/>
      <c r="G139" s="57"/>
      <c r="H139" s="57"/>
      <c r="I139" s="57"/>
      <c r="J139" s="57"/>
      <c r="K139" s="57"/>
      <c r="L139" s="57"/>
      <c r="M139" s="57"/>
      <c r="N139" s="57"/>
      <c r="O139" s="57"/>
      <c r="P139" s="57"/>
      <c r="Q139" s="57"/>
      <c r="R139" s="57"/>
      <c r="S139" s="57"/>
      <c r="T139" s="57"/>
      <c r="U139" s="57"/>
      <c r="V139" s="57"/>
      <c r="W139" s="57"/>
      <c r="X139" s="57"/>
      <c r="Y139" s="57"/>
      <c r="Z139" s="57"/>
    </row>
    <row r="140" spans="1:26" ht="14.25" customHeight="1">
      <c r="A140" s="57"/>
      <c r="B140" s="69"/>
      <c r="C140" s="69"/>
      <c r="D140" s="69"/>
      <c r="E140" s="69"/>
      <c r="F140" s="69"/>
      <c r="G140" s="57"/>
      <c r="H140" s="57"/>
      <c r="I140" s="57"/>
      <c r="J140" s="57"/>
      <c r="K140" s="57"/>
      <c r="L140" s="57"/>
      <c r="M140" s="57"/>
      <c r="N140" s="57"/>
      <c r="O140" s="57"/>
      <c r="P140" s="57"/>
      <c r="Q140" s="57"/>
      <c r="R140" s="57"/>
      <c r="S140" s="57"/>
      <c r="T140" s="57"/>
      <c r="U140" s="57"/>
      <c r="V140" s="57"/>
      <c r="W140" s="57"/>
      <c r="X140" s="57"/>
      <c r="Y140" s="57"/>
      <c r="Z140" s="57"/>
    </row>
    <row r="141" spans="1:26" ht="14.25" customHeight="1">
      <c r="A141" s="57"/>
      <c r="B141" s="69"/>
      <c r="C141" s="69"/>
      <c r="D141" s="69"/>
      <c r="E141" s="69"/>
      <c r="F141" s="69"/>
      <c r="G141" s="57"/>
      <c r="H141" s="57"/>
      <c r="I141" s="57"/>
      <c r="J141" s="57"/>
      <c r="K141" s="57"/>
      <c r="L141" s="57"/>
      <c r="M141" s="57"/>
      <c r="N141" s="57"/>
      <c r="O141" s="57"/>
      <c r="P141" s="57"/>
      <c r="Q141" s="57"/>
      <c r="R141" s="57"/>
      <c r="S141" s="57"/>
      <c r="T141" s="57"/>
      <c r="U141" s="57"/>
      <c r="V141" s="57"/>
      <c r="W141" s="57"/>
      <c r="X141" s="57"/>
      <c r="Y141" s="57"/>
      <c r="Z141" s="57"/>
    </row>
    <row r="142" spans="1:26" ht="14.25" customHeight="1">
      <c r="A142" s="57"/>
      <c r="B142" s="69"/>
      <c r="C142" s="69"/>
      <c r="D142" s="69"/>
      <c r="E142" s="69"/>
      <c r="F142" s="69"/>
      <c r="G142" s="57"/>
      <c r="H142" s="57"/>
      <c r="I142" s="57"/>
      <c r="J142" s="57"/>
      <c r="K142" s="57"/>
      <c r="L142" s="57"/>
      <c r="M142" s="57"/>
      <c r="N142" s="57"/>
      <c r="O142" s="57"/>
      <c r="P142" s="57"/>
      <c r="Q142" s="57"/>
      <c r="R142" s="57"/>
      <c r="S142" s="57"/>
      <c r="T142" s="57"/>
      <c r="U142" s="57"/>
      <c r="V142" s="57"/>
      <c r="W142" s="57"/>
      <c r="X142" s="57"/>
      <c r="Y142" s="57"/>
      <c r="Z142" s="57"/>
    </row>
    <row r="143" spans="1:26" ht="14.25" customHeight="1">
      <c r="A143" s="57"/>
      <c r="B143" s="69"/>
      <c r="C143" s="69"/>
      <c r="D143" s="69"/>
      <c r="E143" s="69"/>
      <c r="F143" s="69"/>
      <c r="G143" s="57"/>
      <c r="H143" s="57"/>
      <c r="I143" s="57"/>
      <c r="J143" s="57"/>
      <c r="K143" s="57"/>
      <c r="L143" s="57"/>
      <c r="M143" s="57"/>
      <c r="N143" s="57"/>
      <c r="O143" s="57"/>
      <c r="P143" s="57"/>
      <c r="Q143" s="57"/>
      <c r="R143" s="57"/>
      <c r="S143" s="57"/>
      <c r="T143" s="57"/>
      <c r="U143" s="57"/>
      <c r="V143" s="57"/>
      <c r="W143" s="57"/>
      <c r="X143" s="57"/>
      <c r="Y143" s="57"/>
      <c r="Z143" s="57"/>
    </row>
    <row r="144" spans="1:26" ht="14.25" customHeight="1">
      <c r="A144" s="57"/>
      <c r="B144" s="69"/>
      <c r="C144" s="69"/>
      <c r="D144" s="69"/>
      <c r="E144" s="69"/>
      <c r="F144" s="69"/>
      <c r="G144" s="57"/>
      <c r="H144" s="57"/>
      <c r="I144" s="57"/>
      <c r="J144" s="57"/>
      <c r="K144" s="57"/>
      <c r="L144" s="57"/>
      <c r="M144" s="57"/>
      <c r="N144" s="57"/>
      <c r="O144" s="57"/>
      <c r="P144" s="57"/>
      <c r="Q144" s="57"/>
      <c r="R144" s="57"/>
      <c r="S144" s="57"/>
      <c r="T144" s="57"/>
      <c r="U144" s="57"/>
      <c r="V144" s="57"/>
      <c r="W144" s="57"/>
      <c r="X144" s="57"/>
      <c r="Y144" s="57"/>
      <c r="Z144" s="57"/>
    </row>
    <row r="145" spans="1:26" ht="14.25" customHeight="1">
      <c r="A145" s="57"/>
      <c r="B145" s="69"/>
      <c r="C145" s="69"/>
      <c r="D145" s="69"/>
      <c r="E145" s="69"/>
      <c r="F145" s="69"/>
      <c r="G145" s="57"/>
      <c r="H145" s="57"/>
      <c r="I145" s="57"/>
      <c r="J145" s="57"/>
      <c r="K145" s="57"/>
      <c r="L145" s="57"/>
      <c r="M145" s="57"/>
      <c r="N145" s="57"/>
      <c r="O145" s="57"/>
      <c r="P145" s="57"/>
      <c r="Q145" s="57"/>
      <c r="R145" s="57"/>
      <c r="S145" s="57"/>
      <c r="T145" s="57"/>
      <c r="U145" s="57"/>
      <c r="V145" s="57"/>
      <c r="W145" s="57"/>
      <c r="X145" s="57"/>
      <c r="Y145" s="57"/>
      <c r="Z145" s="57"/>
    </row>
    <row r="146" spans="1:26" ht="14.25" customHeight="1">
      <c r="A146" s="57"/>
      <c r="B146" s="69"/>
      <c r="C146" s="69"/>
      <c r="D146" s="69"/>
      <c r="E146" s="69"/>
      <c r="F146" s="69"/>
      <c r="G146" s="57"/>
      <c r="H146" s="57"/>
      <c r="I146" s="57"/>
      <c r="J146" s="57"/>
      <c r="K146" s="57"/>
      <c r="L146" s="57"/>
      <c r="M146" s="57"/>
      <c r="N146" s="57"/>
      <c r="O146" s="57"/>
      <c r="P146" s="57"/>
      <c r="Q146" s="57"/>
      <c r="R146" s="57"/>
      <c r="S146" s="57"/>
      <c r="T146" s="57"/>
      <c r="U146" s="57"/>
      <c r="V146" s="57"/>
      <c r="W146" s="57"/>
      <c r="X146" s="57"/>
      <c r="Y146" s="57"/>
      <c r="Z146" s="57"/>
    </row>
    <row r="147" spans="1:26" ht="14.25" customHeight="1">
      <c r="A147" s="57"/>
      <c r="B147" s="69"/>
      <c r="C147" s="69"/>
      <c r="D147" s="69"/>
      <c r="E147" s="69"/>
      <c r="F147" s="69"/>
      <c r="G147" s="57"/>
      <c r="H147" s="57"/>
      <c r="I147" s="57"/>
      <c r="J147" s="57"/>
      <c r="K147" s="57"/>
      <c r="L147" s="57"/>
      <c r="M147" s="57"/>
      <c r="N147" s="57"/>
      <c r="O147" s="57"/>
      <c r="P147" s="57"/>
      <c r="Q147" s="57"/>
      <c r="R147" s="57"/>
      <c r="S147" s="57"/>
      <c r="T147" s="57"/>
      <c r="U147" s="57"/>
      <c r="V147" s="57"/>
      <c r="W147" s="57"/>
      <c r="X147" s="57"/>
      <c r="Y147" s="57"/>
      <c r="Z147" s="57"/>
    </row>
    <row r="148" spans="1:26" ht="14.25" customHeight="1">
      <c r="A148" s="57"/>
      <c r="B148" s="69"/>
      <c r="C148" s="69"/>
      <c r="D148" s="69"/>
      <c r="E148" s="69"/>
      <c r="F148" s="69"/>
      <c r="G148" s="57"/>
      <c r="H148" s="57"/>
      <c r="I148" s="57"/>
      <c r="J148" s="57"/>
      <c r="K148" s="57"/>
      <c r="L148" s="57"/>
      <c r="M148" s="57"/>
      <c r="N148" s="57"/>
      <c r="O148" s="57"/>
      <c r="P148" s="57"/>
      <c r="Q148" s="57"/>
      <c r="R148" s="57"/>
      <c r="S148" s="57"/>
      <c r="T148" s="57"/>
      <c r="U148" s="57"/>
      <c r="V148" s="57"/>
      <c r="W148" s="57"/>
      <c r="X148" s="57"/>
      <c r="Y148" s="57"/>
      <c r="Z148" s="57"/>
    </row>
    <row r="149" spans="1:26" ht="14.25" customHeight="1">
      <c r="A149" s="57"/>
      <c r="B149" s="69"/>
      <c r="C149" s="69"/>
      <c r="D149" s="69"/>
      <c r="E149" s="69"/>
      <c r="F149" s="69"/>
      <c r="G149" s="57"/>
      <c r="H149" s="57"/>
      <c r="I149" s="57"/>
      <c r="J149" s="57"/>
      <c r="K149" s="57"/>
      <c r="L149" s="57"/>
      <c r="M149" s="57"/>
      <c r="N149" s="57"/>
      <c r="O149" s="57"/>
      <c r="P149" s="57"/>
      <c r="Q149" s="57"/>
      <c r="R149" s="57"/>
      <c r="S149" s="57"/>
      <c r="T149" s="57"/>
      <c r="U149" s="57"/>
      <c r="V149" s="57"/>
      <c r="W149" s="57"/>
      <c r="X149" s="57"/>
      <c r="Y149" s="57"/>
      <c r="Z149" s="57"/>
    </row>
    <row r="150" spans="1:26" ht="14.25" customHeight="1">
      <c r="A150" s="57"/>
      <c r="B150" s="69"/>
      <c r="C150" s="69"/>
      <c r="D150" s="69"/>
      <c r="E150" s="69"/>
      <c r="F150" s="69"/>
      <c r="G150" s="57"/>
      <c r="H150" s="57"/>
      <c r="I150" s="57"/>
      <c r="J150" s="57"/>
      <c r="K150" s="57"/>
      <c r="L150" s="57"/>
      <c r="M150" s="57"/>
      <c r="N150" s="57"/>
      <c r="O150" s="57"/>
      <c r="P150" s="57"/>
      <c r="Q150" s="57"/>
      <c r="R150" s="57"/>
      <c r="S150" s="57"/>
      <c r="T150" s="57"/>
      <c r="U150" s="57"/>
      <c r="V150" s="57"/>
      <c r="W150" s="57"/>
      <c r="X150" s="57"/>
      <c r="Y150" s="57"/>
      <c r="Z150" s="57"/>
    </row>
    <row r="151" spans="1:26" ht="14.25" customHeight="1">
      <c r="A151" s="57"/>
      <c r="B151" s="69"/>
      <c r="C151" s="69"/>
      <c r="D151" s="69"/>
      <c r="E151" s="69"/>
      <c r="F151" s="69"/>
      <c r="G151" s="57"/>
      <c r="H151" s="57"/>
      <c r="I151" s="57"/>
      <c r="J151" s="57"/>
      <c r="K151" s="57"/>
      <c r="L151" s="57"/>
      <c r="M151" s="57"/>
      <c r="N151" s="57"/>
      <c r="O151" s="57"/>
      <c r="P151" s="57"/>
      <c r="Q151" s="57"/>
      <c r="R151" s="57"/>
      <c r="S151" s="57"/>
      <c r="T151" s="57"/>
      <c r="U151" s="57"/>
      <c r="V151" s="57"/>
      <c r="W151" s="57"/>
      <c r="X151" s="57"/>
      <c r="Y151" s="57"/>
      <c r="Z151" s="57"/>
    </row>
    <row r="152" spans="1:26" ht="14.25" customHeight="1">
      <c r="A152" s="57"/>
      <c r="B152" s="69"/>
      <c r="C152" s="69"/>
      <c r="D152" s="69"/>
      <c r="E152" s="69"/>
      <c r="F152" s="69"/>
      <c r="G152" s="57"/>
      <c r="H152" s="57"/>
      <c r="I152" s="57"/>
      <c r="J152" s="57"/>
      <c r="K152" s="57"/>
      <c r="L152" s="57"/>
      <c r="M152" s="57"/>
      <c r="N152" s="57"/>
      <c r="O152" s="57"/>
      <c r="P152" s="57"/>
      <c r="Q152" s="57"/>
      <c r="R152" s="57"/>
      <c r="S152" s="57"/>
      <c r="T152" s="57"/>
      <c r="U152" s="57"/>
      <c r="V152" s="57"/>
      <c r="W152" s="57"/>
      <c r="X152" s="57"/>
      <c r="Y152" s="57"/>
      <c r="Z152" s="57"/>
    </row>
    <row r="153" spans="1:26" ht="14.25" customHeight="1">
      <c r="A153" s="57"/>
      <c r="B153" s="69"/>
      <c r="C153" s="69"/>
      <c r="D153" s="69"/>
      <c r="E153" s="69"/>
      <c r="F153" s="69"/>
      <c r="G153" s="57"/>
      <c r="H153" s="57"/>
      <c r="I153" s="57"/>
      <c r="J153" s="57"/>
      <c r="K153" s="57"/>
      <c r="L153" s="57"/>
      <c r="M153" s="57"/>
      <c r="N153" s="57"/>
      <c r="O153" s="57"/>
      <c r="P153" s="57"/>
      <c r="Q153" s="57"/>
      <c r="R153" s="57"/>
      <c r="S153" s="57"/>
      <c r="T153" s="57"/>
      <c r="U153" s="57"/>
      <c r="V153" s="57"/>
      <c r="W153" s="57"/>
      <c r="X153" s="57"/>
      <c r="Y153" s="57"/>
      <c r="Z153" s="57"/>
    </row>
    <row r="154" spans="1:26" ht="14.25" customHeight="1">
      <c r="A154" s="57"/>
      <c r="B154" s="69"/>
      <c r="C154" s="69"/>
      <c r="D154" s="69"/>
      <c r="E154" s="69"/>
      <c r="F154" s="69"/>
      <c r="G154" s="57"/>
      <c r="H154" s="57"/>
      <c r="I154" s="57"/>
      <c r="J154" s="57"/>
      <c r="K154" s="57"/>
      <c r="L154" s="57"/>
      <c r="M154" s="57"/>
      <c r="N154" s="57"/>
      <c r="O154" s="57"/>
      <c r="P154" s="57"/>
      <c r="Q154" s="57"/>
      <c r="R154" s="57"/>
      <c r="S154" s="57"/>
      <c r="T154" s="57"/>
      <c r="U154" s="57"/>
      <c r="V154" s="57"/>
      <c r="W154" s="57"/>
      <c r="X154" s="57"/>
      <c r="Y154" s="57"/>
      <c r="Z154" s="57"/>
    </row>
    <row r="155" spans="1:26" ht="14.25" customHeight="1">
      <c r="A155" s="57"/>
      <c r="B155" s="69"/>
      <c r="C155" s="69"/>
      <c r="D155" s="69"/>
      <c r="E155" s="69"/>
      <c r="F155" s="69"/>
      <c r="G155" s="57"/>
      <c r="H155" s="57"/>
      <c r="I155" s="57"/>
      <c r="J155" s="57"/>
      <c r="K155" s="57"/>
      <c r="L155" s="57"/>
      <c r="M155" s="57"/>
      <c r="N155" s="57"/>
      <c r="O155" s="57"/>
      <c r="P155" s="57"/>
      <c r="Q155" s="57"/>
      <c r="R155" s="57"/>
      <c r="S155" s="57"/>
      <c r="T155" s="57"/>
      <c r="U155" s="57"/>
      <c r="V155" s="57"/>
      <c r="W155" s="57"/>
      <c r="X155" s="57"/>
      <c r="Y155" s="57"/>
      <c r="Z155" s="57"/>
    </row>
    <row r="156" spans="1:26" ht="14.25" customHeight="1">
      <c r="A156" s="57"/>
      <c r="B156" s="69"/>
      <c r="C156" s="69"/>
      <c r="D156" s="69"/>
      <c r="E156" s="69"/>
      <c r="F156" s="69"/>
      <c r="G156" s="57"/>
      <c r="H156" s="57"/>
      <c r="I156" s="57"/>
      <c r="J156" s="57"/>
      <c r="K156" s="57"/>
      <c r="L156" s="57"/>
      <c r="M156" s="57"/>
      <c r="N156" s="57"/>
      <c r="O156" s="57"/>
      <c r="P156" s="57"/>
      <c r="Q156" s="57"/>
      <c r="R156" s="57"/>
      <c r="S156" s="57"/>
      <c r="T156" s="57"/>
      <c r="U156" s="57"/>
      <c r="V156" s="57"/>
      <c r="W156" s="57"/>
      <c r="X156" s="57"/>
      <c r="Y156" s="57"/>
      <c r="Z156" s="57"/>
    </row>
    <row r="157" spans="1:26" ht="14.25" customHeight="1">
      <c r="A157" s="57"/>
      <c r="B157" s="69"/>
      <c r="C157" s="69"/>
      <c r="D157" s="69"/>
      <c r="E157" s="69"/>
      <c r="F157" s="69"/>
      <c r="G157" s="57"/>
      <c r="H157" s="57"/>
      <c r="I157" s="57"/>
      <c r="J157" s="57"/>
      <c r="K157" s="57"/>
      <c r="L157" s="57"/>
      <c r="M157" s="57"/>
      <c r="N157" s="57"/>
      <c r="O157" s="57"/>
      <c r="P157" s="57"/>
      <c r="Q157" s="57"/>
      <c r="R157" s="57"/>
      <c r="S157" s="57"/>
      <c r="T157" s="57"/>
      <c r="U157" s="57"/>
      <c r="V157" s="57"/>
      <c r="W157" s="57"/>
      <c r="X157" s="57"/>
      <c r="Y157" s="57"/>
      <c r="Z157" s="57"/>
    </row>
    <row r="158" spans="1:26" ht="14.25" customHeight="1">
      <c r="A158" s="57"/>
      <c r="B158" s="69"/>
      <c r="C158" s="69"/>
      <c r="D158" s="69"/>
      <c r="E158" s="69"/>
      <c r="F158" s="69"/>
      <c r="G158" s="57"/>
      <c r="H158" s="57"/>
      <c r="I158" s="57"/>
      <c r="J158" s="57"/>
      <c r="K158" s="57"/>
      <c r="L158" s="57"/>
      <c r="M158" s="57"/>
      <c r="N158" s="57"/>
      <c r="O158" s="57"/>
      <c r="P158" s="57"/>
      <c r="Q158" s="57"/>
      <c r="R158" s="57"/>
      <c r="S158" s="57"/>
      <c r="T158" s="57"/>
      <c r="U158" s="57"/>
      <c r="V158" s="57"/>
      <c r="W158" s="57"/>
      <c r="X158" s="57"/>
      <c r="Y158" s="57"/>
      <c r="Z158" s="57"/>
    </row>
    <row r="159" spans="1:26" ht="14.25" customHeight="1">
      <c r="A159" s="57"/>
      <c r="B159" s="69"/>
      <c r="C159" s="69"/>
      <c r="D159" s="69"/>
      <c r="E159" s="69"/>
      <c r="F159" s="69"/>
      <c r="G159" s="57"/>
      <c r="H159" s="57"/>
      <c r="I159" s="57"/>
      <c r="J159" s="57"/>
      <c r="K159" s="57"/>
      <c r="L159" s="57"/>
      <c r="M159" s="57"/>
      <c r="N159" s="57"/>
      <c r="O159" s="57"/>
      <c r="P159" s="57"/>
      <c r="Q159" s="57"/>
      <c r="R159" s="57"/>
      <c r="S159" s="57"/>
      <c r="T159" s="57"/>
      <c r="U159" s="57"/>
      <c r="V159" s="57"/>
      <c r="W159" s="57"/>
      <c r="X159" s="57"/>
      <c r="Y159" s="57"/>
      <c r="Z159" s="57"/>
    </row>
    <row r="160" spans="1:26" ht="14.25" customHeight="1">
      <c r="A160" s="57"/>
      <c r="B160" s="69"/>
      <c r="C160" s="69"/>
      <c r="D160" s="69"/>
      <c r="E160" s="69"/>
      <c r="F160" s="69"/>
      <c r="G160" s="57"/>
      <c r="H160" s="57"/>
      <c r="I160" s="57"/>
      <c r="J160" s="57"/>
      <c r="K160" s="57"/>
      <c r="L160" s="57"/>
      <c r="M160" s="57"/>
      <c r="N160" s="57"/>
      <c r="O160" s="57"/>
      <c r="P160" s="57"/>
      <c r="Q160" s="57"/>
      <c r="R160" s="57"/>
      <c r="S160" s="57"/>
      <c r="T160" s="57"/>
      <c r="U160" s="57"/>
      <c r="V160" s="57"/>
      <c r="W160" s="57"/>
      <c r="X160" s="57"/>
      <c r="Y160" s="57"/>
      <c r="Z160" s="57"/>
    </row>
    <row r="161" spans="1:26" ht="14.25" customHeight="1">
      <c r="A161" s="57"/>
      <c r="B161" s="69"/>
      <c r="C161" s="69"/>
      <c r="D161" s="69"/>
      <c r="E161" s="69"/>
      <c r="F161" s="69"/>
      <c r="G161" s="57"/>
      <c r="H161" s="57"/>
      <c r="I161" s="57"/>
      <c r="J161" s="57"/>
      <c r="K161" s="57"/>
      <c r="L161" s="57"/>
      <c r="M161" s="57"/>
      <c r="N161" s="57"/>
      <c r="O161" s="57"/>
      <c r="P161" s="57"/>
      <c r="Q161" s="57"/>
      <c r="R161" s="57"/>
      <c r="S161" s="57"/>
      <c r="T161" s="57"/>
      <c r="U161" s="57"/>
      <c r="V161" s="57"/>
      <c r="W161" s="57"/>
      <c r="X161" s="57"/>
      <c r="Y161" s="57"/>
      <c r="Z161" s="57"/>
    </row>
    <row r="162" spans="1:26" ht="14.25" customHeight="1">
      <c r="A162" s="57"/>
      <c r="B162" s="69"/>
      <c r="C162" s="69"/>
      <c r="D162" s="69"/>
      <c r="E162" s="69"/>
      <c r="F162" s="69"/>
      <c r="G162" s="57"/>
      <c r="H162" s="57"/>
      <c r="I162" s="57"/>
      <c r="J162" s="57"/>
      <c r="K162" s="57"/>
      <c r="L162" s="57"/>
      <c r="M162" s="57"/>
      <c r="N162" s="57"/>
      <c r="O162" s="57"/>
      <c r="P162" s="57"/>
      <c r="Q162" s="57"/>
      <c r="R162" s="57"/>
      <c r="S162" s="57"/>
      <c r="T162" s="57"/>
      <c r="U162" s="57"/>
      <c r="V162" s="57"/>
      <c r="W162" s="57"/>
      <c r="X162" s="57"/>
      <c r="Y162" s="57"/>
      <c r="Z162" s="57"/>
    </row>
    <row r="163" spans="1:26" ht="14.25" customHeight="1">
      <c r="A163" s="57"/>
      <c r="B163" s="69"/>
      <c r="C163" s="69"/>
      <c r="D163" s="69"/>
      <c r="E163" s="69"/>
      <c r="F163" s="69"/>
      <c r="G163" s="57"/>
      <c r="H163" s="57"/>
      <c r="I163" s="57"/>
      <c r="J163" s="57"/>
      <c r="K163" s="57"/>
      <c r="L163" s="57"/>
      <c r="M163" s="57"/>
      <c r="N163" s="57"/>
      <c r="O163" s="57"/>
      <c r="P163" s="57"/>
      <c r="Q163" s="57"/>
      <c r="R163" s="57"/>
      <c r="S163" s="57"/>
      <c r="T163" s="57"/>
      <c r="U163" s="57"/>
      <c r="V163" s="57"/>
      <c r="W163" s="57"/>
      <c r="X163" s="57"/>
      <c r="Y163" s="57"/>
      <c r="Z163" s="57"/>
    </row>
    <row r="164" spans="1:26" ht="14.25" customHeight="1">
      <c r="A164" s="57"/>
      <c r="B164" s="69"/>
      <c r="C164" s="69"/>
      <c r="D164" s="69"/>
      <c r="E164" s="69"/>
      <c r="F164" s="69"/>
      <c r="G164" s="57"/>
      <c r="H164" s="57"/>
      <c r="I164" s="57"/>
      <c r="J164" s="57"/>
      <c r="K164" s="57"/>
      <c r="L164" s="57"/>
      <c r="M164" s="57"/>
      <c r="N164" s="57"/>
      <c r="O164" s="57"/>
      <c r="P164" s="57"/>
      <c r="Q164" s="57"/>
      <c r="R164" s="57"/>
      <c r="S164" s="57"/>
      <c r="T164" s="57"/>
      <c r="U164" s="57"/>
      <c r="V164" s="57"/>
      <c r="W164" s="57"/>
      <c r="X164" s="57"/>
      <c r="Y164" s="57"/>
      <c r="Z164" s="57"/>
    </row>
    <row r="165" spans="1:26" ht="14.25" customHeight="1">
      <c r="A165" s="57"/>
      <c r="B165" s="69"/>
      <c r="C165" s="69"/>
      <c r="D165" s="69"/>
      <c r="E165" s="69"/>
      <c r="F165" s="69"/>
      <c r="G165" s="57"/>
      <c r="H165" s="57"/>
      <c r="I165" s="57"/>
      <c r="J165" s="57"/>
      <c r="K165" s="57"/>
      <c r="L165" s="57"/>
      <c r="M165" s="57"/>
      <c r="N165" s="57"/>
      <c r="O165" s="57"/>
      <c r="P165" s="57"/>
      <c r="Q165" s="57"/>
      <c r="R165" s="57"/>
      <c r="S165" s="57"/>
      <c r="T165" s="57"/>
      <c r="U165" s="57"/>
      <c r="V165" s="57"/>
      <c r="W165" s="57"/>
      <c r="X165" s="57"/>
      <c r="Y165" s="57"/>
      <c r="Z165" s="57"/>
    </row>
    <row r="166" spans="1:26" ht="14.25" customHeight="1">
      <c r="A166" s="57"/>
      <c r="B166" s="69"/>
      <c r="C166" s="69"/>
      <c r="D166" s="69"/>
      <c r="E166" s="69"/>
      <c r="F166" s="69"/>
      <c r="G166" s="57"/>
      <c r="H166" s="57"/>
      <c r="I166" s="57"/>
      <c r="J166" s="57"/>
      <c r="K166" s="57"/>
      <c r="L166" s="57"/>
      <c r="M166" s="57"/>
      <c r="N166" s="57"/>
      <c r="O166" s="57"/>
      <c r="P166" s="57"/>
      <c r="Q166" s="57"/>
      <c r="R166" s="57"/>
      <c r="S166" s="57"/>
      <c r="T166" s="57"/>
      <c r="U166" s="57"/>
      <c r="V166" s="57"/>
      <c r="W166" s="57"/>
      <c r="X166" s="57"/>
      <c r="Y166" s="57"/>
      <c r="Z166" s="57"/>
    </row>
    <row r="167" spans="1:26" ht="14.25" customHeight="1">
      <c r="A167" s="57"/>
      <c r="B167" s="69"/>
      <c r="C167" s="69"/>
      <c r="D167" s="69"/>
      <c r="E167" s="69"/>
      <c r="F167" s="69"/>
      <c r="G167" s="57"/>
      <c r="H167" s="57"/>
      <c r="I167" s="57"/>
      <c r="J167" s="57"/>
      <c r="K167" s="57"/>
      <c r="L167" s="57"/>
      <c r="M167" s="57"/>
      <c r="N167" s="57"/>
      <c r="O167" s="57"/>
      <c r="P167" s="57"/>
      <c r="Q167" s="57"/>
      <c r="R167" s="57"/>
      <c r="S167" s="57"/>
      <c r="T167" s="57"/>
      <c r="U167" s="57"/>
      <c r="V167" s="57"/>
      <c r="W167" s="57"/>
      <c r="X167" s="57"/>
      <c r="Y167" s="57"/>
      <c r="Z167" s="57"/>
    </row>
    <row r="168" spans="1:26" ht="14.25" customHeight="1">
      <c r="A168" s="57"/>
      <c r="B168" s="69"/>
      <c r="C168" s="69"/>
      <c r="D168" s="69"/>
      <c r="E168" s="69"/>
      <c r="F168" s="69"/>
      <c r="G168" s="57"/>
      <c r="H168" s="57"/>
      <c r="I168" s="57"/>
      <c r="J168" s="57"/>
      <c r="K168" s="57"/>
      <c r="L168" s="57"/>
      <c r="M168" s="57"/>
      <c r="N168" s="57"/>
      <c r="O168" s="57"/>
      <c r="P168" s="57"/>
      <c r="Q168" s="57"/>
      <c r="R168" s="57"/>
      <c r="S168" s="57"/>
      <c r="T168" s="57"/>
      <c r="U168" s="57"/>
      <c r="V168" s="57"/>
      <c r="W168" s="57"/>
      <c r="X168" s="57"/>
      <c r="Y168" s="57"/>
      <c r="Z168" s="57"/>
    </row>
    <row r="169" spans="1:26" ht="14.25" customHeight="1">
      <c r="A169" s="57"/>
      <c r="B169" s="69"/>
      <c r="C169" s="69"/>
      <c r="D169" s="69"/>
      <c r="E169" s="69"/>
      <c r="F169" s="69"/>
      <c r="G169" s="57"/>
      <c r="H169" s="57"/>
      <c r="I169" s="57"/>
      <c r="J169" s="57"/>
      <c r="K169" s="57"/>
      <c r="L169" s="57"/>
      <c r="M169" s="57"/>
      <c r="N169" s="57"/>
      <c r="O169" s="57"/>
      <c r="P169" s="57"/>
      <c r="Q169" s="57"/>
      <c r="R169" s="57"/>
      <c r="S169" s="57"/>
      <c r="T169" s="57"/>
      <c r="U169" s="57"/>
      <c r="V169" s="57"/>
      <c r="W169" s="57"/>
      <c r="X169" s="57"/>
      <c r="Y169" s="57"/>
      <c r="Z169" s="57"/>
    </row>
    <row r="170" spans="1:26" ht="14.25" customHeight="1">
      <c r="A170" s="57"/>
      <c r="B170" s="69"/>
      <c r="C170" s="69"/>
      <c r="D170" s="69"/>
      <c r="E170" s="69"/>
      <c r="F170" s="69"/>
      <c r="G170" s="57"/>
      <c r="H170" s="57"/>
      <c r="I170" s="57"/>
      <c r="J170" s="57"/>
      <c r="K170" s="57"/>
      <c r="L170" s="57"/>
      <c r="M170" s="57"/>
      <c r="N170" s="57"/>
      <c r="O170" s="57"/>
      <c r="P170" s="57"/>
      <c r="Q170" s="57"/>
      <c r="R170" s="57"/>
      <c r="S170" s="57"/>
      <c r="T170" s="57"/>
      <c r="U170" s="57"/>
      <c r="V170" s="57"/>
      <c r="W170" s="57"/>
      <c r="X170" s="57"/>
      <c r="Y170" s="57"/>
      <c r="Z170" s="57"/>
    </row>
    <row r="171" spans="1:26" ht="14.25" customHeight="1">
      <c r="A171" s="57"/>
      <c r="B171" s="69"/>
      <c r="C171" s="69"/>
      <c r="D171" s="69"/>
      <c r="E171" s="69"/>
      <c r="F171" s="69"/>
      <c r="G171" s="57"/>
      <c r="H171" s="57"/>
      <c r="I171" s="57"/>
      <c r="J171" s="57"/>
      <c r="K171" s="57"/>
      <c r="L171" s="57"/>
      <c r="M171" s="57"/>
      <c r="N171" s="57"/>
      <c r="O171" s="57"/>
      <c r="P171" s="57"/>
      <c r="Q171" s="57"/>
      <c r="R171" s="57"/>
      <c r="S171" s="57"/>
      <c r="T171" s="57"/>
      <c r="U171" s="57"/>
      <c r="V171" s="57"/>
      <c r="W171" s="57"/>
      <c r="X171" s="57"/>
      <c r="Y171" s="57"/>
      <c r="Z171" s="57"/>
    </row>
    <row r="172" spans="1:26" ht="14.25" customHeight="1">
      <c r="A172" s="57"/>
      <c r="B172" s="69"/>
      <c r="C172" s="69"/>
      <c r="D172" s="69"/>
      <c r="E172" s="69"/>
      <c r="F172" s="69"/>
      <c r="G172" s="57"/>
      <c r="H172" s="57"/>
      <c r="I172" s="57"/>
      <c r="J172" s="57"/>
      <c r="K172" s="57"/>
      <c r="L172" s="57"/>
      <c r="M172" s="57"/>
      <c r="N172" s="57"/>
      <c r="O172" s="57"/>
      <c r="P172" s="57"/>
      <c r="Q172" s="57"/>
      <c r="R172" s="57"/>
      <c r="S172" s="57"/>
      <c r="T172" s="57"/>
      <c r="U172" s="57"/>
      <c r="V172" s="57"/>
      <c r="W172" s="57"/>
      <c r="X172" s="57"/>
      <c r="Y172" s="57"/>
      <c r="Z172" s="57"/>
    </row>
    <row r="173" spans="1:26" ht="14.25" customHeight="1">
      <c r="A173" s="57"/>
      <c r="B173" s="69"/>
      <c r="C173" s="69"/>
      <c r="D173" s="69"/>
      <c r="E173" s="69"/>
      <c r="F173" s="69"/>
      <c r="G173" s="57"/>
      <c r="H173" s="57"/>
      <c r="I173" s="57"/>
      <c r="J173" s="57"/>
      <c r="K173" s="57"/>
      <c r="L173" s="57"/>
      <c r="M173" s="57"/>
      <c r="N173" s="57"/>
      <c r="O173" s="57"/>
      <c r="P173" s="57"/>
      <c r="Q173" s="57"/>
      <c r="R173" s="57"/>
      <c r="S173" s="57"/>
      <c r="T173" s="57"/>
      <c r="U173" s="57"/>
      <c r="V173" s="57"/>
      <c r="W173" s="57"/>
      <c r="X173" s="57"/>
      <c r="Y173" s="57"/>
      <c r="Z173" s="57"/>
    </row>
    <row r="174" spans="1:26" ht="14.25" customHeight="1">
      <c r="A174" s="57"/>
      <c r="B174" s="69"/>
      <c r="C174" s="69"/>
      <c r="D174" s="69"/>
      <c r="E174" s="69"/>
      <c r="F174" s="69"/>
      <c r="G174" s="57"/>
      <c r="H174" s="57"/>
      <c r="I174" s="57"/>
      <c r="J174" s="57"/>
      <c r="K174" s="57"/>
      <c r="L174" s="57"/>
      <c r="M174" s="57"/>
      <c r="N174" s="57"/>
      <c r="O174" s="57"/>
      <c r="P174" s="57"/>
      <c r="Q174" s="57"/>
      <c r="R174" s="57"/>
      <c r="S174" s="57"/>
      <c r="T174" s="57"/>
      <c r="U174" s="57"/>
      <c r="V174" s="57"/>
      <c r="W174" s="57"/>
      <c r="X174" s="57"/>
      <c r="Y174" s="57"/>
      <c r="Z174" s="57"/>
    </row>
    <row r="175" spans="1:26" ht="14.25" customHeight="1">
      <c r="A175" s="57"/>
      <c r="B175" s="69"/>
      <c r="C175" s="69"/>
      <c r="D175" s="69"/>
      <c r="E175" s="69"/>
      <c r="F175" s="69"/>
      <c r="G175" s="57"/>
      <c r="H175" s="57"/>
      <c r="I175" s="57"/>
      <c r="J175" s="57"/>
      <c r="K175" s="57"/>
      <c r="L175" s="57"/>
      <c r="M175" s="57"/>
      <c r="N175" s="57"/>
      <c r="O175" s="57"/>
      <c r="P175" s="57"/>
      <c r="Q175" s="57"/>
      <c r="R175" s="57"/>
      <c r="S175" s="57"/>
      <c r="T175" s="57"/>
      <c r="U175" s="57"/>
      <c r="V175" s="57"/>
      <c r="W175" s="57"/>
      <c r="X175" s="57"/>
      <c r="Y175" s="57"/>
      <c r="Z175" s="57"/>
    </row>
    <row r="176" spans="1:26" ht="14.25" customHeight="1">
      <c r="A176" s="57"/>
      <c r="B176" s="69"/>
      <c r="C176" s="69"/>
      <c r="D176" s="69"/>
      <c r="E176" s="69"/>
      <c r="F176" s="69"/>
      <c r="G176" s="57"/>
      <c r="H176" s="57"/>
      <c r="I176" s="57"/>
      <c r="J176" s="57"/>
      <c r="K176" s="57"/>
      <c r="L176" s="57"/>
      <c r="M176" s="57"/>
      <c r="N176" s="57"/>
      <c r="O176" s="57"/>
      <c r="P176" s="57"/>
      <c r="Q176" s="57"/>
      <c r="R176" s="57"/>
      <c r="S176" s="57"/>
      <c r="T176" s="57"/>
      <c r="U176" s="57"/>
      <c r="V176" s="57"/>
      <c r="W176" s="57"/>
      <c r="X176" s="57"/>
      <c r="Y176" s="57"/>
      <c r="Z176" s="57"/>
    </row>
    <row r="177" spans="1:26" ht="14.25" customHeight="1">
      <c r="A177" s="57"/>
      <c r="B177" s="69"/>
      <c r="C177" s="69"/>
      <c r="D177" s="69"/>
      <c r="E177" s="69"/>
      <c r="F177" s="69"/>
      <c r="G177" s="57"/>
      <c r="H177" s="57"/>
      <c r="I177" s="57"/>
      <c r="J177" s="57"/>
      <c r="K177" s="57"/>
      <c r="L177" s="57"/>
      <c r="M177" s="57"/>
      <c r="N177" s="57"/>
      <c r="O177" s="57"/>
      <c r="P177" s="57"/>
      <c r="Q177" s="57"/>
      <c r="R177" s="57"/>
      <c r="S177" s="57"/>
      <c r="T177" s="57"/>
      <c r="U177" s="57"/>
      <c r="V177" s="57"/>
      <c r="W177" s="57"/>
      <c r="X177" s="57"/>
      <c r="Y177" s="57"/>
      <c r="Z177" s="57"/>
    </row>
    <row r="178" spans="1:26" ht="14.25" customHeight="1">
      <c r="A178" s="57"/>
      <c r="B178" s="69"/>
      <c r="C178" s="69"/>
      <c r="D178" s="69"/>
      <c r="E178" s="69"/>
      <c r="F178" s="69"/>
      <c r="G178" s="57"/>
      <c r="H178" s="57"/>
      <c r="I178" s="57"/>
      <c r="J178" s="57"/>
      <c r="K178" s="57"/>
      <c r="L178" s="57"/>
      <c r="M178" s="57"/>
      <c r="N178" s="57"/>
      <c r="O178" s="57"/>
      <c r="P178" s="57"/>
      <c r="Q178" s="57"/>
      <c r="R178" s="57"/>
      <c r="S178" s="57"/>
      <c r="T178" s="57"/>
      <c r="U178" s="57"/>
      <c r="V178" s="57"/>
      <c r="W178" s="57"/>
      <c r="X178" s="57"/>
      <c r="Y178" s="57"/>
      <c r="Z178" s="57"/>
    </row>
    <row r="179" spans="1:26" ht="14.25" customHeight="1">
      <c r="A179" s="57"/>
      <c r="B179" s="69"/>
      <c r="C179" s="69"/>
      <c r="D179" s="69"/>
      <c r="E179" s="69"/>
      <c r="F179" s="69"/>
      <c r="G179" s="57"/>
      <c r="H179" s="57"/>
      <c r="I179" s="57"/>
      <c r="J179" s="57"/>
      <c r="K179" s="57"/>
      <c r="L179" s="57"/>
      <c r="M179" s="57"/>
      <c r="N179" s="57"/>
      <c r="O179" s="57"/>
      <c r="P179" s="57"/>
      <c r="Q179" s="57"/>
      <c r="R179" s="57"/>
      <c r="S179" s="57"/>
      <c r="T179" s="57"/>
      <c r="U179" s="57"/>
      <c r="V179" s="57"/>
      <c r="W179" s="57"/>
      <c r="X179" s="57"/>
      <c r="Y179" s="57"/>
      <c r="Z179" s="57"/>
    </row>
    <row r="180" spans="1:26" ht="14.25" customHeight="1">
      <c r="A180" s="57"/>
      <c r="B180" s="69"/>
      <c r="C180" s="69"/>
      <c r="D180" s="69"/>
      <c r="E180" s="69"/>
      <c r="F180" s="69"/>
      <c r="G180" s="57"/>
      <c r="H180" s="57"/>
      <c r="I180" s="57"/>
      <c r="J180" s="57"/>
      <c r="K180" s="57"/>
      <c r="L180" s="57"/>
      <c r="M180" s="57"/>
      <c r="N180" s="57"/>
      <c r="O180" s="57"/>
      <c r="P180" s="57"/>
      <c r="Q180" s="57"/>
      <c r="R180" s="57"/>
      <c r="S180" s="57"/>
      <c r="T180" s="57"/>
      <c r="U180" s="57"/>
      <c r="V180" s="57"/>
      <c r="W180" s="57"/>
      <c r="X180" s="57"/>
      <c r="Y180" s="57"/>
      <c r="Z180" s="57"/>
    </row>
    <row r="181" spans="1:26" ht="14.25" customHeight="1">
      <c r="A181" s="57"/>
      <c r="B181" s="69"/>
      <c r="C181" s="69"/>
      <c r="D181" s="69"/>
      <c r="E181" s="69"/>
      <c r="F181" s="69"/>
      <c r="G181" s="57"/>
      <c r="H181" s="57"/>
      <c r="I181" s="57"/>
      <c r="J181" s="57"/>
      <c r="K181" s="57"/>
      <c r="L181" s="57"/>
      <c r="M181" s="57"/>
      <c r="N181" s="57"/>
      <c r="O181" s="57"/>
      <c r="P181" s="57"/>
      <c r="Q181" s="57"/>
      <c r="R181" s="57"/>
      <c r="S181" s="57"/>
      <c r="T181" s="57"/>
      <c r="U181" s="57"/>
      <c r="V181" s="57"/>
      <c r="W181" s="57"/>
      <c r="X181" s="57"/>
      <c r="Y181" s="57"/>
      <c r="Z181" s="57"/>
    </row>
    <row r="182" spans="1:26" ht="14.25" customHeight="1">
      <c r="A182" s="57"/>
      <c r="B182" s="69"/>
      <c r="C182" s="69"/>
      <c r="D182" s="69"/>
      <c r="E182" s="69"/>
      <c r="F182" s="69"/>
      <c r="G182" s="57"/>
      <c r="H182" s="57"/>
      <c r="I182" s="57"/>
      <c r="J182" s="57"/>
      <c r="K182" s="57"/>
      <c r="L182" s="57"/>
      <c r="M182" s="57"/>
      <c r="N182" s="57"/>
      <c r="O182" s="57"/>
      <c r="P182" s="57"/>
      <c r="Q182" s="57"/>
      <c r="R182" s="57"/>
      <c r="S182" s="57"/>
      <c r="T182" s="57"/>
      <c r="U182" s="57"/>
      <c r="V182" s="57"/>
      <c r="W182" s="57"/>
      <c r="X182" s="57"/>
      <c r="Y182" s="57"/>
      <c r="Z182" s="57"/>
    </row>
    <row r="183" spans="1:26" ht="14.25" customHeight="1">
      <c r="A183" s="57"/>
      <c r="B183" s="69"/>
      <c r="C183" s="69"/>
      <c r="D183" s="69"/>
      <c r="E183" s="69"/>
      <c r="F183" s="69"/>
      <c r="G183" s="57"/>
      <c r="H183" s="57"/>
      <c r="I183" s="57"/>
      <c r="J183" s="57"/>
      <c r="K183" s="57"/>
      <c r="L183" s="57"/>
      <c r="M183" s="57"/>
      <c r="N183" s="57"/>
      <c r="O183" s="57"/>
      <c r="P183" s="57"/>
      <c r="Q183" s="57"/>
      <c r="R183" s="57"/>
      <c r="S183" s="57"/>
      <c r="T183" s="57"/>
      <c r="U183" s="57"/>
      <c r="V183" s="57"/>
      <c r="W183" s="57"/>
      <c r="X183" s="57"/>
      <c r="Y183" s="57"/>
      <c r="Z183" s="57"/>
    </row>
    <row r="184" spans="1:26" ht="14.25" customHeight="1">
      <c r="A184" s="57"/>
      <c r="B184" s="69"/>
      <c r="C184" s="69"/>
      <c r="D184" s="69"/>
      <c r="E184" s="69"/>
      <c r="F184" s="69"/>
      <c r="G184" s="57"/>
      <c r="H184" s="57"/>
      <c r="I184" s="57"/>
      <c r="J184" s="57"/>
      <c r="K184" s="57"/>
      <c r="L184" s="57"/>
      <c r="M184" s="57"/>
      <c r="N184" s="57"/>
      <c r="O184" s="57"/>
      <c r="P184" s="57"/>
      <c r="Q184" s="57"/>
      <c r="R184" s="57"/>
      <c r="S184" s="57"/>
      <c r="T184" s="57"/>
      <c r="U184" s="57"/>
      <c r="V184" s="57"/>
      <c r="W184" s="57"/>
      <c r="X184" s="57"/>
      <c r="Y184" s="57"/>
      <c r="Z184" s="57"/>
    </row>
    <row r="185" spans="1:26" ht="14.25" customHeight="1">
      <c r="A185" s="57"/>
      <c r="B185" s="69"/>
      <c r="C185" s="69"/>
      <c r="D185" s="69"/>
      <c r="E185" s="69"/>
      <c r="F185" s="69"/>
      <c r="G185" s="57"/>
      <c r="H185" s="57"/>
      <c r="I185" s="57"/>
      <c r="J185" s="57"/>
      <c r="K185" s="57"/>
      <c r="L185" s="57"/>
      <c r="M185" s="57"/>
      <c r="N185" s="57"/>
      <c r="O185" s="57"/>
      <c r="P185" s="57"/>
      <c r="Q185" s="57"/>
      <c r="R185" s="57"/>
      <c r="S185" s="57"/>
      <c r="T185" s="57"/>
      <c r="U185" s="57"/>
      <c r="V185" s="57"/>
      <c r="W185" s="57"/>
      <c r="X185" s="57"/>
      <c r="Y185" s="57"/>
      <c r="Z185" s="57"/>
    </row>
    <row r="186" spans="1:26" ht="14.25" customHeight="1">
      <c r="A186" s="57"/>
      <c r="B186" s="69"/>
      <c r="C186" s="69"/>
      <c r="D186" s="69"/>
      <c r="E186" s="69"/>
      <c r="F186" s="69"/>
      <c r="G186" s="57"/>
      <c r="H186" s="57"/>
      <c r="I186" s="57"/>
      <c r="J186" s="57"/>
      <c r="K186" s="57"/>
      <c r="L186" s="57"/>
      <c r="M186" s="57"/>
      <c r="N186" s="57"/>
      <c r="O186" s="57"/>
      <c r="P186" s="57"/>
      <c r="Q186" s="57"/>
      <c r="R186" s="57"/>
      <c r="S186" s="57"/>
      <c r="T186" s="57"/>
      <c r="U186" s="57"/>
      <c r="V186" s="57"/>
      <c r="W186" s="57"/>
      <c r="X186" s="57"/>
      <c r="Y186" s="57"/>
      <c r="Z186" s="57"/>
    </row>
    <row r="187" spans="1:26" ht="14.25" customHeight="1">
      <c r="A187" s="57"/>
      <c r="B187" s="69"/>
      <c r="C187" s="69"/>
      <c r="D187" s="69"/>
      <c r="E187" s="69"/>
      <c r="F187" s="69"/>
      <c r="G187" s="57"/>
      <c r="H187" s="57"/>
      <c r="I187" s="57"/>
      <c r="J187" s="57"/>
      <c r="K187" s="57"/>
      <c r="L187" s="57"/>
      <c r="M187" s="57"/>
      <c r="N187" s="57"/>
      <c r="O187" s="57"/>
      <c r="P187" s="57"/>
      <c r="Q187" s="57"/>
      <c r="R187" s="57"/>
      <c r="S187" s="57"/>
      <c r="T187" s="57"/>
      <c r="U187" s="57"/>
      <c r="V187" s="57"/>
      <c r="W187" s="57"/>
      <c r="X187" s="57"/>
      <c r="Y187" s="57"/>
      <c r="Z187" s="57"/>
    </row>
    <row r="188" spans="1:26" ht="14.25" customHeight="1">
      <c r="A188" s="57"/>
      <c r="B188" s="69"/>
      <c r="C188" s="69"/>
      <c r="D188" s="69"/>
      <c r="E188" s="69"/>
      <c r="F188" s="69"/>
      <c r="G188" s="57"/>
      <c r="H188" s="57"/>
      <c r="I188" s="57"/>
      <c r="J188" s="57"/>
      <c r="K188" s="57"/>
      <c r="L188" s="57"/>
      <c r="M188" s="57"/>
      <c r="N188" s="57"/>
      <c r="O188" s="57"/>
      <c r="P188" s="57"/>
      <c r="Q188" s="57"/>
      <c r="R188" s="57"/>
      <c r="S188" s="57"/>
      <c r="T188" s="57"/>
      <c r="U188" s="57"/>
      <c r="V188" s="57"/>
      <c r="W188" s="57"/>
      <c r="X188" s="57"/>
      <c r="Y188" s="57"/>
      <c r="Z188" s="57"/>
    </row>
    <row r="189" spans="1:26" ht="14.25" customHeight="1">
      <c r="A189" s="57"/>
      <c r="B189" s="69"/>
      <c r="C189" s="69"/>
      <c r="D189" s="69"/>
      <c r="E189" s="69"/>
      <c r="F189" s="69"/>
      <c r="G189" s="57"/>
      <c r="H189" s="57"/>
      <c r="I189" s="57"/>
      <c r="J189" s="57"/>
      <c r="K189" s="57"/>
      <c r="L189" s="57"/>
      <c r="M189" s="57"/>
      <c r="N189" s="57"/>
      <c r="O189" s="57"/>
      <c r="P189" s="57"/>
      <c r="Q189" s="57"/>
      <c r="R189" s="57"/>
      <c r="S189" s="57"/>
      <c r="T189" s="57"/>
      <c r="U189" s="57"/>
      <c r="V189" s="57"/>
      <c r="W189" s="57"/>
      <c r="X189" s="57"/>
      <c r="Y189" s="57"/>
      <c r="Z189" s="57"/>
    </row>
    <row r="190" spans="1:26" ht="14.25" customHeight="1">
      <c r="A190" s="57"/>
      <c r="B190" s="69"/>
      <c r="C190" s="69"/>
      <c r="D190" s="69"/>
      <c r="E190" s="69"/>
      <c r="F190" s="69"/>
      <c r="G190" s="57"/>
      <c r="H190" s="57"/>
      <c r="I190" s="57"/>
      <c r="J190" s="57"/>
      <c r="K190" s="57"/>
      <c r="L190" s="57"/>
      <c r="M190" s="57"/>
      <c r="N190" s="57"/>
      <c r="O190" s="57"/>
      <c r="P190" s="57"/>
      <c r="Q190" s="57"/>
      <c r="R190" s="57"/>
      <c r="S190" s="57"/>
      <c r="T190" s="57"/>
      <c r="U190" s="57"/>
      <c r="V190" s="57"/>
      <c r="W190" s="57"/>
      <c r="X190" s="57"/>
      <c r="Y190" s="57"/>
      <c r="Z190" s="57"/>
    </row>
    <row r="191" spans="1:26" ht="14.25" customHeight="1">
      <c r="A191" s="57"/>
      <c r="B191" s="69"/>
      <c r="C191" s="69"/>
      <c r="D191" s="69"/>
      <c r="E191" s="69"/>
      <c r="F191" s="69"/>
      <c r="G191" s="57"/>
      <c r="H191" s="57"/>
      <c r="I191" s="57"/>
      <c r="J191" s="57"/>
      <c r="K191" s="57"/>
      <c r="L191" s="57"/>
      <c r="M191" s="57"/>
      <c r="N191" s="57"/>
      <c r="O191" s="57"/>
      <c r="P191" s="57"/>
      <c r="Q191" s="57"/>
      <c r="R191" s="57"/>
      <c r="S191" s="57"/>
      <c r="T191" s="57"/>
      <c r="U191" s="57"/>
      <c r="V191" s="57"/>
      <c r="W191" s="57"/>
      <c r="X191" s="57"/>
      <c r="Y191" s="57"/>
      <c r="Z191" s="57"/>
    </row>
    <row r="192" spans="1:26" ht="14.25" customHeight="1">
      <c r="A192" s="57"/>
      <c r="B192" s="69"/>
      <c r="C192" s="69"/>
      <c r="D192" s="69"/>
      <c r="E192" s="69"/>
      <c r="F192" s="69"/>
      <c r="G192" s="57"/>
      <c r="H192" s="57"/>
      <c r="I192" s="57"/>
      <c r="J192" s="57"/>
      <c r="K192" s="57"/>
      <c r="L192" s="57"/>
      <c r="M192" s="57"/>
      <c r="N192" s="57"/>
      <c r="O192" s="57"/>
      <c r="P192" s="57"/>
      <c r="Q192" s="57"/>
      <c r="R192" s="57"/>
      <c r="S192" s="57"/>
      <c r="T192" s="57"/>
      <c r="U192" s="57"/>
      <c r="V192" s="57"/>
      <c r="W192" s="57"/>
      <c r="X192" s="57"/>
      <c r="Y192" s="57"/>
      <c r="Z192" s="57"/>
    </row>
    <row r="193" spans="1:26" ht="14.25" customHeight="1">
      <c r="A193" s="57"/>
      <c r="B193" s="69"/>
      <c r="C193" s="69"/>
      <c r="D193" s="69"/>
      <c r="E193" s="69"/>
      <c r="F193" s="69"/>
      <c r="G193" s="57"/>
      <c r="H193" s="57"/>
      <c r="I193" s="57"/>
      <c r="J193" s="57"/>
      <c r="K193" s="57"/>
      <c r="L193" s="57"/>
      <c r="M193" s="57"/>
      <c r="N193" s="57"/>
      <c r="O193" s="57"/>
      <c r="P193" s="57"/>
      <c r="Q193" s="57"/>
      <c r="R193" s="57"/>
      <c r="S193" s="57"/>
      <c r="T193" s="57"/>
      <c r="U193" s="57"/>
      <c r="V193" s="57"/>
      <c r="W193" s="57"/>
      <c r="X193" s="57"/>
      <c r="Y193" s="57"/>
      <c r="Z193" s="57"/>
    </row>
    <row r="194" spans="1:26" ht="14.25" customHeight="1">
      <c r="A194" s="57"/>
      <c r="B194" s="69"/>
      <c r="C194" s="69"/>
      <c r="D194" s="69"/>
      <c r="E194" s="69"/>
      <c r="F194" s="69"/>
      <c r="G194" s="57"/>
      <c r="H194" s="57"/>
      <c r="I194" s="57"/>
      <c r="J194" s="57"/>
      <c r="K194" s="57"/>
      <c r="L194" s="57"/>
      <c r="M194" s="57"/>
      <c r="N194" s="57"/>
      <c r="O194" s="57"/>
      <c r="P194" s="57"/>
      <c r="Q194" s="57"/>
      <c r="R194" s="57"/>
      <c r="S194" s="57"/>
      <c r="T194" s="57"/>
      <c r="U194" s="57"/>
      <c r="V194" s="57"/>
      <c r="W194" s="57"/>
      <c r="X194" s="57"/>
      <c r="Y194" s="57"/>
      <c r="Z194" s="57"/>
    </row>
    <row r="195" spans="1:26" ht="14.25" customHeight="1">
      <c r="A195" s="57"/>
      <c r="B195" s="69"/>
      <c r="C195" s="69"/>
      <c r="D195" s="69"/>
      <c r="E195" s="69"/>
      <c r="F195" s="69"/>
      <c r="G195" s="57"/>
      <c r="H195" s="57"/>
      <c r="I195" s="57"/>
      <c r="J195" s="57"/>
      <c r="K195" s="57"/>
      <c r="L195" s="57"/>
      <c r="M195" s="57"/>
      <c r="N195" s="57"/>
      <c r="O195" s="57"/>
      <c r="P195" s="57"/>
      <c r="Q195" s="57"/>
      <c r="R195" s="57"/>
      <c r="S195" s="57"/>
      <c r="T195" s="57"/>
      <c r="U195" s="57"/>
      <c r="V195" s="57"/>
      <c r="W195" s="57"/>
      <c r="X195" s="57"/>
      <c r="Y195" s="57"/>
      <c r="Z195" s="57"/>
    </row>
    <row r="196" spans="1:26" ht="14.25" customHeight="1">
      <c r="A196" s="57"/>
      <c r="B196" s="69"/>
      <c r="C196" s="69"/>
      <c r="D196" s="69"/>
      <c r="E196" s="69"/>
      <c r="F196" s="69"/>
      <c r="G196" s="57"/>
      <c r="H196" s="57"/>
      <c r="I196" s="57"/>
      <c r="J196" s="57"/>
      <c r="K196" s="57"/>
      <c r="L196" s="57"/>
      <c r="M196" s="57"/>
      <c r="N196" s="57"/>
      <c r="O196" s="57"/>
      <c r="P196" s="57"/>
      <c r="Q196" s="57"/>
      <c r="R196" s="57"/>
      <c r="S196" s="57"/>
      <c r="T196" s="57"/>
      <c r="U196" s="57"/>
      <c r="V196" s="57"/>
      <c r="W196" s="57"/>
      <c r="X196" s="57"/>
      <c r="Y196" s="57"/>
      <c r="Z196" s="57"/>
    </row>
    <row r="197" spans="1:26" ht="14.25" customHeight="1">
      <c r="A197" s="57"/>
      <c r="B197" s="69"/>
      <c r="C197" s="69"/>
      <c r="D197" s="69"/>
      <c r="E197" s="69"/>
      <c r="F197" s="69"/>
      <c r="G197" s="57"/>
      <c r="H197" s="57"/>
      <c r="I197" s="57"/>
      <c r="J197" s="57"/>
      <c r="K197" s="57"/>
      <c r="L197" s="57"/>
      <c r="M197" s="57"/>
      <c r="N197" s="57"/>
      <c r="O197" s="57"/>
      <c r="P197" s="57"/>
      <c r="Q197" s="57"/>
      <c r="R197" s="57"/>
      <c r="S197" s="57"/>
      <c r="T197" s="57"/>
      <c r="U197" s="57"/>
      <c r="V197" s="57"/>
      <c r="W197" s="57"/>
      <c r="X197" s="57"/>
      <c r="Y197" s="57"/>
      <c r="Z197" s="57"/>
    </row>
    <row r="198" spans="1:26" ht="14.25" customHeight="1">
      <c r="A198" s="57"/>
      <c r="B198" s="69"/>
      <c r="C198" s="69"/>
      <c r="D198" s="69"/>
      <c r="E198" s="69"/>
      <c r="F198" s="69"/>
      <c r="G198" s="57"/>
      <c r="H198" s="57"/>
      <c r="I198" s="57"/>
      <c r="J198" s="57"/>
      <c r="K198" s="57"/>
      <c r="L198" s="57"/>
      <c r="M198" s="57"/>
      <c r="N198" s="57"/>
      <c r="O198" s="57"/>
      <c r="P198" s="57"/>
      <c r="Q198" s="57"/>
      <c r="R198" s="57"/>
      <c r="S198" s="57"/>
      <c r="T198" s="57"/>
      <c r="U198" s="57"/>
      <c r="V198" s="57"/>
      <c r="W198" s="57"/>
      <c r="X198" s="57"/>
      <c r="Y198" s="57"/>
      <c r="Z198" s="57"/>
    </row>
    <row r="199" spans="1:26" ht="14.25" customHeight="1">
      <c r="A199" s="57"/>
      <c r="B199" s="69"/>
      <c r="C199" s="69"/>
      <c r="D199" s="69"/>
      <c r="E199" s="69"/>
      <c r="F199" s="69"/>
      <c r="G199" s="57"/>
      <c r="H199" s="57"/>
      <c r="I199" s="57"/>
      <c r="J199" s="57"/>
      <c r="K199" s="57"/>
      <c r="L199" s="57"/>
      <c r="M199" s="57"/>
      <c r="N199" s="57"/>
      <c r="O199" s="57"/>
      <c r="P199" s="57"/>
      <c r="Q199" s="57"/>
      <c r="R199" s="57"/>
      <c r="S199" s="57"/>
      <c r="T199" s="57"/>
      <c r="U199" s="57"/>
      <c r="V199" s="57"/>
      <c r="W199" s="57"/>
      <c r="X199" s="57"/>
      <c r="Y199" s="57"/>
      <c r="Z199" s="57"/>
    </row>
    <row r="200" spans="1:26" ht="14.25" customHeight="1">
      <c r="A200" s="57"/>
      <c r="B200" s="69"/>
      <c r="C200" s="69"/>
      <c r="D200" s="69"/>
      <c r="E200" s="69"/>
      <c r="F200" s="69"/>
      <c r="G200" s="57"/>
      <c r="H200" s="57"/>
      <c r="I200" s="57"/>
      <c r="J200" s="57"/>
      <c r="K200" s="57"/>
      <c r="L200" s="57"/>
      <c r="M200" s="57"/>
      <c r="N200" s="57"/>
      <c r="O200" s="57"/>
      <c r="P200" s="57"/>
      <c r="Q200" s="57"/>
      <c r="R200" s="57"/>
      <c r="S200" s="57"/>
      <c r="T200" s="57"/>
      <c r="U200" s="57"/>
      <c r="V200" s="57"/>
      <c r="W200" s="57"/>
      <c r="X200" s="57"/>
      <c r="Y200" s="57"/>
      <c r="Z200" s="57"/>
    </row>
    <row r="201" spans="1:26" ht="14.25" customHeight="1">
      <c r="A201" s="57"/>
      <c r="B201" s="69"/>
      <c r="C201" s="69"/>
      <c r="D201" s="69"/>
      <c r="E201" s="69"/>
      <c r="F201" s="69"/>
      <c r="G201" s="57"/>
      <c r="H201" s="57"/>
      <c r="I201" s="57"/>
      <c r="J201" s="57"/>
      <c r="K201" s="57"/>
      <c r="L201" s="57"/>
      <c r="M201" s="57"/>
      <c r="N201" s="57"/>
      <c r="O201" s="57"/>
      <c r="P201" s="57"/>
      <c r="Q201" s="57"/>
      <c r="R201" s="57"/>
      <c r="S201" s="57"/>
      <c r="T201" s="57"/>
      <c r="U201" s="57"/>
      <c r="V201" s="57"/>
      <c r="W201" s="57"/>
      <c r="X201" s="57"/>
      <c r="Y201" s="57"/>
      <c r="Z201" s="57"/>
    </row>
    <row r="202" spans="1:26" ht="14.25" customHeight="1">
      <c r="A202" s="57"/>
      <c r="B202" s="69"/>
      <c r="C202" s="69"/>
      <c r="D202" s="69"/>
      <c r="E202" s="69"/>
      <c r="F202" s="69"/>
      <c r="G202" s="57"/>
      <c r="H202" s="57"/>
      <c r="I202" s="57"/>
      <c r="J202" s="57"/>
      <c r="K202" s="57"/>
      <c r="L202" s="57"/>
      <c r="M202" s="57"/>
      <c r="N202" s="57"/>
      <c r="O202" s="57"/>
      <c r="P202" s="57"/>
      <c r="Q202" s="57"/>
      <c r="R202" s="57"/>
      <c r="S202" s="57"/>
      <c r="T202" s="57"/>
      <c r="U202" s="57"/>
      <c r="V202" s="57"/>
      <c r="W202" s="57"/>
      <c r="X202" s="57"/>
      <c r="Y202" s="57"/>
      <c r="Z202" s="57"/>
    </row>
    <row r="203" spans="1:26" ht="14.25" customHeight="1">
      <c r="A203" s="57"/>
      <c r="B203" s="69"/>
      <c r="C203" s="69"/>
      <c r="D203" s="69"/>
      <c r="E203" s="69"/>
      <c r="F203" s="69"/>
      <c r="G203" s="57"/>
      <c r="H203" s="57"/>
      <c r="I203" s="57"/>
      <c r="J203" s="57"/>
      <c r="K203" s="57"/>
      <c r="L203" s="57"/>
      <c r="M203" s="57"/>
      <c r="N203" s="57"/>
      <c r="O203" s="57"/>
      <c r="P203" s="57"/>
      <c r="Q203" s="57"/>
      <c r="R203" s="57"/>
      <c r="S203" s="57"/>
      <c r="T203" s="57"/>
      <c r="U203" s="57"/>
      <c r="V203" s="57"/>
      <c r="W203" s="57"/>
      <c r="X203" s="57"/>
      <c r="Y203" s="57"/>
      <c r="Z203" s="57"/>
    </row>
    <row r="204" spans="1:26" ht="14.25" customHeight="1">
      <c r="A204" s="57"/>
      <c r="B204" s="69"/>
      <c r="C204" s="69"/>
      <c r="D204" s="69"/>
      <c r="E204" s="69"/>
      <c r="F204" s="69"/>
      <c r="G204" s="57"/>
      <c r="H204" s="57"/>
      <c r="I204" s="57"/>
      <c r="J204" s="57"/>
      <c r="K204" s="57"/>
      <c r="L204" s="57"/>
      <c r="M204" s="57"/>
      <c r="N204" s="57"/>
      <c r="O204" s="57"/>
      <c r="P204" s="57"/>
      <c r="Q204" s="57"/>
      <c r="R204" s="57"/>
      <c r="S204" s="57"/>
      <c r="T204" s="57"/>
      <c r="U204" s="57"/>
      <c r="V204" s="57"/>
      <c r="W204" s="57"/>
      <c r="X204" s="57"/>
      <c r="Y204" s="57"/>
      <c r="Z204" s="57"/>
    </row>
    <row r="205" spans="1:26" ht="14.25" customHeight="1">
      <c r="A205" s="57"/>
      <c r="B205" s="69"/>
      <c r="C205" s="69"/>
      <c r="D205" s="69"/>
      <c r="E205" s="69"/>
      <c r="F205" s="69"/>
      <c r="G205" s="57"/>
      <c r="H205" s="57"/>
      <c r="I205" s="57"/>
      <c r="J205" s="57"/>
      <c r="K205" s="57"/>
      <c r="L205" s="57"/>
      <c r="M205" s="57"/>
      <c r="N205" s="57"/>
      <c r="O205" s="57"/>
      <c r="P205" s="57"/>
      <c r="Q205" s="57"/>
      <c r="R205" s="57"/>
      <c r="S205" s="57"/>
      <c r="T205" s="57"/>
      <c r="U205" s="57"/>
      <c r="V205" s="57"/>
      <c r="W205" s="57"/>
      <c r="X205" s="57"/>
      <c r="Y205" s="57"/>
      <c r="Z205" s="57"/>
    </row>
    <row r="206" spans="1:26" ht="14.25" customHeight="1">
      <c r="A206" s="57"/>
      <c r="B206" s="69"/>
      <c r="C206" s="69"/>
      <c r="D206" s="69"/>
      <c r="E206" s="69"/>
      <c r="F206" s="69"/>
      <c r="G206" s="57"/>
      <c r="H206" s="57"/>
      <c r="I206" s="57"/>
      <c r="J206" s="57"/>
      <c r="K206" s="57"/>
      <c r="L206" s="57"/>
      <c r="M206" s="57"/>
      <c r="N206" s="57"/>
      <c r="O206" s="57"/>
      <c r="P206" s="57"/>
      <c r="Q206" s="57"/>
      <c r="R206" s="57"/>
      <c r="S206" s="57"/>
      <c r="T206" s="57"/>
      <c r="U206" s="57"/>
      <c r="V206" s="57"/>
      <c r="W206" s="57"/>
      <c r="X206" s="57"/>
      <c r="Y206" s="57"/>
      <c r="Z206" s="57"/>
    </row>
    <row r="207" spans="1:26" ht="14.25" customHeight="1">
      <c r="A207" s="57"/>
      <c r="B207" s="69"/>
      <c r="C207" s="69"/>
      <c r="D207" s="69"/>
      <c r="E207" s="69"/>
      <c r="F207" s="69"/>
      <c r="G207" s="57"/>
      <c r="H207" s="57"/>
      <c r="I207" s="57"/>
      <c r="J207" s="57"/>
      <c r="K207" s="57"/>
      <c r="L207" s="57"/>
      <c r="M207" s="57"/>
      <c r="N207" s="57"/>
      <c r="O207" s="57"/>
      <c r="P207" s="57"/>
      <c r="Q207" s="57"/>
      <c r="R207" s="57"/>
      <c r="S207" s="57"/>
      <c r="T207" s="57"/>
      <c r="U207" s="57"/>
      <c r="V207" s="57"/>
      <c r="W207" s="57"/>
      <c r="X207" s="57"/>
      <c r="Y207" s="57"/>
      <c r="Z207" s="57"/>
    </row>
    <row r="208" spans="1:26" ht="14.25" customHeight="1">
      <c r="A208" s="57"/>
      <c r="B208" s="69"/>
      <c r="C208" s="69"/>
      <c r="D208" s="69"/>
      <c r="E208" s="69"/>
      <c r="F208" s="69"/>
      <c r="G208" s="57"/>
      <c r="H208" s="57"/>
      <c r="I208" s="57"/>
      <c r="J208" s="57"/>
      <c r="K208" s="57"/>
      <c r="L208" s="57"/>
      <c r="M208" s="57"/>
      <c r="N208" s="57"/>
      <c r="O208" s="57"/>
      <c r="P208" s="57"/>
      <c r="Q208" s="57"/>
      <c r="R208" s="57"/>
      <c r="S208" s="57"/>
      <c r="T208" s="57"/>
      <c r="U208" s="57"/>
      <c r="V208" s="57"/>
      <c r="W208" s="57"/>
      <c r="X208" s="57"/>
      <c r="Y208" s="57"/>
      <c r="Z208" s="57"/>
    </row>
    <row r="209" spans="1:26" ht="14.25" customHeight="1">
      <c r="A209" s="57"/>
      <c r="B209" s="69"/>
      <c r="C209" s="69"/>
      <c r="D209" s="69"/>
      <c r="E209" s="69"/>
      <c r="F209" s="69"/>
      <c r="G209" s="57"/>
      <c r="H209" s="57"/>
      <c r="I209" s="57"/>
      <c r="J209" s="57"/>
      <c r="K209" s="57"/>
      <c r="L209" s="57"/>
      <c r="M209" s="57"/>
      <c r="N209" s="57"/>
      <c r="O209" s="57"/>
      <c r="P209" s="57"/>
      <c r="Q209" s="57"/>
      <c r="R209" s="57"/>
      <c r="S209" s="57"/>
      <c r="T209" s="57"/>
      <c r="U209" s="57"/>
      <c r="V209" s="57"/>
      <c r="W209" s="57"/>
      <c r="X209" s="57"/>
      <c r="Y209" s="57"/>
      <c r="Z209" s="57"/>
    </row>
    <row r="210" spans="1:26" ht="14.25" customHeight="1">
      <c r="A210" s="57"/>
      <c r="B210" s="69"/>
      <c r="C210" s="69"/>
      <c r="D210" s="69"/>
      <c r="E210" s="69"/>
      <c r="F210" s="69"/>
      <c r="G210" s="57"/>
      <c r="H210" s="57"/>
      <c r="I210" s="57"/>
      <c r="J210" s="57"/>
      <c r="K210" s="57"/>
      <c r="L210" s="57"/>
      <c r="M210" s="57"/>
      <c r="N210" s="57"/>
      <c r="O210" s="57"/>
      <c r="P210" s="57"/>
      <c r="Q210" s="57"/>
      <c r="R210" s="57"/>
      <c r="S210" s="57"/>
      <c r="T210" s="57"/>
      <c r="U210" s="57"/>
      <c r="V210" s="57"/>
      <c r="W210" s="57"/>
      <c r="X210" s="57"/>
      <c r="Y210" s="57"/>
      <c r="Z210" s="57"/>
    </row>
    <row r="211" spans="1:26" ht="14.25" customHeight="1">
      <c r="A211" s="57"/>
      <c r="B211" s="69"/>
      <c r="C211" s="69"/>
      <c r="D211" s="69"/>
      <c r="E211" s="69"/>
      <c r="F211" s="69"/>
      <c r="G211" s="57"/>
      <c r="H211" s="57"/>
      <c r="I211" s="57"/>
      <c r="J211" s="57"/>
      <c r="K211" s="57"/>
      <c r="L211" s="57"/>
      <c r="M211" s="57"/>
      <c r="N211" s="57"/>
      <c r="O211" s="57"/>
      <c r="P211" s="57"/>
      <c r="Q211" s="57"/>
      <c r="R211" s="57"/>
      <c r="S211" s="57"/>
      <c r="T211" s="57"/>
      <c r="U211" s="57"/>
      <c r="V211" s="57"/>
      <c r="W211" s="57"/>
      <c r="X211" s="57"/>
      <c r="Y211" s="57"/>
      <c r="Z211" s="57"/>
    </row>
    <row r="212" spans="1:26" ht="14.25" customHeight="1">
      <c r="A212" s="57"/>
      <c r="B212" s="69"/>
      <c r="C212" s="69"/>
      <c r="D212" s="69"/>
      <c r="E212" s="69"/>
      <c r="F212" s="69"/>
      <c r="G212" s="57"/>
      <c r="H212" s="57"/>
      <c r="I212" s="57"/>
      <c r="J212" s="57"/>
      <c r="K212" s="57"/>
      <c r="L212" s="57"/>
      <c r="M212" s="57"/>
      <c r="N212" s="57"/>
      <c r="O212" s="57"/>
      <c r="P212" s="57"/>
      <c r="Q212" s="57"/>
      <c r="R212" s="57"/>
      <c r="S212" s="57"/>
      <c r="T212" s="57"/>
      <c r="U212" s="57"/>
      <c r="V212" s="57"/>
      <c r="W212" s="57"/>
      <c r="X212" s="57"/>
      <c r="Y212" s="57"/>
      <c r="Z212" s="57"/>
    </row>
    <row r="213" spans="1:26" ht="14.25" customHeight="1">
      <c r="A213" s="57"/>
      <c r="B213" s="69"/>
      <c r="C213" s="69"/>
      <c r="D213" s="69"/>
      <c r="E213" s="69"/>
      <c r="F213" s="69"/>
      <c r="G213" s="57"/>
      <c r="H213" s="57"/>
      <c r="I213" s="57"/>
      <c r="J213" s="57"/>
      <c r="K213" s="57"/>
      <c r="L213" s="57"/>
      <c r="M213" s="57"/>
      <c r="N213" s="57"/>
      <c r="O213" s="57"/>
      <c r="P213" s="57"/>
      <c r="Q213" s="57"/>
      <c r="R213" s="57"/>
      <c r="S213" s="57"/>
      <c r="T213" s="57"/>
      <c r="U213" s="57"/>
      <c r="V213" s="57"/>
      <c r="W213" s="57"/>
      <c r="X213" s="57"/>
      <c r="Y213" s="57"/>
      <c r="Z213" s="57"/>
    </row>
    <row r="214" spans="1:26" ht="14.25" customHeight="1">
      <c r="A214" s="57"/>
      <c r="B214" s="69"/>
      <c r="C214" s="69"/>
      <c r="D214" s="69"/>
      <c r="E214" s="69"/>
      <c r="F214" s="69"/>
      <c r="G214" s="57"/>
      <c r="H214" s="57"/>
      <c r="I214" s="57"/>
      <c r="J214" s="57"/>
      <c r="K214" s="57"/>
      <c r="L214" s="57"/>
      <c r="M214" s="57"/>
      <c r="N214" s="57"/>
      <c r="O214" s="57"/>
      <c r="P214" s="57"/>
      <c r="Q214" s="57"/>
      <c r="R214" s="57"/>
      <c r="S214" s="57"/>
      <c r="T214" s="57"/>
      <c r="U214" s="57"/>
      <c r="V214" s="57"/>
      <c r="W214" s="57"/>
      <c r="X214" s="57"/>
      <c r="Y214" s="57"/>
      <c r="Z214" s="57"/>
    </row>
    <row r="215" spans="1:26" ht="14.25" customHeight="1">
      <c r="A215" s="57"/>
      <c r="B215" s="69"/>
      <c r="C215" s="69"/>
      <c r="D215" s="69"/>
      <c r="E215" s="69"/>
      <c r="F215" s="69"/>
      <c r="G215" s="57"/>
      <c r="H215" s="57"/>
      <c r="I215" s="57"/>
      <c r="J215" s="57"/>
      <c r="K215" s="57"/>
      <c r="L215" s="57"/>
      <c r="M215" s="57"/>
      <c r="N215" s="57"/>
      <c r="O215" s="57"/>
      <c r="P215" s="57"/>
      <c r="Q215" s="57"/>
      <c r="R215" s="57"/>
      <c r="S215" s="57"/>
      <c r="T215" s="57"/>
      <c r="U215" s="57"/>
      <c r="V215" s="57"/>
      <c r="W215" s="57"/>
      <c r="X215" s="57"/>
      <c r="Y215" s="57"/>
      <c r="Z215" s="57"/>
    </row>
    <row r="216" spans="1:26" ht="14.25" customHeight="1">
      <c r="A216" s="57"/>
      <c r="B216" s="69"/>
      <c r="C216" s="69"/>
      <c r="D216" s="69"/>
      <c r="E216" s="69"/>
      <c r="F216" s="69"/>
      <c r="G216" s="57"/>
      <c r="H216" s="57"/>
      <c r="I216" s="57"/>
      <c r="J216" s="57"/>
      <c r="K216" s="57"/>
      <c r="L216" s="57"/>
      <c r="M216" s="57"/>
      <c r="N216" s="57"/>
      <c r="O216" s="57"/>
      <c r="P216" s="57"/>
      <c r="Q216" s="57"/>
      <c r="R216" s="57"/>
      <c r="S216" s="57"/>
      <c r="T216" s="57"/>
      <c r="U216" s="57"/>
      <c r="V216" s="57"/>
      <c r="W216" s="57"/>
      <c r="X216" s="57"/>
      <c r="Y216" s="57"/>
      <c r="Z216" s="57"/>
    </row>
    <row r="217" spans="1:26" ht="14.25" customHeight="1">
      <c r="A217" s="57"/>
      <c r="B217" s="69"/>
      <c r="C217" s="69"/>
      <c r="D217" s="69"/>
      <c r="E217" s="69"/>
      <c r="F217" s="69"/>
      <c r="G217" s="57"/>
      <c r="H217" s="57"/>
      <c r="I217" s="57"/>
      <c r="J217" s="57"/>
      <c r="K217" s="57"/>
      <c r="L217" s="57"/>
      <c r="M217" s="57"/>
      <c r="N217" s="57"/>
      <c r="O217" s="57"/>
      <c r="P217" s="57"/>
      <c r="Q217" s="57"/>
      <c r="R217" s="57"/>
      <c r="S217" s="57"/>
      <c r="T217" s="57"/>
      <c r="U217" s="57"/>
      <c r="V217" s="57"/>
      <c r="W217" s="57"/>
      <c r="X217" s="57"/>
      <c r="Y217" s="57"/>
      <c r="Z217" s="57"/>
    </row>
    <row r="218" spans="1:26" ht="14.25" customHeight="1">
      <c r="A218" s="57"/>
      <c r="B218" s="69"/>
      <c r="C218" s="69"/>
      <c r="D218" s="69"/>
      <c r="E218" s="69"/>
      <c r="F218" s="69"/>
      <c r="G218" s="57"/>
      <c r="H218" s="57"/>
      <c r="I218" s="57"/>
      <c r="J218" s="57"/>
      <c r="K218" s="57"/>
      <c r="L218" s="57"/>
      <c r="M218" s="57"/>
      <c r="N218" s="57"/>
      <c r="O218" s="57"/>
      <c r="P218" s="57"/>
      <c r="Q218" s="57"/>
      <c r="R218" s="57"/>
      <c r="S218" s="57"/>
      <c r="T218" s="57"/>
      <c r="U218" s="57"/>
      <c r="V218" s="57"/>
      <c r="W218" s="57"/>
      <c r="X218" s="57"/>
      <c r="Y218" s="57"/>
      <c r="Z218" s="57"/>
    </row>
    <row r="219" spans="1:26" ht="14.25" customHeight="1">
      <c r="A219" s="57"/>
      <c r="B219" s="69"/>
      <c r="C219" s="69"/>
      <c r="D219" s="69"/>
      <c r="E219" s="69"/>
      <c r="F219" s="69"/>
      <c r="G219" s="57"/>
      <c r="H219" s="57"/>
      <c r="I219" s="57"/>
      <c r="J219" s="57"/>
      <c r="K219" s="57"/>
      <c r="L219" s="57"/>
      <c r="M219" s="57"/>
      <c r="N219" s="57"/>
      <c r="O219" s="57"/>
      <c r="P219" s="57"/>
      <c r="Q219" s="57"/>
      <c r="R219" s="57"/>
      <c r="S219" s="57"/>
      <c r="T219" s="57"/>
      <c r="U219" s="57"/>
      <c r="V219" s="57"/>
      <c r="W219" s="57"/>
      <c r="X219" s="57"/>
      <c r="Y219" s="57"/>
      <c r="Z219" s="57"/>
    </row>
    <row r="220" spans="1:26" ht="14.25" customHeight="1">
      <c r="A220" s="57"/>
      <c r="B220" s="69"/>
      <c r="C220" s="69"/>
      <c r="D220" s="69"/>
      <c r="E220" s="69"/>
      <c r="F220" s="69"/>
      <c r="G220" s="57"/>
      <c r="H220" s="57"/>
      <c r="I220" s="57"/>
      <c r="J220" s="57"/>
      <c r="K220" s="57"/>
      <c r="L220" s="57"/>
      <c r="M220" s="57"/>
      <c r="N220" s="57"/>
      <c r="O220" s="57"/>
      <c r="P220" s="57"/>
      <c r="Q220" s="57"/>
      <c r="R220" s="57"/>
      <c r="S220" s="57"/>
      <c r="T220" s="57"/>
      <c r="U220" s="57"/>
      <c r="V220" s="57"/>
      <c r="W220" s="57"/>
      <c r="X220" s="57"/>
      <c r="Y220" s="57"/>
      <c r="Z220" s="57"/>
    </row>
    <row r="221" spans="1:26" ht="14.25" customHeight="1">
      <c r="A221" s="57"/>
      <c r="B221" s="69"/>
      <c r="C221" s="69"/>
      <c r="D221" s="69"/>
      <c r="E221" s="69"/>
      <c r="F221" s="69"/>
      <c r="G221" s="57"/>
      <c r="H221" s="57"/>
      <c r="I221" s="57"/>
      <c r="J221" s="57"/>
      <c r="K221" s="57"/>
      <c r="L221" s="57"/>
      <c r="M221" s="57"/>
      <c r="N221" s="57"/>
      <c r="O221" s="57"/>
      <c r="P221" s="57"/>
      <c r="Q221" s="57"/>
      <c r="R221" s="57"/>
      <c r="S221" s="57"/>
      <c r="T221" s="57"/>
      <c r="U221" s="57"/>
      <c r="V221" s="57"/>
      <c r="W221" s="57"/>
      <c r="X221" s="57"/>
      <c r="Y221" s="57"/>
      <c r="Z221" s="57"/>
    </row>
    <row r="222" spans="1:26" ht="14.25" customHeight="1">
      <c r="A222" s="57"/>
      <c r="B222" s="69"/>
      <c r="C222" s="69"/>
      <c r="D222" s="69"/>
      <c r="E222" s="69"/>
      <c r="F222" s="69"/>
      <c r="G222" s="57"/>
      <c r="H222" s="57"/>
      <c r="I222" s="57"/>
      <c r="J222" s="57"/>
      <c r="K222" s="57"/>
      <c r="L222" s="57"/>
      <c r="M222" s="57"/>
      <c r="N222" s="57"/>
      <c r="O222" s="57"/>
      <c r="P222" s="57"/>
      <c r="Q222" s="57"/>
      <c r="R222" s="57"/>
      <c r="S222" s="57"/>
      <c r="T222" s="57"/>
      <c r="U222" s="57"/>
      <c r="V222" s="57"/>
      <c r="W222" s="57"/>
      <c r="X222" s="57"/>
      <c r="Y222" s="57"/>
      <c r="Z222" s="57"/>
    </row>
    <row r="223" spans="1:26" ht="14.25" customHeight="1">
      <c r="A223" s="57"/>
      <c r="B223" s="69"/>
      <c r="C223" s="69"/>
      <c r="D223" s="69"/>
      <c r="E223" s="69"/>
      <c r="F223" s="69"/>
      <c r="G223" s="57"/>
      <c r="H223" s="57"/>
      <c r="I223" s="57"/>
      <c r="J223" s="57"/>
      <c r="K223" s="57"/>
      <c r="L223" s="57"/>
      <c r="M223" s="57"/>
      <c r="N223" s="57"/>
      <c r="O223" s="57"/>
      <c r="P223" s="57"/>
      <c r="Q223" s="57"/>
      <c r="R223" s="57"/>
      <c r="S223" s="57"/>
      <c r="T223" s="57"/>
      <c r="U223" s="57"/>
      <c r="V223" s="57"/>
      <c r="W223" s="57"/>
      <c r="X223" s="57"/>
      <c r="Y223" s="57"/>
      <c r="Z223" s="57"/>
    </row>
    <row r="224" spans="1:26" ht="14.25" customHeight="1">
      <c r="A224" s="57"/>
      <c r="B224" s="69"/>
      <c r="C224" s="69"/>
      <c r="D224" s="69"/>
      <c r="E224" s="69"/>
      <c r="F224" s="69"/>
      <c r="G224" s="57"/>
      <c r="H224" s="57"/>
      <c r="I224" s="57"/>
      <c r="J224" s="57"/>
      <c r="K224" s="57"/>
      <c r="L224" s="57"/>
      <c r="M224" s="57"/>
      <c r="N224" s="57"/>
      <c r="O224" s="57"/>
      <c r="P224" s="57"/>
      <c r="Q224" s="57"/>
      <c r="R224" s="57"/>
      <c r="S224" s="57"/>
      <c r="T224" s="57"/>
      <c r="U224" s="57"/>
      <c r="V224" s="57"/>
      <c r="W224" s="57"/>
      <c r="X224" s="57"/>
      <c r="Y224" s="57"/>
      <c r="Z224" s="57"/>
    </row>
    <row r="225" spans="1:26" ht="14.25" customHeight="1">
      <c r="A225" s="57"/>
      <c r="B225" s="69"/>
      <c r="C225" s="69"/>
      <c r="D225" s="69"/>
      <c r="E225" s="69"/>
      <c r="F225" s="69"/>
      <c r="G225" s="57"/>
      <c r="H225" s="57"/>
      <c r="I225" s="57"/>
      <c r="J225" s="57"/>
      <c r="K225" s="57"/>
      <c r="L225" s="57"/>
      <c r="M225" s="57"/>
      <c r="N225" s="57"/>
      <c r="O225" s="57"/>
      <c r="P225" s="57"/>
      <c r="Q225" s="57"/>
      <c r="R225" s="57"/>
      <c r="S225" s="57"/>
      <c r="T225" s="57"/>
      <c r="U225" s="57"/>
      <c r="V225" s="57"/>
      <c r="W225" s="57"/>
      <c r="X225" s="57"/>
      <c r="Y225" s="57"/>
      <c r="Z225" s="57"/>
    </row>
    <row r="226" spans="1:26" ht="14.25" customHeight="1">
      <c r="A226" s="57"/>
      <c r="B226" s="69"/>
      <c r="C226" s="69"/>
      <c r="D226" s="69"/>
      <c r="E226" s="69"/>
      <c r="F226" s="69"/>
      <c r="G226" s="57"/>
      <c r="H226" s="57"/>
      <c r="I226" s="57"/>
      <c r="J226" s="57"/>
      <c r="K226" s="57"/>
      <c r="L226" s="57"/>
      <c r="M226" s="57"/>
      <c r="N226" s="57"/>
      <c r="O226" s="57"/>
      <c r="P226" s="57"/>
      <c r="Q226" s="57"/>
      <c r="R226" s="57"/>
      <c r="S226" s="57"/>
      <c r="T226" s="57"/>
      <c r="U226" s="57"/>
      <c r="V226" s="57"/>
      <c r="W226" s="57"/>
      <c r="X226" s="57"/>
      <c r="Y226" s="57"/>
      <c r="Z226" s="57"/>
    </row>
    <row r="227" spans="1:26" ht="14.25" customHeight="1">
      <c r="A227" s="57"/>
      <c r="B227" s="69"/>
      <c r="C227" s="69"/>
      <c r="D227" s="69"/>
      <c r="E227" s="69"/>
      <c r="F227" s="69"/>
      <c r="G227" s="57"/>
      <c r="H227" s="57"/>
      <c r="I227" s="57"/>
      <c r="J227" s="57"/>
      <c r="K227" s="57"/>
      <c r="L227" s="57"/>
      <c r="M227" s="57"/>
      <c r="N227" s="57"/>
      <c r="O227" s="57"/>
      <c r="P227" s="57"/>
      <c r="Q227" s="57"/>
      <c r="R227" s="57"/>
      <c r="S227" s="57"/>
      <c r="T227" s="57"/>
      <c r="U227" s="57"/>
      <c r="V227" s="57"/>
      <c r="W227" s="57"/>
      <c r="X227" s="57"/>
      <c r="Y227" s="57"/>
      <c r="Z227" s="57"/>
    </row>
    <row r="228" spans="1:26" ht="14.25" customHeight="1">
      <c r="A228" s="57"/>
      <c r="B228" s="69"/>
      <c r="C228" s="69"/>
      <c r="D228" s="69"/>
      <c r="E228" s="69"/>
      <c r="F228" s="69"/>
      <c r="G228" s="57"/>
      <c r="H228" s="57"/>
      <c r="I228" s="57"/>
      <c r="J228" s="57"/>
      <c r="K228" s="57"/>
      <c r="L228" s="57"/>
      <c r="M228" s="57"/>
      <c r="N228" s="57"/>
      <c r="O228" s="57"/>
      <c r="P228" s="57"/>
      <c r="Q228" s="57"/>
      <c r="R228" s="57"/>
      <c r="S228" s="57"/>
      <c r="T228" s="57"/>
      <c r="U228" s="57"/>
      <c r="V228" s="57"/>
      <c r="W228" s="57"/>
      <c r="X228" s="57"/>
      <c r="Y228" s="57"/>
      <c r="Z228" s="57"/>
    </row>
    <row r="229" spans="1:26" ht="14.25" customHeight="1">
      <c r="A229" s="57"/>
      <c r="B229" s="69"/>
      <c r="C229" s="69"/>
      <c r="D229" s="69"/>
      <c r="E229" s="69"/>
      <c r="F229" s="69"/>
      <c r="G229" s="57"/>
      <c r="H229" s="57"/>
      <c r="I229" s="57"/>
      <c r="J229" s="57"/>
      <c r="K229" s="57"/>
      <c r="L229" s="57"/>
      <c r="M229" s="57"/>
      <c r="N229" s="57"/>
      <c r="O229" s="57"/>
      <c r="P229" s="57"/>
      <c r="Q229" s="57"/>
      <c r="R229" s="57"/>
      <c r="S229" s="57"/>
      <c r="T229" s="57"/>
      <c r="U229" s="57"/>
      <c r="V229" s="57"/>
      <c r="W229" s="57"/>
      <c r="X229" s="57"/>
      <c r="Y229" s="57"/>
      <c r="Z229" s="57"/>
    </row>
    <row r="230" spans="1:26" ht="14.25" customHeight="1">
      <c r="A230" s="57"/>
      <c r="B230" s="69"/>
      <c r="C230" s="69"/>
      <c r="D230" s="69"/>
      <c r="E230" s="69"/>
      <c r="F230" s="69"/>
      <c r="G230" s="57"/>
      <c r="H230" s="57"/>
      <c r="I230" s="57"/>
      <c r="J230" s="57"/>
      <c r="K230" s="57"/>
      <c r="L230" s="57"/>
      <c r="M230" s="57"/>
      <c r="N230" s="57"/>
      <c r="O230" s="57"/>
      <c r="P230" s="57"/>
      <c r="Q230" s="57"/>
      <c r="R230" s="57"/>
      <c r="S230" s="57"/>
      <c r="T230" s="57"/>
      <c r="U230" s="57"/>
      <c r="V230" s="57"/>
      <c r="W230" s="57"/>
      <c r="X230" s="57"/>
      <c r="Y230" s="57"/>
      <c r="Z230" s="57"/>
    </row>
    <row r="231" spans="1:26" ht="14.25" customHeight="1">
      <c r="A231" s="57"/>
      <c r="B231" s="69"/>
      <c r="C231" s="69"/>
      <c r="D231" s="69"/>
      <c r="E231" s="69"/>
      <c r="F231" s="69"/>
      <c r="G231" s="57"/>
      <c r="H231" s="57"/>
      <c r="I231" s="57"/>
      <c r="J231" s="57"/>
      <c r="K231" s="57"/>
      <c r="L231" s="57"/>
      <c r="M231" s="57"/>
      <c r="N231" s="57"/>
      <c r="O231" s="57"/>
      <c r="P231" s="57"/>
      <c r="Q231" s="57"/>
      <c r="R231" s="57"/>
      <c r="S231" s="57"/>
      <c r="T231" s="57"/>
      <c r="U231" s="57"/>
      <c r="V231" s="57"/>
      <c r="W231" s="57"/>
      <c r="X231" s="57"/>
      <c r="Y231" s="57"/>
      <c r="Z231" s="57"/>
    </row>
    <row r="232" spans="1:26" ht="14.25" customHeight="1">
      <c r="A232" s="57"/>
      <c r="B232" s="69"/>
      <c r="C232" s="69"/>
      <c r="D232" s="69"/>
      <c r="E232" s="69"/>
      <c r="F232" s="69"/>
      <c r="G232" s="57"/>
      <c r="H232" s="57"/>
      <c r="I232" s="57"/>
      <c r="J232" s="57"/>
      <c r="K232" s="57"/>
      <c r="L232" s="57"/>
      <c r="M232" s="57"/>
      <c r="N232" s="57"/>
      <c r="O232" s="57"/>
      <c r="P232" s="57"/>
      <c r="Q232" s="57"/>
      <c r="R232" s="57"/>
      <c r="S232" s="57"/>
      <c r="T232" s="57"/>
      <c r="U232" s="57"/>
      <c r="V232" s="57"/>
      <c r="W232" s="57"/>
      <c r="X232" s="57"/>
      <c r="Y232" s="57"/>
      <c r="Z232" s="57"/>
    </row>
    <row r="233" spans="1:26" ht="14.25" customHeight="1">
      <c r="A233" s="57"/>
      <c r="B233" s="69"/>
      <c r="C233" s="69"/>
      <c r="D233" s="69"/>
      <c r="E233" s="69"/>
      <c r="F233" s="69"/>
      <c r="G233" s="57"/>
      <c r="H233" s="57"/>
      <c r="I233" s="57"/>
      <c r="J233" s="57"/>
      <c r="K233" s="57"/>
      <c r="L233" s="57"/>
      <c r="M233" s="57"/>
      <c r="N233" s="57"/>
      <c r="O233" s="57"/>
      <c r="P233" s="57"/>
      <c r="Q233" s="57"/>
      <c r="R233" s="57"/>
      <c r="S233" s="57"/>
      <c r="T233" s="57"/>
      <c r="U233" s="57"/>
      <c r="V233" s="57"/>
      <c r="W233" s="57"/>
      <c r="X233" s="57"/>
      <c r="Y233" s="57"/>
      <c r="Z233" s="57"/>
    </row>
    <row r="234" spans="1:26" ht="14.25" customHeight="1">
      <c r="A234" s="57"/>
      <c r="B234" s="69"/>
      <c r="C234" s="69"/>
      <c r="D234" s="69"/>
      <c r="E234" s="69"/>
      <c r="F234" s="69"/>
      <c r="G234" s="57"/>
      <c r="H234" s="57"/>
      <c r="I234" s="57"/>
      <c r="J234" s="57"/>
      <c r="K234" s="57"/>
      <c r="L234" s="57"/>
      <c r="M234" s="57"/>
      <c r="N234" s="57"/>
      <c r="O234" s="57"/>
      <c r="P234" s="57"/>
      <c r="Q234" s="57"/>
      <c r="R234" s="57"/>
      <c r="S234" s="57"/>
      <c r="T234" s="57"/>
      <c r="U234" s="57"/>
      <c r="V234" s="57"/>
      <c r="W234" s="57"/>
      <c r="X234" s="57"/>
      <c r="Y234" s="57"/>
      <c r="Z234" s="57"/>
    </row>
    <row r="235" spans="1:26" ht="14.25" customHeight="1">
      <c r="A235" s="57"/>
      <c r="B235" s="69"/>
      <c r="C235" s="69"/>
      <c r="D235" s="69"/>
      <c r="E235" s="69"/>
      <c r="F235" s="69"/>
      <c r="G235" s="57"/>
      <c r="H235" s="57"/>
      <c r="I235" s="57"/>
      <c r="J235" s="57"/>
      <c r="K235" s="57"/>
      <c r="L235" s="57"/>
      <c r="M235" s="57"/>
      <c r="N235" s="57"/>
      <c r="O235" s="57"/>
      <c r="P235" s="57"/>
      <c r="Q235" s="57"/>
      <c r="R235" s="57"/>
      <c r="S235" s="57"/>
      <c r="T235" s="57"/>
      <c r="U235" s="57"/>
      <c r="V235" s="57"/>
      <c r="W235" s="57"/>
      <c r="X235" s="57"/>
      <c r="Y235" s="57"/>
      <c r="Z235" s="57"/>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13">
    <mergeCell ref="D33:G33"/>
    <mergeCell ref="B1:F1"/>
    <mergeCell ref="A3:F3"/>
    <mergeCell ref="A5:A7"/>
    <mergeCell ref="A8:A9"/>
    <mergeCell ref="B8:B9"/>
    <mergeCell ref="A13:A14"/>
    <mergeCell ref="B13:B14"/>
    <mergeCell ref="A16:F16"/>
    <mergeCell ref="C21:G21"/>
    <mergeCell ref="A23:B23"/>
    <mergeCell ref="D31:G31"/>
    <mergeCell ref="D32:G32"/>
  </mergeCells>
  <conditionalFormatting sqref="C24:G28">
    <cfRule type="cellIs" dxfId="2" priority="1" operator="between">
      <formula>8</formula>
      <formula>9</formula>
    </cfRule>
    <cfRule type="cellIs" dxfId="1" priority="2" operator="greaterThanOrEqual">
      <formula>10</formula>
    </cfRule>
    <cfRule type="cellIs" dxfId="0" priority="3" operator="lessThan">
      <formula>8</formula>
    </cfRule>
  </conditionalFormatting>
  <pageMargins left="0.74803149606299213" right="0.74803149606299213" top="0.98425196850393704" bottom="0.98425196850393704"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election activeCell="K3" sqref="K3:L3"/>
    </sheetView>
  </sheetViews>
  <sheetFormatPr defaultColWidth="14.33203125" defaultRowHeight="15" customHeight="1"/>
  <cols>
    <col min="1" max="3" width="10.6640625" customWidth="1"/>
    <col min="4" max="4" width="19.109375" customWidth="1"/>
    <col min="5" max="6" width="10.6640625" customWidth="1"/>
    <col min="7" max="7" width="15.33203125" customWidth="1"/>
    <col min="8" max="8" width="10.6640625" customWidth="1"/>
    <col min="9" max="9" width="14.6640625" customWidth="1"/>
    <col min="10" max="10" width="10.6640625" customWidth="1"/>
    <col min="11" max="11" width="18.109375" customWidth="1"/>
    <col min="12" max="17" width="10.6640625" customWidth="1"/>
  </cols>
  <sheetData>
    <row r="1" spans="1:17" ht="12.75" customHeight="1">
      <c r="M1" s="171" t="s">
        <v>1798</v>
      </c>
      <c r="N1" s="172"/>
      <c r="O1" s="172"/>
      <c r="P1" s="172"/>
      <c r="Q1" s="172"/>
    </row>
    <row r="2" spans="1:17" ht="12.75" customHeight="1">
      <c r="A2" s="7" t="s">
        <v>1798</v>
      </c>
      <c r="D2" s="7" t="s">
        <v>1804</v>
      </c>
      <c r="G2" s="8" t="s">
        <v>1825</v>
      </c>
      <c r="I2" s="8" t="s">
        <v>1826</v>
      </c>
      <c r="M2" s="9" t="s">
        <v>1827</v>
      </c>
      <c r="N2" s="9" t="s">
        <v>1800</v>
      </c>
      <c r="O2" s="9" t="s">
        <v>1801</v>
      </c>
      <c r="P2" s="9" t="s">
        <v>1802</v>
      </c>
      <c r="Q2" s="9" t="s">
        <v>1803</v>
      </c>
    </row>
    <row r="3" spans="1:17" ht="12.75" customHeight="1">
      <c r="A3" s="10" t="s">
        <v>1827</v>
      </c>
      <c r="B3" s="10">
        <v>5</v>
      </c>
      <c r="D3" s="10" t="s">
        <v>1805</v>
      </c>
      <c r="E3" s="10">
        <v>5</v>
      </c>
      <c r="G3" s="11" t="s">
        <v>108</v>
      </c>
      <c r="I3" s="11" t="s">
        <v>1828</v>
      </c>
      <c r="K3" s="173" t="s">
        <v>1804</v>
      </c>
      <c r="L3" s="174"/>
      <c r="M3" s="12">
        <v>5</v>
      </c>
      <c r="N3" s="12">
        <v>4</v>
      </c>
      <c r="O3" s="12">
        <v>3</v>
      </c>
      <c r="P3" s="12">
        <v>2</v>
      </c>
      <c r="Q3" s="12">
        <v>1</v>
      </c>
    </row>
    <row r="4" spans="1:17" ht="12.75" customHeight="1">
      <c r="A4" s="10" t="s">
        <v>1800</v>
      </c>
      <c r="B4" s="10">
        <v>4</v>
      </c>
      <c r="D4" s="10" t="s">
        <v>1806</v>
      </c>
      <c r="E4" s="10">
        <v>4</v>
      </c>
      <c r="G4" s="11" t="s">
        <v>567</v>
      </c>
      <c r="I4" s="11" t="s">
        <v>1829</v>
      </c>
      <c r="K4" s="9" t="s">
        <v>1805</v>
      </c>
      <c r="L4" s="12">
        <v>5</v>
      </c>
      <c r="M4" s="13">
        <f t="shared" ref="M4:Q4" si="0">M$3*$L4</f>
        <v>25</v>
      </c>
      <c r="N4" s="13">
        <f t="shared" si="0"/>
        <v>20</v>
      </c>
      <c r="O4" s="13">
        <f t="shared" si="0"/>
        <v>15</v>
      </c>
      <c r="P4" s="13">
        <f t="shared" si="0"/>
        <v>10</v>
      </c>
      <c r="Q4" s="14">
        <f t="shared" si="0"/>
        <v>5</v>
      </c>
    </row>
    <row r="5" spans="1:17" ht="12.75" customHeight="1">
      <c r="A5" s="10" t="s">
        <v>1801</v>
      </c>
      <c r="B5" s="10">
        <v>3</v>
      </c>
      <c r="D5" s="10" t="s">
        <v>1807</v>
      </c>
      <c r="E5" s="10">
        <v>3</v>
      </c>
      <c r="G5" t="s">
        <v>1830</v>
      </c>
      <c r="I5" s="11" t="s">
        <v>1831</v>
      </c>
      <c r="K5" s="9" t="s">
        <v>1806</v>
      </c>
      <c r="L5" s="12">
        <v>4</v>
      </c>
      <c r="M5" s="13">
        <f t="shared" ref="M5:Q5" si="1">M$3*$L5</f>
        <v>20</v>
      </c>
      <c r="N5" s="13">
        <f t="shared" si="1"/>
        <v>16</v>
      </c>
      <c r="O5" s="13">
        <f t="shared" si="1"/>
        <v>12</v>
      </c>
      <c r="P5" s="15">
        <f t="shared" si="1"/>
        <v>8</v>
      </c>
      <c r="Q5" s="14">
        <f t="shared" si="1"/>
        <v>4</v>
      </c>
    </row>
    <row r="6" spans="1:17" ht="12.75" customHeight="1">
      <c r="A6" s="10" t="s">
        <v>1802</v>
      </c>
      <c r="B6" s="10">
        <v>2</v>
      </c>
      <c r="D6" s="10" t="s">
        <v>1808</v>
      </c>
      <c r="E6" s="10">
        <v>2</v>
      </c>
      <c r="G6" t="s">
        <v>1832</v>
      </c>
      <c r="K6" s="9" t="s">
        <v>1807</v>
      </c>
      <c r="L6" s="12">
        <v>3</v>
      </c>
      <c r="M6" s="13">
        <f t="shared" ref="M6:Q6" si="2">M$3*$L6</f>
        <v>15</v>
      </c>
      <c r="N6" s="13">
        <f t="shared" si="2"/>
        <v>12</v>
      </c>
      <c r="O6" s="15">
        <f t="shared" si="2"/>
        <v>9</v>
      </c>
      <c r="P6" s="14">
        <f t="shared" si="2"/>
        <v>6</v>
      </c>
      <c r="Q6" s="14">
        <f t="shared" si="2"/>
        <v>3</v>
      </c>
    </row>
    <row r="7" spans="1:17" ht="12.75" customHeight="1">
      <c r="A7" s="10" t="s">
        <v>1803</v>
      </c>
      <c r="B7" s="10">
        <v>1</v>
      </c>
      <c r="D7" s="10" t="s">
        <v>1809</v>
      </c>
      <c r="E7" s="10">
        <v>1</v>
      </c>
      <c r="K7" s="9" t="s">
        <v>1808</v>
      </c>
      <c r="L7" s="12">
        <v>2</v>
      </c>
      <c r="M7" s="13">
        <f t="shared" ref="M7:Q7" si="3">M$3*$L7</f>
        <v>10</v>
      </c>
      <c r="N7" s="15">
        <f t="shared" si="3"/>
        <v>8</v>
      </c>
      <c r="O7" s="14">
        <f t="shared" si="3"/>
        <v>6</v>
      </c>
      <c r="P7" s="14">
        <f t="shared" si="3"/>
        <v>4</v>
      </c>
      <c r="Q7" s="14">
        <f t="shared" si="3"/>
        <v>2</v>
      </c>
    </row>
    <row r="8" spans="1:17" ht="12.75" customHeight="1">
      <c r="K8" s="9" t="s">
        <v>1809</v>
      </c>
      <c r="L8" s="12">
        <v>1</v>
      </c>
      <c r="M8" s="14">
        <f t="shared" ref="M8:Q8" si="4">M$3*$L8</f>
        <v>5</v>
      </c>
      <c r="N8" s="14">
        <f t="shared" si="4"/>
        <v>4</v>
      </c>
      <c r="O8" s="14">
        <f t="shared" si="4"/>
        <v>3</v>
      </c>
      <c r="P8" s="14">
        <f t="shared" si="4"/>
        <v>2</v>
      </c>
      <c r="Q8" s="14">
        <f t="shared" si="4"/>
        <v>1</v>
      </c>
    </row>
    <row r="9" spans="1:17" ht="12.75" customHeight="1"/>
    <row r="10" spans="1:17" ht="12.75" customHeight="1"/>
    <row r="11" spans="1:17" ht="12.75" customHeight="1">
      <c r="A11" s="8" t="s">
        <v>1833</v>
      </c>
    </row>
    <row r="12" spans="1:17" ht="12.75" customHeight="1">
      <c r="A12" s="11" t="s">
        <v>1834</v>
      </c>
    </row>
    <row r="13" spans="1:17" ht="12.75" customHeight="1">
      <c r="A13" s="11" t="s">
        <v>1835</v>
      </c>
    </row>
    <row r="14" spans="1:17" ht="12.75" customHeight="1">
      <c r="A14" s="11" t="s">
        <v>1836</v>
      </c>
    </row>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M1:Q1"/>
    <mergeCell ref="K3:L3"/>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election activeCell="C18" sqref="C18"/>
    </sheetView>
  </sheetViews>
  <sheetFormatPr defaultColWidth="14.33203125" defaultRowHeight="15" customHeight="1"/>
  <cols>
    <col min="1" max="1" width="83.6640625" customWidth="1"/>
    <col min="2" max="2" width="10.33203125" customWidth="1"/>
    <col min="3" max="3" width="47.6640625" customWidth="1"/>
    <col min="4" max="4" width="69.6640625" customWidth="1"/>
    <col min="5" max="6" width="83.6640625" customWidth="1"/>
  </cols>
  <sheetData>
    <row r="1" spans="1:4" ht="12.75" customHeight="1">
      <c r="C1" s="16" t="s">
        <v>1837</v>
      </c>
      <c r="D1" s="36" t="s">
        <v>1838</v>
      </c>
    </row>
    <row r="2" spans="1:4" ht="12.75" customHeight="1">
      <c r="A2" s="17" t="s">
        <v>1839</v>
      </c>
      <c r="C2" s="10" t="s">
        <v>1840</v>
      </c>
      <c r="D2" s="10" t="s">
        <v>1841</v>
      </c>
    </row>
    <row r="3" spans="1:4" ht="12.75" customHeight="1">
      <c r="A3" s="17" t="s">
        <v>1842</v>
      </c>
      <c r="C3" s="10" t="s">
        <v>1843</v>
      </c>
      <c r="D3" s="10" t="s">
        <v>1844</v>
      </c>
    </row>
    <row r="4" spans="1:4" ht="12.75" customHeight="1">
      <c r="A4" s="17" t="s">
        <v>1845</v>
      </c>
      <c r="C4" s="10" t="s">
        <v>1846</v>
      </c>
      <c r="D4" s="10" t="s">
        <v>1847</v>
      </c>
    </row>
    <row r="5" spans="1:4" ht="12.75" customHeight="1">
      <c r="A5" s="17" t="s">
        <v>1848</v>
      </c>
      <c r="C5" s="10" t="s">
        <v>1849</v>
      </c>
      <c r="D5" s="10" t="s">
        <v>1850</v>
      </c>
    </row>
    <row r="6" spans="1:4" ht="12.75" customHeight="1">
      <c r="A6" s="17" t="s">
        <v>1851</v>
      </c>
      <c r="C6" s="10" t="s">
        <v>1852</v>
      </c>
      <c r="D6" s="10" t="s">
        <v>1853</v>
      </c>
    </row>
    <row r="7" spans="1:4" ht="12.75" customHeight="1">
      <c r="A7" s="17" t="s">
        <v>1854</v>
      </c>
      <c r="C7" s="10" t="s">
        <v>1855</v>
      </c>
      <c r="D7" s="10" t="s">
        <v>1856</v>
      </c>
    </row>
    <row r="8" spans="1:4" ht="12.75" customHeight="1">
      <c r="A8" s="17" t="s">
        <v>1857</v>
      </c>
      <c r="C8" s="10" t="s">
        <v>1858</v>
      </c>
      <c r="D8" s="10" t="s">
        <v>1859</v>
      </c>
    </row>
    <row r="9" spans="1:4" ht="12.75" customHeight="1">
      <c r="A9" s="17" t="s">
        <v>1860</v>
      </c>
      <c r="C9" s="10" t="s">
        <v>1861</v>
      </c>
      <c r="D9" s="10" t="s">
        <v>1862</v>
      </c>
    </row>
    <row r="10" spans="1:4" ht="12.75" customHeight="1">
      <c r="A10" s="17" t="s">
        <v>1863</v>
      </c>
      <c r="C10" s="10" t="s">
        <v>1864</v>
      </c>
      <c r="D10" s="10" t="s">
        <v>1865</v>
      </c>
    </row>
    <row r="11" spans="1:4" ht="12.75" customHeight="1">
      <c r="A11" s="17" t="s">
        <v>1866</v>
      </c>
      <c r="C11" s="10" t="s">
        <v>1867</v>
      </c>
      <c r="D11" s="10" t="s">
        <v>1868</v>
      </c>
    </row>
    <row r="12" spans="1:4" ht="12.75" customHeight="1">
      <c r="C12" s="10" t="s">
        <v>1869</v>
      </c>
      <c r="D12" s="10" t="s">
        <v>1870</v>
      </c>
    </row>
    <row r="13" spans="1:4" ht="12.75" customHeight="1">
      <c r="C13" s="10" t="s">
        <v>1871</v>
      </c>
      <c r="D13" s="10" t="s">
        <v>1872</v>
      </c>
    </row>
    <row r="14" spans="1:4" ht="12.75" customHeight="1">
      <c r="C14" s="10" t="s">
        <v>1873</v>
      </c>
      <c r="D14" s="10" t="s">
        <v>1874</v>
      </c>
    </row>
    <row r="15" spans="1:4" ht="12.75" customHeight="1">
      <c r="C15" s="10" t="s">
        <v>1875</v>
      </c>
      <c r="D15" s="10" t="s">
        <v>1876</v>
      </c>
    </row>
    <row r="16" spans="1:4" ht="12.75" customHeight="1">
      <c r="C16" s="10" t="s">
        <v>1877</v>
      </c>
      <c r="D16" s="10" t="s">
        <v>1878</v>
      </c>
    </row>
    <row r="17" spans="3:4" ht="12.75" customHeight="1">
      <c r="C17" s="10" t="s">
        <v>1879</v>
      </c>
      <c r="D17" s="10" t="s">
        <v>1880</v>
      </c>
    </row>
    <row r="18" spans="3:4" ht="12.75" customHeight="1">
      <c r="C18" s="10" t="s">
        <v>1881</v>
      </c>
      <c r="D18" s="10" t="s">
        <v>1882</v>
      </c>
    </row>
    <row r="19" spans="3:4" ht="12.75" customHeight="1">
      <c r="C19" s="10" t="s">
        <v>1883</v>
      </c>
      <c r="D19" s="10" t="s">
        <v>1884</v>
      </c>
    </row>
    <row r="20" spans="3:4" ht="12.75" customHeight="1">
      <c r="C20" s="10" t="s">
        <v>1885</v>
      </c>
      <c r="D20" s="10" t="s">
        <v>1886</v>
      </c>
    </row>
    <row r="21" spans="3:4" ht="12.75" customHeight="1">
      <c r="C21" s="10" t="s">
        <v>1887</v>
      </c>
      <c r="D21" s="10" t="s">
        <v>1888</v>
      </c>
    </row>
    <row r="22" spans="3:4" ht="12.75" customHeight="1">
      <c r="C22" s="10" t="s">
        <v>1889</v>
      </c>
      <c r="D22" s="10" t="s">
        <v>1890</v>
      </c>
    </row>
    <row r="23" spans="3:4" ht="12.75" customHeight="1">
      <c r="C23" s="10" t="s">
        <v>1891</v>
      </c>
      <c r="D23" s="10" t="s">
        <v>1892</v>
      </c>
    </row>
    <row r="24" spans="3:4" ht="12.75" customHeight="1">
      <c r="C24" s="10" t="s">
        <v>1893</v>
      </c>
      <c r="D24" s="10" t="s">
        <v>1894</v>
      </c>
    </row>
    <row r="25" spans="3:4" ht="12.75" customHeight="1">
      <c r="C25" s="10" t="s">
        <v>1895</v>
      </c>
      <c r="D25" s="10" t="s">
        <v>1896</v>
      </c>
    </row>
    <row r="26" spans="3:4" ht="12.75" customHeight="1">
      <c r="C26" s="10" t="s">
        <v>1897</v>
      </c>
      <c r="D26" s="10" t="s">
        <v>1898</v>
      </c>
    </row>
    <row r="27" spans="3:4" ht="12.75" customHeight="1">
      <c r="C27" s="10" t="s">
        <v>1899</v>
      </c>
      <c r="D27" s="10" t="s">
        <v>1900</v>
      </c>
    </row>
    <row r="28" spans="3:4" ht="12.75" customHeight="1">
      <c r="C28" s="10" t="s">
        <v>1901</v>
      </c>
      <c r="D28" s="10" t="s">
        <v>1902</v>
      </c>
    </row>
    <row r="29" spans="3:4" ht="12.75" customHeight="1">
      <c r="C29" s="10" t="s">
        <v>1903</v>
      </c>
      <c r="D29" s="10" t="s">
        <v>1904</v>
      </c>
    </row>
    <row r="30" spans="3:4" ht="12.75" customHeight="1">
      <c r="C30" s="10" t="s">
        <v>1905</v>
      </c>
      <c r="D30" s="10" t="s">
        <v>1906</v>
      </c>
    </row>
    <row r="31" spans="3:4" ht="12.75" customHeight="1">
      <c r="C31" s="10" t="s">
        <v>1907</v>
      </c>
      <c r="D31" s="10" t="s">
        <v>1908</v>
      </c>
    </row>
    <row r="32" spans="3:4" ht="12.75" customHeight="1">
      <c r="C32" s="10" t="s">
        <v>1909</v>
      </c>
      <c r="D32" s="10" t="s">
        <v>1910</v>
      </c>
    </row>
    <row r="33" spans="3:4" ht="12.75" customHeight="1">
      <c r="C33" s="10" t="s">
        <v>1911</v>
      </c>
      <c r="D33" s="10" t="s">
        <v>1912</v>
      </c>
    </row>
    <row r="34" spans="3:4" ht="12.75" customHeight="1">
      <c r="C34" s="10" t="s">
        <v>1913</v>
      </c>
      <c r="D34" s="10" t="s">
        <v>1914</v>
      </c>
    </row>
    <row r="35" spans="3:4" ht="12.75" customHeight="1">
      <c r="C35" s="10" t="s">
        <v>1915</v>
      </c>
      <c r="D35" s="10" t="s">
        <v>1916</v>
      </c>
    </row>
    <row r="36" spans="3:4" ht="12.75" customHeight="1">
      <c r="C36" s="10" t="s">
        <v>1917</v>
      </c>
      <c r="D36" s="10" t="s">
        <v>1918</v>
      </c>
    </row>
    <row r="37" spans="3:4" ht="12.75" customHeight="1">
      <c r="C37" s="10" t="s">
        <v>1919</v>
      </c>
      <c r="D37" s="10" t="s">
        <v>1920</v>
      </c>
    </row>
    <row r="38" spans="3:4" ht="12.75" customHeight="1">
      <c r="C38" s="10" t="s">
        <v>1921</v>
      </c>
      <c r="D38" s="10" t="s">
        <v>1922</v>
      </c>
    </row>
    <row r="39" spans="3:4" ht="12.75" customHeight="1">
      <c r="C39" s="10" t="s">
        <v>1923</v>
      </c>
      <c r="D39" s="10" t="s">
        <v>1924</v>
      </c>
    </row>
    <row r="40" spans="3:4" ht="12.75" customHeight="1">
      <c r="C40" s="10" t="s">
        <v>1925</v>
      </c>
      <c r="D40" s="10" t="s">
        <v>1926</v>
      </c>
    </row>
    <row r="41" spans="3:4" ht="12.75" customHeight="1">
      <c r="C41" s="10" t="s">
        <v>1927</v>
      </c>
      <c r="D41" s="10" t="s">
        <v>1928</v>
      </c>
    </row>
    <row r="42" spans="3:4" ht="12.75" customHeight="1">
      <c r="C42" s="10" t="s">
        <v>1929</v>
      </c>
      <c r="D42" s="10" t="s">
        <v>1930</v>
      </c>
    </row>
    <row r="43" spans="3:4" ht="12.75" customHeight="1">
      <c r="C43" s="10" t="s">
        <v>1931</v>
      </c>
      <c r="D43" s="10" t="s">
        <v>1932</v>
      </c>
    </row>
    <row r="44" spans="3:4" ht="12.75" customHeight="1">
      <c r="C44" s="10" t="s">
        <v>1933</v>
      </c>
      <c r="D44" s="10" t="s">
        <v>1934</v>
      </c>
    </row>
    <row r="45" spans="3:4" ht="12.75" customHeight="1">
      <c r="C45" s="10" t="s">
        <v>1935</v>
      </c>
      <c r="D45" s="10" t="s">
        <v>1936</v>
      </c>
    </row>
    <row r="46" spans="3:4" ht="12.75" customHeight="1">
      <c r="C46" s="10" t="s">
        <v>1937</v>
      </c>
      <c r="D46" s="10" t="s">
        <v>1938</v>
      </c>
    </row>
    <row r="47" spans="3:4" ht="12.75" customHeight="1">
      <c r="C47" s="10" t="s">
        <v>1939</v>
      </c>
      <c r="D47" s="10" t="s">
        <v>1940</v>
      </c>
    </row>
    <row r="48" spans="3:4" ht="12.75" customHeight="1">
      <c r="C48" s="10" t="s">
        <v>1941</v>
      </c>
      <c r="D48" s="10" t="s">
        <v>1942</v>
      </c>
    </row>
    <row r="49" spans="1:4" ht="12.75" customHeight="1">
      <c r="D49" s="10" t="s">
        <v>1943</v>
      </c>
    </row>
    <row r="50" spans="1:4" ht="12.75" customHeight="1"/>
    <row r="51" spans="1:4" ht="12.75" customHeight="1"/>
    <row r="52" spans="1:4" ht="12.75" customHeight="1"/>
    <row r="53" spans="1:4" ht="12.75" customHeight="1"/>
    <row r="54" spans="1:4" ht="12.75" customHeight="1"/>
    <row r="55" spans="1:4" ht="12.75" customHeight="1"/>
    <row r="56" spans="1:4" ht="12.75" customHeight="1">
      <c r="A56" s="7" t="s">
        <v>1944</v>
      </c>
      <c r="B56" s="7" t="s">
        <v>1945</v>
      </c>
      <c r="C56" s="7" t="s">
        <v>1946</v>
      </c>
    </row>
    <row r="57" spans="1:4" ht="12.75" customHeight="1">
      <c r="A57" s="11" t="s">
        <v>1947</v>
      </c>
      <c r="B57" s="18" t="s">
        <v>1948</v>
      </c>
      <c r="C57" s="11" t="s">
        <v>1949</v>
      </c>
    </row>
    <row r="58" spans="1:4" ht="12.75" customHeight="1">
      <c r="B58" s="18" t="s">
        <v>1950</v>
      </c>
      <c r="C58" s="11" t="s">
        <v>1951</v>
      </c>
    </row>
    <row r="59" spans="1:4" ht="12.75" customHeight="1">
      <c r="A59" s="11" t="s">
        <v>1952</v>
      </c>
      <c r="B59" s="18" t="s">
        <v>1953</v>
      </c>
      <c r="C59" s="18" t="s">
        <v>1954</v>
      </c>
    </row>
    <row r="60" spans="1:4" ht="12.75" customHeight="1"/>
    <row r="61" spans="1:4" ht="12.75" customHeight="1"/>
    <row r="62" spans="1:4" ht="12.75" customHeight="1"/>
    <row r="63" spans="1:4" ht="12.75" customHeight="1"/>
    <row r="64" spans="1: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abac026b6ef648ccef61e7a2b1110207">
  <xsd:schema xmlns:xsd="http://www.w3.org/2001/XMLSchema" xmlns:xs="http://www.w3.org/2001/XMLSchema" xmlns:p="http://schemas.microsoft.com/office/2006/metadata/properties" xmlns:ns2="8a433bc3-02fd-410b-9ca8-de1c3ba283d8" targetNamespace="http://schemas.microsoft.com/office/2006/metadata/properties" ma:root="true" ma:fieldsID="66130ff68f456b53950cec4374bfb5b5"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EB80C5-CBAB-4551-9D4E-885E5007F467}">
  <ds:schemaRefs>
    <ds:schemaRef ds:uri="http://schemas.microsoft.com/sharepoint/v3/contenttype/forms"/>
  </ds:schemaRefs>
</ds:datastoreItem>
</file>

<file path=customXml/itemProps2.xml><?xml version="1.0" encoding="utf-8"?>
<ds:datastoreItem xmlns:ds="http://schemas.openxmlformats.org/officeDocument/2006/customXml" ds:itemID="{F4174AC0-FB0D-4BAB-8038-FD2239B0CAE4}">
  <ds:schemaRefs>
    <ds:schemaRef ds:uri="http://schemas.microsoft.com/office/2006/documentManagement/types"/>
    <ds:schemaRef ds:uri="http://purl.org/dc/elements/1.1/"/>
    <ds:schemaRef ds:uri="http://schemas.openxmlformats.org/package/2006/metadata/core-properties"/>
    <ds:schemaRef ds:uri="http://purl.org/dc/terms/"/>
    <ds:schemaRef ds:uri="http://schemas.microsoft.com/office/infopath/2007/PartnerControls"/>
    <ds:schemaRef ds:uri="http://www.w3.org/XML/1998/namespace"/>
    <ds:schemaRef ds:uri="157c0300-1a4d-4765-81f9-fd1314fe0b95"/>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27459A62-6D2D-4EC5-873A-814A0D0F83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6</vt:i4>
      </vt:variant>
      <vt:variant>
        <vt:lpstr>Intervals amb nom</vt:lpstr>
      </vt:variant>
      <vt:variant>
        <vt:i4>5</vt:i4>
      </vt:variant>
    </vt:vector>
  </HeadingPairs>
  <TitlesOfParts>
    <vt:vector size="11" baseType="lpstr">
      <vt:lpstr>Cabecera</vt:lpstr>
      <vt:lpstr>Oportunidades SGSI</vt:lpstr>
      <vt:lpstr>Evaluació Riesgos 2025</vt:lpstr>
      <vt:lpstr>Criterios NR</vt:lpstr>
      <vt:lpstr>Listas</vt:lpstr>
      <vt:lpstr>Lista sugerencias</vt:lpstr>
      <vt:lpstr>EFICACIA</vt:lpstr>
      <vt:lpstr>IMPACTO</vt:lpstr>
      <vt:lpstr>PRIORIDAD</vt:lpstr>
      <vt:lpstr>PROBABILIDAD</vt:lpstr>
      <vt:lpstr>TRATAMIENTO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2022-06-09T20:48:04Z</dcterms:created>
  <dcterms:modified xsi:type="dcterms:W3CDTF">2025-11-29T17:47:16Z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y fmtid="{D5CDD505-2E9C-101B-9397-08002B2CF9AE}" pid="4" name="_ExtendedDescription">
    <vt:lpwstr/>
  </property>
</Properties>
</file>